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B7B83065-2D13-4056-8AD0-7F1173AE2BB9}" xr6:coauthVersionLast="47" xr6:coauthVersionMax="47" xr10:uidLastSave="{00000000-0000-0000-0000-000000000000}"/>
  <bookViews>
    <workbookView xWindow="-110" yWindow="-110" windowWidth="19420" windowHeight="11020" firstSheet="1" activeTab="5" xr2:uid="{00F0737F-0A71-48E9-AFE8-CEE6FDE9A86E}"/>
  </bookViews>
  <sheets>
    <sheet name="Welcome" sheetId="9" r:id="rId1"/>
    <sheet name="1_Premises" sheetId="1" r:id="rId2"/>
    <sheet name="2_BOMs" sheetId="2" r:id="rId3"/>
    <sheet name="3_Assets" sheetId="3" r:id="rId4"/>
    <sheet name="4_Production" sheetId="4" r:id="rId5"/>
    <sheet name="5_Workforce" sheetId="10" r:id="rId6"/>
    <sheet name="6_Expenses" sheetId="6" r:id="rId7"/>
    <sheet name="7_Financing" sheetId="7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7" l="1"/>
  <c r="N5" i="10"/>
  <c r="O5" i="10" s="1"/>
  <c r="O13" i="10" s="1"/>
  <c r="O15" i="10" s="1"/>
  <c r="D13" i="10" s="1"/>
  <c r="Z5" i="10"/>
  <c r="AA5" i="10" s="1"/>
  <c r="B32" i="10"/>
  <c r="B27" i="10"/>
  <c r="B26" i="10"/>
  <c r="W115" i="10"/>
  <c r="S115" i="10"/>
  <c r="O115" i="10"/>
  <c r="W114" i="10"/>
  <c r="S114" i="10"/>
  <c r="O114" i="10"/>
  <c r="W113" i="10"/>
  <c r="S113" i="10"/>
  <c r="O113" i="10"/>
  <c r="W112" i="10"/>
  <c r="S112" i="10"/>
  <c r="O112" i="10"/>
  <c r="W110" i="10"/>
  <c r="S110" i="10"/>
  <c r="O110" i="10"/>
  <c r="W109" i="10"/>
  <c r="S109" i="10"/>
  <c r="O109" i="10"/>
  <c r="W108" i="10"/>
  <c r="S108" i="10"/>
  <c r="O108" i="10"/>
  <c r="O101" i="10"/>
  <c r="O100" i="10"/>
  <c r="O99" i="10"/>
  <c r="O98" i="10"/>
  <c r="O96" i="10"/>
  <c r="O95" i="10"/>
  <c r="O94" i="10"/>
  <c r="AA87" i="10"/>
  <c r="W87" i="10"/>
  <c r="S87" i="10"/>
  <c r="O87" i="10"/>
  <c r="AA86" i="10"/>
  <c r="W86" i="10"/>
  <c r="S86" i="10"/>
  <c r="O86" i="10"/>
  <c r="AA85" i="10"/>
  <c r="W85" i="10"/>
  <c r="S85" i="10"/>
  <c r="O85" i="10"/>
  <c r="AA84" i="10"/>
  <c r="W84" i="10"/>
  <c r="S84" i="10"/>
  <c r="O84" i="10"/>
  <c r="AA82" i="10"/>
  <c r="W82" i="10"/>
  <c r="S82" i="10"/>
  <c r="O82" i="10"/>
  <c r="AA81" i="10"/>
  <c r="W81" i="10"/>
  <c r="S81" i="10"/>
  <c r="O81" i="10"/>
  <c r="AA80" i="10"/>
  <c r="W80" i="10"/>
  <c r="S80" i="10"/>
  <c r="S88" i="10" s="1"/>
  <c r="S89" i="10" s="1"/>
  <c r="D34" i="10" s="1"/>
  <c r="O80" i="10"/>
  <c r="AA73" i="10"/>
  <c r="W73" i="10"/>
  <c r="S73" i="10"/>
  <c r="O73" i="10"/>
  <c r="AA72" i="10"/>
  <c r="W72" i="10"/>
  <c r="S72" i="10"/>
  <c r="O72" i="10"/>
  <c r="AA71" i="10"/>
  <c r="W71" i="10"/>
  <c r="S71" i="10"/>
  <c r="O71" i="10"/>
  <c r="AA70" i="10"/>
  <c r="W70" i="10"/>
  <c r="S70" i="10"/>
  <c r="O70" i="10"/>
  <c r="AA68" i="10"/>
  <c r="W68" i="10"/>
  <c r="S68" i="10"/>
  <c r="O68" i="10"/>
  <c r="AA67" i="10"/>
  <c r="W67" i="10"/>
  <c r="S67" i="10"/>
  <c r="O67" i="10"/>
  <c r="AA66" i="10"/>
  <c r="AA74" i="10" s="1"/>
  <c r="AA75" i="10" s="1"/>
  <c r="D32" i="10" s="1"/>
  <c r="W66" i="10"/>
  <c r="S66" i="10"/>
  <c r="O66" i="10"/>
  <c r="O57" i="10"/>
  <c r="O56" i="10"/>
  <c r="O55" i="10"/>
  <c r="O54" i="10"/>
  <c r="O52" i="10"/>
  <c r="O51" i="10"/>
  <c r="O50" i="10"/>
  <c r="AA43" i="10"/>
  <c r="W43" i="10"/>
  <c r="S43" i="10"/>
  <c r="O43" i="10"/>
  <c r="AA42" i="10"/>
  <c r="W42" i="10"/>
  <c r="S42" i="10"/>
  <c r="O42" i="10"/>
  <c r="AA41" i="10"/>
  <c r="W41" i="10"/>
  <c r="S41" i="10"/>
  <c r="O41" i="10"/>
  <c r="AA40" i="10"/>
  <c r="W40" i="10"/>
  <c r="S40" i="10"/>
  <c r="O40" i="10"/>
  <c r="AA38" i="10"/>
  <c r="W38" i="10"/>
  <c r="S38" i="10"/>
  <c r="O38" i="10"/>
  <c r="AA37" i="10"/>
  <c r="W37" i="10"/>
  <c r="S37" i="10"/>
  <c r="O37" i="10"/>
  <c r="AA36" i="10"/>
  <c r="W36" i="10"/>
  <c r="S36" i="10"/>
  <c r="S44" i="10" s="1"/>
  <c r="S45" i="10" s="1"/>
  <c r="D25" i="10" s="1"/>
  <c r="O36" i="10"/>
  <c r="AA29" i="10"/>
  <c r="W29" i="10"/>
  <c r="S29" i="10"/>
  <c r="AA28" i="10"/>
  <c r="W28" i="10"/>
  <c r="S28" i="10"/>
  <c r="O28" i="10"/>
  <c r="AA26" i="10"/>
  <c r="W26" i="10"/>
  <c r="S26" i="10"/>
  <c r="O26" i="10"/>
  <c r="AA25" i="10"/>
  <c r="W25" i="10"/>
  <c r="S25" i="10"/>
  <c r="O25" i="10"/>
  <c r="AA23" i="10"/>
  <c r="W23" i="10"/>
  <c r="S23" i="10"/>
  <c r="O23" i="10"/>
  <c r="AA22" i="10"/>
  <c r="W22" i="10"/>
  <c r="S22" i="10"/>
  <c r="S30" i="10" s="1"/>
  <c r="S31" i="10" s="1"/>
  <c r="D17" i="10" s="1"/>
  <c r="O22" i="10"/>
  <c r="AA20" i="10"/>
  <c r="AA30" i="10" s="1"/>
  <c r="AA31" i="10" s="1"/>
  <c r="D21" i="10" s="1"/>
  <c r="W20" i="10"/>
  <c r="S20" i="10"/>
  <c r="O20" i="10"/>
  <c r="AA12" i="10"/>
  <c r="W12" i="10"/>
  <c r="S12" i="10"/>
  <c r="O12" i="10"/>
  <c r="AA11" i="10"/>
  <c r="W11" i="10"/>
  <c r="S11" i="10"/>
  <c r="O11" i="10"/>
  <c r="AA10" i="10"/>
  <c r="W10" i="10"/>
  <c r="S10" i="10"/>
  <c r="O10" i="10"/>
  <c r="AA9" i="10"/>
  <c r="W9" i="10"/>
  <c r="S9" i="10"/>
  <c r="O9" i="10"/>
  <c r="AA7" i="10"/>
  <c r="W7" i="10"/>
  <c r="S7" i="10"/>
  <c r="O7" i="10"/>
  <c r="AA6" i="10"/>
  <c r="W6" i="10"/>
  <c r="S6" i="10"/>
  <c r="O6" i="10"/>
  <c r="W5" i="10"/>
  <c r="S5" i="10"/>
  <c r="I28" i="3"/>
  <c r="I29" i="3" s="1"/>
  <c r="F29" i="3"/>
  <c r="F30" i="3" s="1"/>
  <c r="C27" i="3"/>
  <c r="C28" i="3" s="1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W74" i="10" l="1"/>
  <c r="W75" i="10" s="1"/>
  <c r="D31" i="10" s="1"/>
  <c r="W30" i="10"/>
  <c r="W31" i="10" s="1"/>
  <c r="D20" i="10" s="1"/>
  <c r="S74" i="10"/>
  <c r="S75" i="10" s="1"/>
  <c r="D30" i="10" s="1"/>
  <c r="S13" i="10"/>
  <c r="S15" i="10" s="1"/>
  <c r="D16" i="10" s="1"/>
  <c r="O44" i="10"/>
  <c r="O45" i="10" s="1"/>
  <c r="D24" i="10" s="1"/>
  <c r="O88" i="10"/>
  <c r="O89" i="10" s="1"/>
  <c r="D33" i="10" s="1"/>
  <c r="W13" i="10"/>
  <c r="W15" i="10" s="1"/>
  <c r="D18" i="10" s="1"/>
  <c r="AA13" i="10"/>
  <c r="AA15" i="10" s="1"/>
  <c r="D19" i="10" s="1"/>
  <c r="O58" i="10"/>
  <c r="O59" i="10" s="1"/>
  <c r="D27" i="10" s="1"/>
  <c r="O116" i="10"/>
  <c r="O117" i="10" s="1"/>
  <c r="D38" i="10" s="1"/>
  <c r="O74" i="10"/>
  <c r="O75" i="10" s="1"/>
  <c r="D29" i="10" s="1"/>
  <c r="W116" i="10"/>
  <c r="W117" i="10" s="1"/>
  <c r="D40" i="10" s="1"/>
  <c r="O30" i="10"/>
  <c r="O31" i="10" s="1"/>
  <c r="D14" i="10" s="1"/>
  <c r="D41" i="10" s="1"/>
  <c r="W44" i="10"/>
  <c r="W45" i="10" s="1"/>
  <c r="D26" i="10" s="1"/>
  <c r="W88" i="10"/>
  <c r="W89" i="10" s="1"/>
  <c r="D35" i="10" s="1"/>
  <c r="AA44" i="10"/>
  <c r="AA45" i="10" s="1"/>
  <c r="D23" i="10" s="1"/>
  <c r="AA88" i="10"/>
  <c r="AA89" i="10" s="1"/>
  <c r="D36" i="10" s="1"/>
  <c r="O102" i="10"/>
  <c r="O103" i="10" s="1"/>
  <c r="D37" i="10" s="1"/>
  <c r="S116" i="10"/>
  <c r="S117" i="10" s="1"/>
  <c r="D39" i="10" s="1"/>
  <c r="D42" i="10" l="1"/>
  <c r="D44" i="10"/>
  <c r="D43" i="10"/>
  <c r="D45" i="10" s="1"/>
  <c r="L29" i="3" l="1"/>
  <c r="L30" i="3" s="1"/>
</calcChain>
</file>

<file path=xl/sharedStrings.xml><?xml version="1.0" encoding="utf-8"?>
<sst xmlns="http://schemas.openxmlformats.org/spreadsheetml/2006/main" count="572" uniqueCount="200">
  <si>
    <t>Welcome to the TecBooks general excel template for manufacturing business in Mexico!</t>
  </si>
  <si>
    <t>please follow the directions to the best of your ability and try to include all necessary information for best results</t>
  </si>
  <si>
    <t>1. We recommend you fill out the template sheet by sheet in the order that we have provided, however it is not necessary to follow this exact order</t>
  </si>
  <si>
    <t>Premises</t>
  </si>
  <si>
    <t>CETES</t>
  </si>
  <si>
    <t>Interest Rate</t>
  </si>
  <si>
    <t>Interest Rate (TIIE)</t>
  </si>
  <si>
    <t>PREMISES</t>
  </si>
  <si>
    <t>Description</t>
  </si>
  <si>
    <t>Instructions</t>
  </si>
  <si>
    <t>Inflation</t>
  </si>
  <si>
    <t>PTU (employee share of profit)</t>
  </si>
  <si>
    <t>All the present values in this sheet were based on real macroeconomic conditions and generally normal assumptions in the moment it was downloaded</t>
  </si>
  <si>
    <t>Feel free to change any of them as they pertain to you and your business</t>
  </si>
  <si>
    <t>ISR (tax on business income)</t>
  </si>
  <si>
    <t>Inventory Percentage</t>
  </si>
  <si>
    <t>Provider Percentage</t>
  </si>
  <si>
    <t>Short Term Passive</t>
  </si>
  <si>
    <t>Direct Product Costs</t>
  </si>
  <si>
    <t>Indirect Product Costs</t>
  </si>
  <si>
    <t>financing if there is any and accounting as it relates to taxable income</t>
  </si>
  <si>
    <t>The values in this sheet represent macroeconomic conditions in Mexico, and will apply to the:</t>
  </si>
  <si>
    <t>Sales Expenses</t>
  </si>
  <si>
    <t>Administration</t>
  </si>
  <si>
    <t>Building Depreciation Rate</t>
  </si>
  <si>
    <t>Machinery and Equipment Depreciation Rate</t>
  </si>
  <si>
    <t>Transport/Vehicles Depreciation Rate</t>
  </si>
  <si>
    <t>Computer Equipment Depreciation Rate</t>
  </si>
  <si>
    <t>BOMs</t>
  </si>
  <si>
    <t>BOMs (bill of materials) describe the production and financial needs of each product your business offers</t>
  </si>
  <si>
    <t>For each product your business manufactures, describe the BOM for that product. This includes the product</t>
  </si>
  <si>
    <t>name, sales price (on average if necessary),  and a list of the parts needed, the amount of each to make a full unit</t>
  </si>
  <si>
    <t>Power distribution board</t>
  </si>
  <si>
    <t>Name</t>
  </si>
  <si>
    <t>Drone Super Sport</t>
  </si>
  <si>
    <t>Part</t>
  </si>
  <si>
    <t>Quantity</t>
  </si>
  <si>
    <t>Cost</t>
  </si>
  <si>
    <t>Frame Base</t>
  </si>
  <si>
    <t>Drone Arms</t>
  </si>
  <si>
    <t>Upper Battery Plate</t>
  </si>
  <si>
    <t>Upper Frameplate</t>
  </si>
  <si>
    <t>Lower Frameplate</t>
  </si>
  <si>
    <t>Buzzer Support</t>
  </si>
  <si>
    <t>Capacitator Support</t>
  </si>
  <si>
    <t>GoPro Support</t>
  </si>
  <si>
    <t>Motor Shock Absorber</t>
  </si>
  <si>
    <t>Back Bumper</t>
  </si>
  <si>
    <t>Front Bumper</t>
  </si>
  <si>
    <t>Antenna Support</t>
  </si>
  <si>
    <t>Landing Board</t>
  </si>
  <si>
    <t>Armguards</t>
  </si>
  <si>
    <t>FPV Camera Support</t>
  </si>
  <si>
    <t>Electronic System</t>
  </si>
  <si>
    <t>Subtotal</t>
  </si>
  <si>
    <t>Total</t>
  </si>
  <si>
    <t>Sales Price</t>
  </si>
  <si>
    <t>*Put your first BOM here below*</t>
  </si>
  <si>
    <t>*name here*</t>
  </si>
  <si>
    <t>ASSETS AND DEPRECIATION</t>
  </si>
  <si>
    <t>The sheet's purpose is to record all the fixed assets the business will need starting in the first year and calculate their yearly depreciation.</t>
  </si>
  <si>
    <t>Assets will be grouped up into 4 categories, and the depreciation rates from sheet 1 will be applied to each category as a whole.</t>
  </si>
  <si>
    <t>Depreciación</t>
  </si>
  <si>
    <t>TOTAL</t>
  </si>
  <si>
    <t>MACHINERY</t>
  </si>
  <si>
    <t>VEHICLES</t>
  </si>
  <si>
    <t>BUILDINGS</t>
  </si>
  <si>
    <t>COMPUTER EQUIPMENT</t>
  </si>
  <si>
    <t>fake-car-1</t>
  </si>
  <si>
    <t>fake-bus-1</t>
  </si>
  <si>
    <t>fake-truck-1</t>
  </si>
  <si>
    <t>mexico</t>
  </si>
  <si>
    <t>manufacturing</t>
  </si>
  <si>
    <t>2. Do not move around or touch any cells that you aren't specified to touch, as you may not be able to upload the file correctly to the website</t>
  </si>
  <si>
    <t>3. Once it's all filled out to the best of your ability, go back to the TECBooks website and upload it in the TECBooks section to get your project evaluation</t>
  </si>
  <si>
    <t>Quality Improvement Rate</t>
  </si>
  <si>
    <t>Quality yield</t>
  </si>
  <si>
    <t>Shifts</t>
  </si>
  <si>
    <t>Production Lines</t>
  </si>
  <si>
    <t>Hours x Shift</t>
  </si>
  <si>
    <t>Days x Week</t>
  </si>
  <si>
    <t>Weeks x Month</t>
  </si>
  <si>
    <t>Units x Hour</t>
  </si>
  <si>
    <t>Months x Year</t>
  </si>
  <si>
    <t>Production Line</t>
  </si>
  <si>
    <t>We need to understand the output capacity of your business's production, so we need to collect data on</t>
  </si>
  <si>
    <t>it's availability, production, and quality.</t>
  </si>
  <si>
    <t>MOD Operador</t>
  </si>
  <si>
    <t>Porcentaje</t>
  </si>
  <si>
    <t>Percepción</t>
  </si>
  <si>
    <t>Salario base</t>
  </si>
  <si>
    <t>IMSS</t>
  </si>
  <si>
    <t>Infonavit</t>
  </si>
  <si>
    <t>Vales de despensa</t>
  </si>
  <si>
    <t>Prima Vacacional</t>
  </si>
  <si>
    <t>Aguinaldo</t>
  </si>
  <si>
    <t>Fondo de Ahorro</t>
  </si>
  <si>
    <t>Comedor</t>
  </si>
  <si>
    <t>ISR</t>
  </si>
  <si>
    <t>Salario Integrado</t>
  </si>
  <si>
    <t>WORKFORCE</t>
  </si>
  <si>
    <t>MOID Materiales</t>
  </si>
  <si>
    <t>MOID Técnico Pruebas</t>
  </si>
  <si>
    <t>MOID Almacen</t>
  </si>
  <si>
    <t>MOD Supervisor</t>
  </si>
  <si>
    <t>MOID Técnico Calidad</t>
  </si>
  <si>
    <t>MOID Técnico Producto</t>
  </si>
  <si>
    <t>MOID Técnico Logística</t>
  </si>
  <si>
    <t>IM Ingeniero Procesos</t>
  </si>
  <si>
    <t>IM Ingeniero de Calidad</t>
  </si>
  <si>
    <t>Ingeniero de Producto</t>
  </si>
  <si>
    <t>Ingeniero de Mtto</t>
  </si>
  <si>
    <t>ADMINISTRATIVOS</t>
  </si>
  <si>
    <t>IT</t>
  </si>
  <si>
    <t>Seguridad</t>
  </si>
  <si>
    <t>Supervisor</t>
  </si>
  <si>
    <t>Operator</t>
  </si>
  <si>
    <t>Vales de Despensa</t>
  </si>
  <si>
    <t>Direct Labor</t>
  </si>
  <si>
    <t>Indirect Labor</t>
  </si>
  <si>
    <t>Administrative</t>
  </si>
  <si>
    <t>Engineering</t>
  </si>
  <si>
    <t>Base salary</t>
  </si>
  <si>
    <t>Employees' salaries are a big part of the costs and expenses of a manufacturing business. But calculating their real impact on the books</t>
  </si>
  <si>
    <t>is more complicated than just their base salary, so we need a way to more accurately measure the total outflows due to salaries.</t>
  </si>
  <si>
    <t>We have provided the full job table for numerous common employee positions in manufacturing companies so you don't have to,</t>
  </si>
  <si>
    <t>but feel free to add more and customize and previously existing values. Once again, make sure not to alter the positions</t>
  </si>
  <si>
    <t>of any cells marked in orange, feel free to remove lines in this default table below to add your own or place them elsewhere.</t>
  </si>
  <si>
    <t>FINANCING</t>
  </si>
  <si>
    <t>Ambitious projects often need to finance their first year investment into the business, and therefore</t>
  </si>
  <si>
    <t>need to account for and correctly calculate monthly loan and interest payments.</t>
  </si>
  <si>
    <t>Electricidad</t>
  </si>
  <si>
    <t>Agua</t>
  </si>
  <si>
    <t>Telefonía Fija</t>
  </si>
  <si>
    <t>Internet</t>
  </si>
  <si>
    <t>Limpieza</t>
  </si>
  <si>
    <t>Mantenimiento</t>
  </si>
  <si>
    <t>Gastos Administrativos</t>
  </si>
  <si>
    <t>Sueldos y Salarios (Personal Administrativo)</t>
  </si>
  <si>
    <t>Renta de Oficina/Espacio</t>
  </si>
  <si>
    <t>Materiales de Oficina</t>
  </si>
  <si>
    <t>Software y Licencias</t>
  </si>
  <si>
    <t>Servicios de Contabilidad/Fiscales</t>
  </si>
  <si>
    <t>Asesoría Legal</t>
  </si>
  <si>
    <t>Seguros</t>
  </si>
  <si>
    <t>Capacitación y Desarrollo</t>
  </si>
  <si>
    <t>Gastos de Viaje y Representación</t>
  </si>
  <si>
    <t>Publicidad y Marketing (Interno)</t>
  </si>
  <si>
    <t>Otros (Insumos de Cocina, Cafetería, etc.)</t>
  </si>
  <si>
    <t>Machinery Installation Rate</t>
  </si>
  <si>
    <t>Estimated Monthly Rate</t>
  </si>
  <si>
    <t>Category</t>
  </si>
  <si>
    <t>Basis</t>
  </si>
  <si>
    <t>Other</t>
  </si>
  <si>
    <t>Amount</t>
  </si>
  <si>
    <t>if the generic national interest rate is not accurate to your business.</t>
  </si>
  <si>
    <t>Periods</t>
  </si>
  <si>
    <t>4. Optionally, include the name of your business/project in the specified cell below:</t>
  </si>
  <si>
    <t>Name:</t>
  </si>
  <si>
    <t>We have included a list of common business expenses and default monthly rates to the right to help.</t>
  </si>
  <si>
    <t>List the name and estimated monthly price of any and all expenses needed to accurately describe your business below.</t>
  </si>
  <si>
    <t>Position</t>
  </si>
  <si>
    <t>#</t>
  </si>
  <si>
    <t>Human Resources</t>
  </si>
  <si>
    <t>Finance/Accounting</t>
  </si>
  <si>
    <t>Purchasing</t>
  </si>
  <si>
    <t>Sales</t>
  </si>
  <si>
    <t>Marketing</t>
  </si>
  <si>
    <t>Logistics</t>
  </si>
  <si>
    <t>Executive Secretary</t>
  </si>
  <si>
    <t>General Manager</t>
  </si>
  <si>
    <t>Administrative Manager</t>
  </si>
  <si>
    <t>Cleaning/Maintenance</t>
  </si>
  <si>
    <t>Security</t>
  </si>
  <si>
    <t>Secretary</t>
  </si>
  <si>
    <t>Operational Manager</t>
  </si>
  <si>
    <t>For each of your products, create a  BOM like the example given to the right. You must have at least one BOM,</t>
  </si>
  <si>
    <t>make sure to separate each BOM with exactly one blank line</t>
  </si>
  <si>
    <t>The four categories of assets are empty below, to list an asset, simply add a new row. Do not allow blank lines in between your listed assets</t>
  </si>
  <si>
    <t>Cost/Initial Value</t>
  </si>
  <si>
    <t>An example for one of the categories is shown to the right.</t>
  </si>
  <si>
    <t>Expenses/Services</t>
  </si>
  <si>
    <t>EXPENSES/SERVICES</t>
  </si>
  <si>
    <t>This section is dedicated to any other expense/service the business require and pay on a monthly basis.</t>
  </si>
  <si>
    <t>Characteristic</t>
  </si>
  <si>
    <t>Rate</t>
  </si>
  <si>
    <r>
      <t xml:space="preserve">Fill in the table below with the output rates of your production line </t>
    </r>
    <r>
      <rPr>
        <i/>
        <sz val="11"/>
        <color theme="1"/>
        <rFont val="Aptos Narrow"/>
        <family val="2"/>
        <scheme val="minor"/>
      </rPr>
      <t>as they relate to units</t>
    </r>
    <r>
      <rPr>
        <sz val="11"/>
        <color theme="1"/>
        <rFont val="Aptos Narrow"/>
        <family val="2"/>
        <scheme val="minor"/>
      </rPr>
      <t>. Refer to the example on the right.</t>
    </r>
  </si>
  <si>
    <t>Utilization Rate</t>
  </si>
  <si>
    <t>Months</t>
  </si>
  <si>
    <t>1st year</t>
  </si>
  <si>
    <t>1st full year</t>
  </si>
  <si>
    <t>Year</t>
  </si>
  <si>
    <t>PRODUCTION AND SALES</t>
  </si>
  <si>
    <t># Units</t>
  </si>
  <si>
    <t>For demand/utilization, put either the total number of units ordered during the first year or the projected number to be sold</t>
  </si>
  <si>
    <t>during the first full year of operation.</t>
  </si>
  <si>
    <t>Initial Investment</t>
  </si>
  <si>
    <t>'periods' or months in which the loan must be paid back, and feel free to update the interest rate to match your rate</t>
  </si>
  <si>
    <t>Add your initial investment. If your project plans on or relies on a loan to cover startup investments, add the amount as well as the number of</t>
  </si>
  <si>
    <t>Reward 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</si>
</sst>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7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Footlight MT Light"/>
      <family val="1"/>
    </font>
    <font>
      <sz val="11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44" fontId="0" fillId="0" borderId="0" xfId="2" applyFont="1"/>
    <xf numFmtId="9" fontId="0" fillId="0" borderId="0" xfId="3" applyFont="1"/>
    <xf numFmtId="44" fontId="0" fillId="0" borderId="0" xfId="0" applyNumberFormat="1"/>
    <xf numFmtId="0" fontId="0" fillId="0" borderId="0" xfId="2" applyNumberFormat="1" applyFont="1"/>
    <xf numFmtId="0" fontId="0" fillId="0" borderId="0" xfId="0" applyNumberFormat="1"/>
    <xf numFmtId="40" fontId="6" fillId="0" borderId="0" xfId="4" applyNumberFormat="1" applyFont="1"/>
    <xf numFmtId="0" fontId="6" fillId="0" borderId="0" xfId="4" applyFont="1"/>
    <xf numFmtId="40" fontId="6" fillId="2" borderId="0" xfId="4" applyNumberFormat="1" applyFont="1" applyFill="1"/>
    <xf numFmtId="0" fontId="0" fillId="2" borderId="0" xfId="0" applyFill="1"/>
    <xf numFmtId="0" fontId="0" fillId="0" borderId="2" xfId="0" applyBorder="1"/>
    <xf numFmtId="0" fontId="0" fillId="0" borderId="0" xfId="0" applyBorder="1"/>
    <xf numFmtId="2" fontId="0" fillId="0" borderId="0" xfId="0" applyNumberFormat="1" applyBorder="1"/>
    <xf numFmtId="167" fontId="0" fillId="0" borderId="0" xfId="0" applyNumberFormat="1"/>
    <xf numFmtId="0" fontId="2" fillId="2" borderId="2" xfId="0" applyFont="1" applyFill="1" applyBorder="1"/>
    <xf numFmtId="44" fontId="0" fillId="0" borderId="2" xfId="2" applyFont="1" applyBorder="1"/>
    <xf numFmtId="9" fontId="0" fillId="0" borderId="2" xfId="3" applyFont="1" applyBorder="1"/>
    <xf numFmtId="164" fontId="0" fillId="0" borderId="0" xfId="0" applyNumberFormat="1"/>
    <xf numFmtId="164" fontId="0" fillId="0" borderId="1" xfId="0" applyNumberFormat="1" applyBorder="1"/>
    <xf numFmtId="0" fontId="0" fillId="0" borderId="0" xfId="0" applyFill="1" applyBorder="1"/>
    <xf numFmtId="0" fontId="0" fillId="0" borderId="1" xfId="0" applyFill="1" applyBorder="1"/>
    <xf numFmtId="0" fontId="0" fillId="3" borderId="0" xfId="0" applyFill="1" applyBorder="1"/>
    <xf numFmtId="0" fontId="0" fillId="3" borderId="0" xfId="0" applyFill="1"/>
    <xf numFmtId="44" fontId="0" fillId="3" borderId="0" xfId="0" applyNumberFormat="1" applyFill="1"/>
    <xf numFmtId="164" fontId="0" fillId="3" borderId="0" xfId="0" applyNumberFormat="1" applyFill="1"/>
    <xf numFmtId="0" fontId="0" fillId="3" borderId="1" xfId="0" applyFill="1" applyBorder="1"/>
    <xf numFmtId="164" fontId="0" fillId="3" borderId="1" xfId="0" applyNumberFormat="1" applyFill="1" applyBorder="1"/>
    <xf numFmtId="40" fontId="6" fillId="3" borderId="0" xfId="4" applyNumberFormat="1" applyFont="1" applyFill="1"/>
    <xf numFmtId="0" fontId="0" fillId="0" borderId="0" xfId="0" quotePrefix="1"/>
    <xf numFmtId="43" fontId="0" fillId="0" borderId="0" xfId="1" applyFont="1" applyBorder="1"/>
    <xf numFmtId="0" fontId="0" fillId="0" borderId="3" xfId="0" applyBorder="1"/>
    <xf numFmtId="0" fontId="2" fillId="2" borderId="1" xfId="0" applyFont="1" applyFill="1" applyBorder="1"/>
    <xf numFmtId="0" fontId="0" fillId="2" borderId="1" xfId="0" applyFill="1" applyBorder="1"/>
    <xf numFmtId="0" fontId="4" fillId="2" borderId="0" xfId="0" applyFont="1" applyFill="1"/>
    <xf numFmtId="0" fontId="0" fillId="0" borderId="0" xfId="0" applyFill="1"/>
    <xf numFmtId="0" fontId="2" fillId="0" borderId="0" xfId="0" applyFont="1"/>
    <xf numFmtId="2" fontId="0" fillId="0" borderId="0" xfId="0" applyNumberFormat="1" applyFill="1"/>
    <xf numFmtId="40" fontId="6" fillId="0" borderId="0" xfId="4" applyNumberFormat="1" applyFont="1" applyFill="1"/>
    <xf numFmtId="40" fontId="1" fillId="0" borderId="0" xfId="0" applyNumberFormat="1" applyFont="1" applyFill="1"/>
    <xf numFmtId="40" fontId="6" fillId="0" borderId="1" xfId="4" applyNumberFormat="1" applyFont="1" applyFill="1" applyBorder="1"/>
    <xf numFmtId="40" fontId="1" fillId="0" borderId="1" xfId="0" applyNumberFormat="1" applyFont="1" applyFill="1" applyBorder="1"/>
    <xf numFmtId="0" fontId="7" fillId="2" borderId="0" xfId="0" applyFont="1" applyFill="1"/>
    <xf numFmtId="167" fontId="0" fillId="0" borderId="0" xfId="0" applyNumberFormat="1" applyFill="1"/>
    <xf numFmtId="0" fontId="7" fillId="3" borderId="0" xfId="0" applyFont="1" applyFill="1"/>
    <xf numFmtId="167" fontId="6" fillId="0" borderId="0" xfId="5" applyFont="1" applyBorder="1"/>
    <xf numFmtId="0" fontId="6" fillId="0" borderId="0" xfId="4" applyFont="1" applyBorder="1"/>
  </cellXfs>
  <cellStyles count="6">
    <cellStyle name="Comma" xfId="1" builtinId="3"/>
    <cellStyle name="Comma 2" xfId="5" xr:uid="{DB25B037-658C-4309-8FA7-E6AE85076314}"/>
    <cellStyle name="Currency" xfId="2" builtinId="4"/>
    <cellStyle name="Normal" xfId="0" builtinId="0"/>
    <cellStyle name="Normal 2" xfId="4" xr:uid="{EA69FAA6-E30C-4317-8A5C-FBDD85F4DF15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\Downloads\Template%20Financiero%20IN3001B.xlsx" TargetMode="External"/><Relationship Id="rId1" Type="http://schemas.openxmlformats.org/officeDocument/2006/relationships/externalLinkPath" Target="Template%20Financiero%20IN3001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isas"/>
      <sheetName val="COs"/>
      <sheetName val="Capacidad"/>
      <sheetName val="BOM"/>
      <sheetName val="Depreciación."/>
      <sheetName val="Financiamiento"/>
      <sheetName val="Egresos"/>
      <sheetName val="Ingresos"/>
      <sheetName val="Estado R"/>
      <sheetName val="Flujo"/>
      <sheetName val="Balance"/>
      <sheetName val="Razones"/>
      <sheetName val="Graficos"/>
    </sheetNames>
    <sheetDataSet>
      <sheetData sheetId="0">
        <row r="12">
          <cell r="E12">
            <v>3.4000000000000002E-2</v>
          </cell>
        </row>
        <row r="30">
          <cell r="B30">
            <v>8.5000000000000006E-2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B9C3-B594-40EA-A5AA-1182793A1105}">
  <dimension ref="A1:M16"/>
  <sheetViews>
    <sheetView workbookViewId="0">
      <selection activeCell="C16" sqref="C16"/>
    </sheetView>
  </sheetViews>
  <sheetFormatPr defaultRowHeight="14.5" x14ac:dyDescent="0.35"/>
  <sheetData>
    <row r="1" spans="1:13" x14ac:dyDescent="0.35">
      <c r="A1" t="s">
        <v>71</v>
      </c>
      <c r="B1" t="s">
        <v>72</v>
      </c>
    </row>
    <row r="2" spans="1:13" x14ac:dyDescent="0.3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5">
      <c r="B5" s="1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9" spans="1:13" x14ac:dyDescent="0.35">
      <c r="B9" t="s">
        <v>2</v>
      </c>
    </row>
    <row r="11" spans="1:13" x14ac:dyDescent="0.35">
      <c r="B11" t="s">
        <v>73</v>
      </c>
    </row>
    <row r="13" spans="1:13" x14ac:dyDescent="0.35">
      <c r="B13" t="s">
        <v>74</v>
      </c>
    </row>
    <row r="15" spans="1:13" x14ac:dyDescent="0.35">
      <c r="B15" t="s">
        <v>157</v>
      </c>
    </row>
    <row r="16" spans="1:13" x14ac:dyDescent="0.35">
      <c r="B16" t="s">
        <v>158</v>
      </c>
      <c r="C16" s="31"/>
    </row>
  </sheetData>
  <mergeCells count="2">
    <mergeCell ref="B2:M4"/>
    <mergeCell ref="B5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C491-FB9D-488D-989A-AC1F3CA8E3EA}">
  <dimension ref="A1:C36"/>
  <sheetViews>
    <sheetView workbookViewId="0">
      <selection activeCell="G9" sqref="G9"/>
    </sheetView>
  </sheetViews>
  <sheetFormatPr defaultRowHeight="14.5" x14ac:dyDescent="0.35"/>
  <cols>
    <col min="2" max="2" width="38.08984375" customWidth="1"/>
  </cols>
  <sheetData>
    <row r="1" spans="1:3" x14ac:dyDescent="0.35">
      <c r="A1" t="s">
        <v>7</v>
      </c>
    </row>
    <row r="2" spans="1:3" x14ac:dyDescent="0.35">
      <c r="B2" s="3" t="s">
        <v>8</v>
      </c>
    </row>
    <row r="3" spans="1:3" x14ac:dyDescent="0.35">
      <c r="B3" t="s">
        <v>21</v>
      </c>
    </row>
    <row r="4" spans="1:3" x14ac:dyDescent="0.35">
      <c r="B4" t="s">
        <v>20</v>
      </c>
    </row>
    <row r="6" spans="1:3" x14ac:dyDescent="0.35">
      <c r="B6" s="3" t="s">
        <v>9</v>
      </c>
    </row>
    <row r="7" spans="1:3" x14ac:dyDescent="0.35">
      <c r="B7" t="s">
        <v>12</v>
      </c>
    </row>
    <row r="8" spans="1:3" x14ac:dyDescent="0.35">
      <c r="B8" t="s">
        <v>13</v>
      </c>
    </row>
    <row r="10" spans="1:3" x14ac:dyDescent="0.35">
      <c r="B10" s="35" t="s">
        <v>3</v>
      </c>
      <c r="C10" s="34">
        <v>2026</v>
      </c>
    </row>
    <row r="11" spans="1:3" x14ac:dyDescent="0.35">
      <c r="B11" t="s">
        <v>6</v>
      </c>
      <c r="C11">
        <v>7.4999999999999997E-2</v>
      </c>
    </row>
    <row r="12" spans="1:3" x14ac:dyDescent="0.35">
      <c r="B12" t="s">
        <v>10</v>
      </c>
      <c r="C12">
        <v>3.7999999999999999E-2</v>
      </c>
    </row>
    <row r="13" spans="1:3" x14ac:dyDescent="0.35">
      <c r="B13" t="s">
        <v>14</v>
      </c>
      <c r="C13">
        <v>0.34</v>
      </c>
    </row>
    <row r="14" spans="1:3" x14ac:dyDescent="0.35">
      <c r="B14" s="14" t="s">
        <v>11</v>
      </c>
      <c r="C14" s="14">
        <v>0.1</v>
      </c>
    </row>
    <row r="15" spans="1:3" x14ac:dyDescent="0.35">
      <c r="B15" s="22" t="s">
        <v>4</v>
      </c>
      <c r="C15" s="22">
        <v>0.08</v>
      </c>
    </row>
    <row r="16" spans="1:3" x14ac:dyDescent="0.35">
      <c r="B16" s="3" t="s">
        <v>199</v>
      </c>
      <c r="C16" s="3">
        <v>0.1</v>
      </c>
    </row>
    <row r="17" spans="2:3" x14ac:dyDescent="0.35">
      <c r="B17" t="s">
        <v>15</v>
      </c>
      <c r="C17">
        <v>0.2</v>
      </c>
    </row>
    <row r="18" spans="2:3" x14ac:dyDescent="0.35">
      <c r="B18" t="s">
        <v>16</v>
      </c>
      <c r="C18">
        <v>0.2</v>
      </c>
    </row>
    <row r="19" spans="2:3" x14ac:dyDescent="0.35">
      <c r="B19" t="s">
        <v>17</v>
      </c>
      <c r="C19">
        <v>0.03</v>
      </c>
    </row>
    <row r="20" spans="2:3" x14ac:dyDescent="0.35">
      <c r="B20" t="s">
        <v>18</v>
      </c>
      <c r="C20">
        <v>0.15</v>
      </c>
    </row>
    <row r="21" spans="2:3" x14ac:dyDescent="0.35">
      <c r="B21" t="s">
        <v>19</v>
      </c>
      <c r="C21">
        <v>0.05</v>
      </c>
    </row>
    <row r="22" spans="2:3" x14ac:dyDescent="0.35">
      <c r="B22" t="s">
        <v>22</v>
      </c>
      <c r="C22">
        <v>2E-3</v>
      </c>
    </row>
    <row r="23" spans="2:3" x14ac:dyDescent="0.35">
      <c r="B23" s="3" t="s">
        <v>23</v>
      </c>
      <c r="C23" s="3">
        <v>5.0000000000000001E-3</v>
      </c>
    </row>
    <row r="24" spans="2:3" x14ac:dyDescent="0.35">
      <c r="B24" t="s">
        <v>24</v>
      </c>
      <c r="C24">
        <v>0.05</v>
      </c>
    </row>
    <row r="25" spans="2:3" x14ac:dyDescent="0.35">
      <c r="B25" t="s">
        <v>25</v>
      </c>
      <c r="C25">
        <v>0.1</v>
      </c>
    </row>
    <row r="26" spans="2:3" x14ac:dyDescent="0.35">
      <c r="B26" t="s">
        <v>26</v>
      </c>
      <c r="C26">
        <v>0.2</v>
      </c>
    </row>
    <row r="27" spans="2:3" x14ac:dyDescent="0.35">
      <c r="B27" s="14" t="s">
        <v>27</v>
      </c>
      <c r="C27" s="14">
        <v>8.5000000000000006E-2</v>
      </c>
    </row>
    <row r="28" spans="2:3" x14ac:dyDescent="0.35">
      <c r="B28" s="23" t="s">
        <v>149</v>
      </c>
      <c r="C28" s="23">
        <v>0.35</v>
      </c>
    </row>
    <row r="29" spans="2:3" x14ac:dyDescent="0.35">
      <c r="B29" s="14" t="s">
        <v>75</v>
      </c>
      <c r="C29" s="14">
        <v>0.04</v>
      </c>
    </row>
    <row r="30" spans="2:3" x14ac:dyDescent="0.35">
      <c r="B30" s="23" t="s">
        <v>187</v>
      </c>
      <c r="C30" s="23">
        <v>0.6</v>
      </c>
    </row>
    <row r="31" spans="2:3" x14ac:dyDescent="0.35">
      <c r="B31" t="s">
        <v>91</v>
      </c>
      <c r="C31">
        <v>0.03</v>
      </c>
    </row>
    <row r="32" spans="2:3" x14ac:dyDescent="0.35">
      <c r="B32" t="s">
        <v>92</v>
      </c>
      <c r="C32">
        <v>0.2</v>
      </c>
    </row>
    <row r="33" spans="2:3" x14ac:dyDescent="0.35">
      <c r="B33" t="s">
        <v>117</v>
      </c>
      <c r="C33">
        <v>0.13</v>
      </c>
    </row>
    <row r="34" spans="2:3" x14ac:dyDescent="0.35">
      <c r="B34" t="s">
        <v>95</v>
      </c>
      <c r="C34">
        <v>0.28799999999999998</v>
      </c>
    </row>
    <row r="35" spans="2:3" x14ac:dyDescent="0.35">
      <c r="B35" t="s">
        <v>96</v>
      </c>
      <c r="C35">
        <v>7.0000000000000007E-2</v>
      </c>
    </row>
    <row r="36" spans="2:3" x14ac:dyDescent="0.35">
      <c r="B36" s="3" t="s">
        <v>97</v>
      </c>
      <c r="C36" s="3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6DC1-CBBF-46DC-96C6-3A364F6A314E}">
  <dimension ref="A1:R21"/>
  <sheetViews>
    <sheetView workbookViewId="0">
      <selection activeCell="H13" sqref="H13"/>
    </sheetView>
  </sheetViews>
  <sheetFormatPr defaultRowHeight="14.5" x14ac:dyDescent="0.35"/>
  <cols>
    <col min="2" max="2" width="18.81640625" customWidth="1"/>
    <col min="3" max="3" width="12" customWidth="1"/>
    <col min="4" max="4" width="10.7265625" customWidth="1"/>
    <col min="12" max="12" width="14.6328125" customWidth="1"/>
    <col min="13" max="13" width="11.36328125" customWidth="1"/>
    <col min="14" max="15" width="10.6328125" customWidth="1"/>
    <col min="17" max="17" width="10.7265625" customWidth="1"/>
  </cols>
  <sheetData>
    <row r="1" spans="1:18" x14ac:dyDescent="0.35">
      <c r="A1" t="s">
        <v>28</v>
      </c>
    </row>
    <row r="2" spans="1:18" x14ac:dyDescent="0.35">
      <c r="B2" s="3" t="s">
        <v>8</v>
      </c>
      <c r="L2" s="25" t="s">
        <v>33</v>
      </c>
      <c r="M2" s="25" t="s">
        <v>34</v>
      </c>
      <c r="N2" s="25" t="s">
        <v>56</v>
      </c>
      <c r="O2" s="25">
        <v>7700</v>
      </c>
    </row>
    <row r="3" spans="1:18" x14ac:dyDescent="0.35">
      <c r="B3" t="s">
        <v>29</v>
      </c>
      <c r="L3" s="23" t="s">
        <v>35</v>
      </c>
      <c r="M3" s="23" t="s">
        <v>36</v>
      </c>
      <c r="N3" s="23" t="s">
        <v>37</v>
      </c>
      <c r="O3" s="23" t="s">
        <v>54</v>
      </c>
      <c r="P3" s="4"/>
      <c r="Q3" s="4"/>
      <c r="R3" s="4"/>
    </row>
    <row r="4" spans="1:18" x14ac:dyDescent="0.35">
      <c r="L4" t="s">
        <v>38</v>
      </c>
      <c r="M4">
        <v>1</v>
      </c>
      <c r="N4" s="7">
        <v>627</v>
      </c>
      <c r="O4" s="7">
        <f>M4*N4</f>
        <v>627</v>
      </c>
      <c r="P4" s="4"/>
      <c r="Q4" s="4"/>
      <c r="R4" s="5"/>
    </row>
    <row r="5" spans="1:18" x14ac:dyDescent="0.35">
      <c r="B5" s="3" t="s">
        <v>9</v>
      </c>
      <c r="L5" t="s">
        <v>42</v>
      </c>
      <c r="M5">
        <v>1</v>
      </c>
      <c r="N5" s="7">
        <v>214.5</v>
      </c>
      <c r="O5" s="7">
        <f t="shared" ref="O5:Q20" si="0">M5*N5</f>
        <v>214.5</v>
      </c>
      <c r="P5" s="4"/>
      <c r="Q5" s="4"/>
      <c r="R5" s="5"/>
    </row>
    <row r="6" spans="1:18" x14ac:dyDescent="0.35">
      <c r="B6" t="s">
        <v>30</v>
      </c>
      <c r="L6" t="s">
        <v>39</v>
      </c>
      <c r="M6">
        <v>4</v>
      </c>
      <c r="N6" s="7">
        <v>20</v>
      </c>
      <c r="O6" s="7">
        <f t="shared" si="0"/>
        <v>80</v>
      </c>
      <c r="P6" s="4"/>
      <c r="Q6" s="4"/>
      <c r="R6" s="5"/>
    </row>
    <row r="7" spans="1:18" x14ac:dyDescent="0.35">
      <c r="B7" t="s">
        <v>31</v>
      </c>
      <c r="L7" t="s">
        <v>40</v>
      </c>
      <c r="M7">
        <v>1</v>
      </c>
      <c r="N7" s="7">
        <v>257</v>
      </c>
      <c r="O7" s="7">
        <f t="shared" si="0"/>
        <v>257</v>
      </c>
      <c r="P7" s="4"/>
      <c r="Q7" s="4"/>
      <c r="R7" s="5"/>
    </row>
    <row r="8" spans="1:18" x14ac:dyDescent="0.35">
      <c r="B8" t="s">
        <v>176</v>
      </c>
      <c r="L8" t="s">
        <v>41</v>
      </c>
      <c r="M8">
        <v>1</v>
      </c>
      <c r="N8" s="7">
        <v>214.5</v>
      </c>
      <c r="O8" s="7">
        <f t="shared" si="0"/>
        <v>214.5</v>
      </c>
      <c r="P8" s="4"/>
      <c r="Q8" s="4"/>
      <c r="R8" s="5"/>
    </row>
    <row r="9" spans="1:18" x14ac:dyDescent="0.35">
      <c r="B9" s="38" t="s">
        <v>177</v>
      </c>
      <c r="L9" t="s">
        <v>43</v>
      </c>
      <c r="M9">
        <v>1</v>
      </c>
      <c r="N9" s="7">
        <v>0.49</v>
      </c>
      <c r="O9" s="7">
        <f t="shared" si="0"/>
        <v>0.49</v>
      </c>
      <c r="P9" s="4"/>
      <c r="Q9" s="4"/>
      <c r="R9" s="5"/>
    </row>
    <row r="10" spans="1:18" x14ac:dyDescent="0.35">
      <c r="B10" t="s">
        <v>57</v>
      </c>
      <c r="L10" t="s">
        <v>44</v>
      </c>
      <c r="M10">
        <v>1</v>
      </c>
      <c r="N10" s="7">
        <v>0.46</v>
      </c>
      <c r="O10" s="7">
        <f t="shared" si="0"/>
        <v>0.46</v>
      </c>
      <c r="P10" s="4"/>
      <c r="Q10" s="4"/>
      <c r="R10" s="5"/>
    </row>
    <row r="11" spans="1:18" x14ac:dyDescent="0.35">
      <c r="B11" s="12" t="s">
        <v>33</v>
      </c>
      <c r="C11" s="36" t="s">
        <v>58</v>
      </c>
      <c r="D11" s="12" t="s">
        <v>56</v>
      </c>
      <c r="E11" s="12"/>
      <c r="L11" t="s">
        <v>48</v>
      </c>
      <c r="M11">
        <v>1</v>
      </c>
      <c r="N11" s="7">
        <v>0.84</v>
      </c>
      <c r="O11" s="7">
        <f t="shared" si="0"/>
        <v>0.84</v>
      </c>
      <c r="P11" s="4"/>
      <c r="Q11" s="4"/>
      <c r="R11" s="5"/>
    </row>
    <row r="12" spans="1:18" x14ac:dyDescent="0.35">
      <c r="B12" s="23" t="s">
        <v>35</v>
      </c>
      <c r="C12" s="23" t="s">
        <v>36</v>
      </c>
      <c r="D12" s="23" t="s">
        <v>37</v>
      </c>
      <c r="E12" s="23" t="s">
        <v>54</v>
      </c>
      <c r="L12" t="s">
        <v>45</v>
      </c>
      <c r="M12">
        <v>1</v>
      </c>
      <c r="N12" s="7">
        <v>12.92</v>
      </c>
      <c r="O12" s="7">
        <f t="shared" si="0"/>
        <v>12.92</v>
      </c>
      <c r="P12" s="4"/>
      <c r="Q12" s="4"/>
      <c r="R12" s="5"/>
    </row>
    <row r="13" spans="1:18" x14ac:dyDescent="0.35">
      <c r="L13" t="s">
        <v>46</v>
      </c>
      <c r="M13">
        <v>4</v>
      </c>
      <c r="N13" s="7">
        <v>0.68</v>
      </c>
      <c r="O13" s="7">
        <f t="shared" si="0"/>
        <v>2.72</v>
      </c>
      <c r="P13" s="4"/>
      <c r="Q13" s="4"/>
      <c r="R13" s="5"/>
    </row>
    <row r="14" spans="1:18" x14ac:dyDescent="0.35">
      <c r="L14" t="s">
        <v>47</v>
      </c>
      <c r="M14">
        <v>1</v>
      </c>
      <c r="N14" s="7">
        <v>0.84</v>
      </c>
      <c r="O14" s="7">
        <f t="shared" si="0"/>
        <v>0.84</v>
      </c>
      <c r="P14" s="4"/>
      <c r="Q14" s="4"/>
      <c r="R14" s="5"/>
    </row>
    <row r="15" spans="1:18" x14ac:dyDescent="0.35">
      <c r="L15" t="s">
        <v>49</v>
      </c>
      <c r="M15">
        <v>1</v>
      </c>
      <c r="N15" s="7">
        <v>3.84</v>
      </c>
      <c r="O15" s="7">
        <f t="shared" si="0"/>
        <v>3.84</v>
      </c>
      <c r="P15" s="4"/>
      <c r="Q15" s="4"/>
      <c r="R15" s="5"/>
    </row>
    <row r="16" spans="1:18" x14ac:dyDescent="0.35">
      <c r="L16" t="s">
        <v>50</v>
      </c>
      <c r="M16">
        <v>4</v>
      </c>
      <c r="N16" s="7">
        <v>3.62</v>
      </c>
      <c r="O16" s="7">
        <f t="shared" si="0"/>
        <v>14.48</v>
      </c>
      <c r="P16" s="4"/>
      <c r="Q16" s="4"/>
      <c r="R16" s="5"/>
    </row>
    <row r="17" spans="12:18" x14ac:dyDescent="0.35">
      <c r="L17" t="s">
        <v>51</v>
      </c>
      <c r="M17">
        <v>4</v>
      </c>
      <c r="N17" s="7">
        <v>1.49</v>
      </c>
      <c r="O17" s="7">
        <f t="shared" si="0"/>
        <v>5.96</v>
      </c>
      <c r="P17" s="4"/>
      <c r="Q17" s="4"/>
      <c r="R17" s="5"/>
    </row>
    <row r="18" spans="12:18" x14ac:dyDescent="0.35">
      <c r="L18" t="s">
        <v>52</v>
      </c>
      <c r="M18">
        <v>1</v>
      </c>
      <c r="N18" s="7">
        <v>4.4800000000000004</v>
      </c>
      <c r="O18" s="7">
        <f t="shared" si="0"/>
        <v>4.4800000000000004</v>
      </c>
      <c r="P18" s="4"/>
      <c r="Q18" s="4"/>
      <c r="R18" s="5"/>
    </row>
    <row r="19" spans="12:18" x14ac:dyDescent="0.35">
      <c r="L19" t="s">
        <v>32</v>
      </c>
      <c r="M19">
        <v>1</v>
      </c>
      <c r="N19" s="7">
        <v>181</v>
      </c>
      <c r="O19" s="7">
        <f t="shared" si="0"/>
        <v>181</v>
      </c>
      <c r="P19" s="4"/>
      <c r="Q19" s="4"/>
      <c r="R19" s="5"/>
    </row>
    <row r="20" spans="12:18" x14ac:dyDescent="0.35">
      <c r="L20" t="s">
        <v>53</v>
      </c>
      <c r="M20">
        <v>1</v>
      </c>
      <c r="N20" s="7">
        <v>4500</v>
      </c>
      <c r="O20" s="7">
        <f t="shared" si="0"/>
        <v>4500</v>
      </c>
      <c r="P20" s="4"/>
      <c r="Q20" s="4"/>
      <c r="R20" s="5"/>
    </row>
    <row r="21" spans="12:18" x14ac:dyDescent="0.35">
      <c r="O21" s="8"/>
      <c r="Q2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421B-1A30-48F5-B3CC-0EEF587B6626}">
  <dimension ref="A1:O87"/>
  <sheetViews>
    <sheetView workbookViewId="0">
      <selection activeCell="H17" sqref="H17"/>
    </sheetView>
  </sheetViews>
  <sheetFormatPr defaultRowHeight="14.5" x14ac:dyDescent="0.35"/>
  <cols>
    <col min="3" max="3" width="13.81640625" bestFit="1" customWidth="1"/>
    <col min="6" max="6" width="12.453125" customWidth="1"/>
    <col min="9" max="9" width="12.453125" customWidth="1"/>
    <col min="12" max="12" width="11.6328125" customWidth="1"/>
    <col min="15" max="15" width="13.1796875" customWidth="1"/>
  </cols>
  <sheetData>
    <row r="1" spans="1:15" x14ac:dyDescent="0.35">
      <c r="A1" t="s">
        <v>59</v>
      </c>
    </row>
    <row r="2" spans="1:15" x14ac:dyDescent="0.35">
      <c r="B2" s="3" t="s">
        <v>8</v>
      </c>
    </row>
    <row r="3" spans="1:15" x14ac:dyDescent="0.35">
      <c r="B3" t="s">
        <v>60</v>
      </c>
      <c r="N3" s="30" t="s">
        <v>65</v>
      </c>
      <c r="O3" s="30"/>
    </row>
    <row r="4" spans="1:15" x14ac:dyDescent="0.35">
      <c r="B4" t="s">
        <v>61</v>
      </c>
      <c r="N4" s="40" t="s">
        <v>33</v>
      </c>
      <c r="O4" s="41" t="s">
        <v>179</v>
      </c>
    </row>
    <row r="5" spans="1:15" x14ac:dyDescent="0.35">
      <c r="N5" s="9" t="s">
        <v>68</v>
      </c>
      <c r="O5" s="9">
        <v>300000</v>
      </c>
    </row>
    <row r="6" spans="1:15" x14ac:dyDescent="0.35">
      <c r="B6" s="3" t="s">
        <v>9</v>
      </c>
      <c r="N6" s="9" t="s">
        <v>69</v>
      </c>
      <c r="O6" s="9">
        <v>400000</v>
      </c>
    </row>
    <row r="7" spans="1:15" x14ac:dyDescent="0.35">
      <c r="B7" t="s">
        <v>178</v>
      </c>
      <c r="N7" s="9" t="s">
        <v>70</v>
      </c>
      <c r="O7" s="9">
        <v>700000</v>
      </c>
    </row>
    <row r="8" spans="1:15" x14ac:dyDescent="0.35">
      <c r="B8" t="s">
        <v>180</v>
      </c>
    </row>
    <row r="10" spans="1:15" x14ac:dyDescent="0.35">
      <c r="B10" s="9"/>
      <c r="C10" s="9"/>
    </row>
    <row r="11" spans="1:15" x14ac:dyDescent="0.35">
      <c r="B11" s="11" t="s">
        <v>64</v>
      </c>
      <c r="C11" s="11"/>
      <c r="E11" s="11" t="s">
        <v>65</v>
      </c>
      <c r="F11" s="11"/>
      <c r="H11" s="11" t="s">
        <v>66</v>
      </c>
      <c r="I11" s="11"/>
      <c r="K11" s="11" t="s">
        <v>67</v>
      </c>
      <c r="L11" s="11"/>
    </row>
    <row r="12" spans="1:15" x14ac:dyDescent="0.35">
      <c r="B12" s="42" t="s">
        <v>33</v>
      </c>
      <c r="C12" s="43" t="s">
        <v>179</v>
      </c>
      <c r="E12" s="42" t="s">
        <v>33</v>
      </c>
      <c r="F12" s="43" t="s">
        <v>179</v>
      </c>
      <c r="H12" s="42" t="s">
        <v>33</v>
      </c>
      <c r="I12" s="43" t="s">
        <v>179</v>
      </c>
      <c r="K12" s="42" t="s">
        <v>33</v>
      </c>
      <c r="L12" s="43" t="s">
        <v>179</v>
      </c>
    </row>
    <row r="13" spans="1:15" x14ac:dyDescent="0.35">
      <c r="B13" s="37"/>
      <c r="C13" s="39"/>
      <c r="D13" s="37"/>
      <c r="E13" s="37"/>
      <c r="F13" s="37"/>
      <c r="G13" s="37"/>
      <c r="H13" s="37"/>
      <c r="I13" s="37"/>
      <c r="J13" s="37"/>
      <c r="K13" s="37"/>
      <c r="L13" s="37"/>
    </row>
    <row r="14" spans="1:15" x14ac:dyDescent="0.35">
      <c r="B14" s="40"/>
      <c r="C14" s="40"/>
      <c r="D14" s="37"/>
      <c r="E14" s="40"/>
      <c r="F14" s="40"/>
      <c r="G14" s="37"/>
      <c r="H14" s="40"/>
      <c r="I14" s="40"/>
      <c r="J14" s="37"/>
      <c r="K14" s="40"/>
      <c r="L14" s="40"/>
    </row>
    <row r="15" spans="1:15" x14ac:dyDescent="0.35">
      <c r="B15" s="9"/>
      <c r="C15" s="9"/>
      <c r="E15" s="9"/>
      <c r="F15" s="9"/>
      <c r="H15" s="9"/>
      <c r="I15" s="9"/>
      <c r="K15" s="9"/>
      <c r="L15" s="9"/>
    </row>
    <row r="16" spans="1:15" x14ac:dyDescent="0.35">
      <c r="B16" s="9"/>
      <c r="C16" s="9"/>
      <c r="E16" s="9"/>
      <c r="F16" s="9"/>
      <c r="H16" s="9"/>
      <c r="I16" s="9"/>
      <c r="K16" s="9"/>
      <c r="L16" s="9"/>
    </row>
    <row r="17" spans="2:12" x14ac:dyDescent="0.35">
      <c r="B17" s="9"/>
      <c r="C17" s="9"/>
      <c r="H17" s="9"/>
      <c r="I17" s="9"/>
      <c r="K17" s="9"/>
      <c r="L17" s="9"/>
    </row>
    <row r="18" spans="2:12" x14ac:dyDescent="0.35">
      <c r="B18" s="9"/>
      <c r="C18" s="9"/>
      <c r="E18" s="9"/>
      <c r="F18" s="9"/>
      <c r="H18" s="9"/>
      <c r="I18" s="9"/>
      <c r="K18" s="9"/>
      <c r="L18" s="9"/>
    </row>
    <row r="19" spans="2:12" x14ac:dyDescent="0.35">
      <c r="B19" s="9"/>
      <c r="C19" s="9"/>
      <c r="E19" s="9"/>
      <c r="F19" s="9"/>
      <c r="H19" s="9"/>
      <c r="I19" s="9"/>
      <c r="K19" s="9"/>
      <c r="L19" s="9"/>
    </row>
    <row r="20" spans="2:12" x14ac:dyDescent="0.35">
      <c r="E20" s="9"/>
      <c r="F20" s="9"/>
      <c r="H20" s="9"/>
      <c r="I20" s="9"/>
      <c r="K20" s="9"/>
      <c r="L20" s="9"/>
    </row>
    <row r="21" spans="2:12" x14ac:dyDescent="0.35">
      <c r="B21" s="9"/>
      <c r="C21" s="9"/>
      <c r="H21" s="9"/>
      <c r="I21" s="9"/>
      <c r="K21" s="9"/>
      <c r="L21" s="9"/>
    </row>
    <row r="22" spans="2:12" x14ac:dyDescent="0.35">
      <c r="B22" s="9"/>
      <c r="C22" s="9"/>
      <c r="E22" s="9"/>
      <c r="F22" s="9"/>
      <c r="K22" s="9"/>
      <c r="L22" s="9"/>
    </row>
    <row r="23" spans="2:12" x14ac:dyDescent="0.35">
      <c r="B23" s="9"/>
      <c r="C23" s="9"/>
      <c r="E23" s="9"/>
      <c r="F23" s="9"/>
      <c r="H23" s="9"/>
      <c r="I23" s="9"/>
      <c r="K23" s="9"/>
      <c r="L23" s="9"/>
    </row>
    <row r="24" spans="2:12" x14ac:dyDescent="0.35">
      <c r="B24" s="9"/>
      <c r="C24" s="9"/>
      <c r="E24" s="9"/>
      <c r="F24" s="9"/>
    </row>
    <row r="25" spans="2:12" x14ac:dyDescent="0.35">
      <c r="B25" s="9"/>
      <c r="C25" s="9"/>
      <c r="E25" s="9"/>
      <c r="F25" s="9"/>
      <c r="K25" s="9"/>
      <c r="L25" s="9"/>
    </row>
    <row r="26" spans="2:12" x14ac:dyDescent="0.35">
      <c r="B26" s="9"/>
      <c r="C26" s="9"/>
      <c r="E26" s="9"/>
      <c r="F26" s="9"/>
    </row>
    <row r="27" spans="2:12" x14ac:dyDescent="0.35">
      <c r="B27" s="9" t="s">
        <v>55</v>
      </c>
      <c r="C27" s="9">
        <f>SUM(C14:C26)</f>
        <v>0</v>
      </c>
      <c r="E27" s="9"/>
      <c r="F27" s="9"/>
    </row>
    <row r="28" spans="2:12" x14ac:dyDescent="0.35">
      <c r="B28" s="9" t="s">
        <v>62</v>
      </c>
      <c r="C28" s="9">
        <f>C27*[1]Premisas!B30</f>
        <v>0</v>
      </c>
      <c r="E28" s="9"/>
      <c r="F28" s="9"/>
      <c r="H28" s="9" t="s">
        <v>63</v>
      </c>
      <c r="I28" s="9">
        <f>SUM(I14:I23)</f>
        <v>0</v>
      </c>
    </row>
    <row r="29" spans="2:12" x14ac:dyDescent="0.35">
      <c r="B29" s="10"/>
      <c r="C29" s="10"/>
      <c r="E29" s="9" t="s">
        <v>63</v>
      </c>
      <c r="F29" s="9">
        <f>SUM(F14:F28)</f>
        <v>0</v>
      </c>
      <c r="H29" s="9" t="s">
        <v>62</v>
      </c>
      <c r="I29" s="9" t="e">
        <f>I28*[1]Premisas!#REF!</f>
        <v>#REF!</v>
      </c>
      <c r="K29" s="9" t="s">
        <v>63</v>
      </c>
      <c r="L29" s="9">
        <f>SUM(L14:L25)</f>
        <v>0</v>
      </c>
    </row>
    <row r="30" spans="2:12" x14ac:dyDescent="0.35">
      <c r="B30" s="9"/>
      <c r="C30" s="9"/>
      <c r="E30" s="9" t="s">
        <v>62</v>
      </c>
      <c r="F30" s="9">
        <f>F29*[1]Premisas!E12</f>
        <v>0</v>
      </c>
      <c r="K30" s="9" t="s">
        <v>62</v>
      </c>
      <c r="L30" s="9" t="e">
        <f>L29*[1]Premisas!#REF!</f>
        <v>#REF!</v>
      </c>
    </row>
    <row r="31" spans="2:12" x14ac:dyDescent="0.35">
      <c r="B31" s="9"/>
    </row>
    <row r="32" spans="2:12" x14ac:dyDescent="0.35">
      <c r="B32" s="9"/>
      <c r="C32" s="9"/>
    </row>
    <row r="33" spans="2:3" x14ac:dyDescent="0.35">
      <c r="B33" s="9"/>
      <c r="C33" s="9"/>
    </row>
    <row r="34" spans="2:3" x14ac:dyDescent="0.35">
      <c r="B34" s="9"/>
      <c r="C34" s="9"/>
    </row>
    <row r="35" spans="2:3" x14ac:dyDescent="0.35">
      <c r="B35" s="9"/>
      <c r="C35" s="9"/>
    </row>
    <row r="36" spans="2:3" x14ac:dyDescent="0.35">
      <c r="B36" s="9"/>
      <c r="C36" s="9"/>
    </row>
    <row r="37" spans="2:3" x14ac:dyDescent="0.35">
      <c r="B37" s="9"/>
      <c r="C37" s="9"/>
    </row>
    <row r="38" spans="2:3" x14ac:dyDescent="0.35">
      <c r="B38" s="9"/>
      <c r="C38" s="9"/>
    </row>
    <row r="39" spans="2:3" x14ac:dyDescent="0.35">
      <c r="B39" s="9"/>
      <c r="C39" s="9"/>
    </row>
    <row r="40" spans="2:3" x14ac:dyDescent="0.35">
      <c r="B40" s="9"/>
      <c r="C40" s="9"/>
    </row>
    <row r="41" spans="2:3" x14ac:dyDescent="0.35">
      <c r="B41" s="9"/>
      <c r="C41" s="9"/>
    </row>
    <row r="42" spans="2:3" x14ac:dyDescent="0.35">
      <c r="B42" s="9"/>
      <c r="C42" s="9"/>
    </row>
    <row r="43" spans="2:3" x14ac:dyDescent="0.35">
      <c r="B43" s="9"/>
      <c r="C43" s="9"/>
    </row>
    <row r="44" spans="2:3" x14ac:dyDescent="0.35">
      <c r="B44" s="9"/>
      <c r="C44" s="9"/>
    </row>
    <row r="45" spans="2:3" x14ac:dyDescent="0.35">
      <c r="B45" s="9"/>
      <c r="C45" s="9"/>
    </row>
    <row r="46" spans="2:3" x14ac:dyDescent="0.35">
      <c r="B46" s="9"/>
      <c r="C46" s="9"/>
    </row>
    <row r="47" spans="2:3" x14ac:dyDescent="0.35">
      <c r="B47" s="9"/>
      <c r="C47" s="9"/>
    </row>
    <row r="48" spans="2:3" x14ac:dyDescent="0.35">
      <c r="B48" s="9"/>
      <c r="C48" s="9"/>
    </row>
    <row r="49" spans="2:3" x14ac:dyDescent="0.35">
      <c r="B49" s="9"/>
      <c r="C49" s="9"/>
    </row>
    <row r="50" spans="2:3" x14ac:dyDescent="0.35">
      <c r="B50" s="10"/>
      <c r="C50" s="10"/>
    </row>
    <row r="51" spans="2:3" x14ac:dyDescent="0.35">
      <c r="B51" s="10"/>
      <c r="C51" s="10"/>
    </row>
    <row r="52" spans="2:3" x14ac:dyDescent="0.35">
      <c r="B52" s="9"/>
      <c r="C52" s="9"/>
    </row>
    <row r="53" spans="2:3" x14ac:dyDescent="0.35">
      <c r="B53" s="9"/>
      <c r="C53" s="9"/>
    </row>
    <row r="54" spans="2:3" x14ac:dyDescent="0.35">
      <c r="B54" s="9"/>
    </row>
    <row r="55" spans="2:3" x14ac:dyDescent="0.35">
      <c r="B55" s="9"/>
      <c r="C55" s="9"/>
    </row>
    <row r="56" spans="2:3" x14ac:dyDescent="0.35">
      <c r="B56" s="9"/>
      <c r="C56" s="9"/>
    </row>
    <row r="57" spans="2:3" x14ac:dyDescent="0.35">
      <c r="B57" s="9"/>
      <c r="C57" s="9"/>
    </row>
    <row r="58" spans="2:3" x14ac:dyDescent="0.35">
      <c r="B58" s="9"/>
      <c r="C58" s="9"/>
    </row>
    <row r="59" spans="2:3" x14ac:dyDescent="0.35">
      <c r="B59" s="9"/>
      <c r="C59" s="9"/>
    </row>
    <row r="60" spans="2:3" x14ac:dyDescent="0.35">
      <c r="B60" s="9"/>
      <c r="C60" s="9"/>
    </row>
    <row r="61" spans="2:3" x14ac:dyDescent="0.35">
      <c r="B61" s="9"/>
      <c r="C61" s="9"/>
    </row>
    <row r="62" spans="2:3" x14ac:dyDescent="0.35">
      <c r="B62" s="9"/>
      <c r="C62" s="9"/>
    </row>
    <row r="63" spans="2:3" x14ac:dyDescent="0.35">
      <c r="B63" s="9"/>
      <c r="C63" s="9"/>
    </row>
    <row r="64" spans="2:3" x14ac:dyDescent="0.35">
      <c r="B64" s="9"/>
      <c r="C64" s="9"/>
    </row>
    <row r="65" spans="2:3" x14ac:dyDescent="0.35">
      <c r="B65" s="9"/>
      <c r="C65" s="9"/>
    </row>
    <row r="66" spans="2:3" x14ac:dyDescent="0.35">
      <c r="B66" s="9"/>
      <c r="C66" s="9"/>
    </row>
    <row r="67" spans="2:3" x14ac:dyDescent="0.35">
      <c r="B67" s="9"/>
      <c r="C67" s="9"/>
    </row>
    <row r="68" spans="2:3" x14ac:dyDescent="0.35">
      <c r="B68" s="10"/>
      <c r="C68" s="10"/>
    </row>
    <row r="69" spans="2:3" x14ac:dyDescent="0.35">
      <c r="B69" s="10"/>
      <c r="C69" s="10"/>
    </row>
    <row r="70" spans="2:3" x14ac:dyDescent="0.35">
      <c r="B70" s="9"/>
      <c r="C70" s="9"/>
    </row>
    <row r="71" spans="2:3" x14ac:dyDescent="0.35">
      <c r="B71" s="9"/>
      <c r="C71" s="9"/>
    </row>
    <row r="72" spans="2:3" x14ac:dyDescent="0.35">
      <c r="B72" s="9"/>
      <c r="C72" s="9"/>
    </row>
    <row r="73" spans="2:3" x14ac:dyDescent="0.35">
      <c r="B73" s="9"/>
      <c r="C73" s="9"/>
    </row>
    <row r="74" spans="2:3" x14ac:dyDescent="0.35">
      <c r="B74" s="9"/>
      <c r="C74" s="9"/>
    </row>
    <row r="75" spans="2:3" x14ac:dyDescent="0.35">
      <c r="B75" s="9"/>
      <c r="C75" s="9"/>
    </row>
    <row r="76" spans="2:3" x14ac:dyDescent="0.35">
      <c r="B76" s="9"/>
      <c r="C76" s="9"/>
    </row>
    <row r="77" spans="2:3" x14ac:dyDescent="0.35">
      <c r="B77" s="9"/>
      <c r="C77" s="9"/>
    </row>
    <row r="78" spans="2:3" x14ac:dyDescent="0.35">
      <c r="B78" s="9"/>
      <c r="C78" s="9"/>
    </row>
    <row r="79" spans="2:3" x14ac:dyDescent="0.35">
      <c r="B79" s="9"/>
      <c r="C79" s="9"/>
    </row>
    <row r="80" spans="2:3" x14ac:dyDescent="0.35">
      <c r="B80" s="9"/>
      <c r="C80" s="9"/>
    </row>
    <row r="81" spans="2:3" x14ac:dyDescent="0.35">
      <c r="B81" s="9"/>
      <c r="C81" s="9"/>
    </row>
    <row r="82" spans="2:3" x14ac:dyDescent="0.35">
      <c r="B82" s="9"/>
      <c r="C82" s="9"/>
    </row>
    <row r="83" spans="2:3" x14ac:dyDescent="0.35">
      <c r="B83" s="9"/>
      <c r="C83" s="9"/>
    </row>
    <row r="84" spans="2:3" x14ac:dyDescent="0.35">
      <c r="B84" s="9"/>
      <c r="C84" s="9"/>
    </row>
    <row r="85" spans="2:3" x14ac:dyDescent="0.35">
      <c r="B85" s="9"/>
      <c r="C85" s="9"/>
    </row>
    <row r="86" spans="2:3" x14ac:dyDescent="0.35">
      <c r="B86" s="9"/>
      <c r="C86" s="9"/>
    </row>
    <row r="87" spans="2:3" x14ac:dyDescent="0.35">
      <c r="B87" s="9"/>
      <c r="C8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0ED9-43E1-46F4-8677-28C7DFD47E7A}">
  <dimension ref="A1:N25"/>
  <sheetViews>
    <sheetView topLeftCell="A6" workbookViewId="0">
      <selection activeCell="F10" sqref="F10"/>
    </sheetView>
  </sheetViews>
  <sheetFormatPr defaultRowHeight="14.5" x14ac:dyDescent="0.35"/>
  <cols>
    <col min="2" max="2" width="22.6328125" customWidth="1"/>
    <col min="3" max="3" width="10.36328125" customWidth="1"/>
    <col min="13" max="13" width="10.54296875" customWidth="1"/>
  </cols>
  <sheetData>
    <row r="1" spans="1:14" x14ac:dyDescent="0.35">
      <c r="A1" t="s">
        <v>192</v>
      </c>
    </row>
    <row r="2" spans="1:14" x14ac:dyDescent="0.35">
      <c r="B2" s="3" t="s">
        <v>8</v>
      </c>
    </row>
    <row r="3" spans="1:14" x14ac:dyDescent="0.35">
      <c r="B3" t="s">
        <v>85</v>
      </c>
      <c r="L3" s="46" t="s">
        <v>84</v>
      </c>
      <c r="M3" s="25"/>
    </row>
    <row r="4" spans="1:14" x14ac:dyDescent="0.35">
      <c r="B4" t="s">
        <v>86</v>
      </c>
      <c r="L4" s="3" t="s">
        <v>184</v>
      </c>
      <c r="M4" s="3" t="s">
        <v>185</v>
      </c>
    </row>
    <row r="5" spans="1:14" x14ac:dyDescent="0.35">
      <c r="L5" s="14" t="s">
        <v>76</v>
      </c>
      <c r="M5" s="14">
        <v>0.8</v>
      </c>
    </row>
    <row r="6" spans="1:14" x14ac:dyDescent="0.35">
      <c r="B6" s="3" t="s">
        <v>9</v>
      </c>
      <c r="L6" s="14" t="s">
        <v>82</v>
      </c>
      <c r="M6" s="15">
        <v>9</v>
      </c>
    </row>
    <row r="7" spans="1:14" x14ac:dyDescent="0.35">
      <c r="B7" t="s">
        <v>186</v>
      </c>
      <c r="L7" s="14" t="s">
        <v>79</v>
      </c>
      <c r="M7" s="14">
        <v>7.5</v>
      </c>
    </row>
    <row r="8" spans="1:14" x14ac:dyDescent="0.35">
      <c r="B8" t="s">
        <v>194</v>
      </c>
      <c r="L8" s="14" t="s">
        <v>77</v>
      </c>
      <c r="M8" s="14">
        <v>2</v>
      </c>
    </row>
    <row r="9" spans="1:14" x14ac:dyDescent="0.35">
      <c r="B9" t="s">
        <v>195</v>
      </c>
      <c r="L9" s="14" t="s">
        <v>78</v>
      </c>
      <c r="M9" s="14">
        <v>1</v>
      </c>
    </row>
    <row r="10" spans="1:14" x14ac:dyDescent="0.35">
      <c r="L10" s="14" t="s">
        <v>80</v>
      </c>
      <c r="M10" s="14">
        <v>5</v>
      </c>
    </row>
    <row r="11" spans="1:14" x14ac:dyDescent="0.35">
      <c r="B11" s="44" t="s">
        <v>84</v>
      </c>
      <c r="C11" s="12"/>
      <c r="L11" s="14" t="s">
        <v>81</v>
      </c>
      <c r="M11" s="14">
        <v>4</v>
      </c>
    </row>
    <row r="12" spans="1:14" x14ac:dyDescent="0.35">
      <c r="B12" s="3" t="s">
        <v>184</v>
      </c>
      <c r="C12" s="3" t="s">
        <v>185</v>
      </c>
      <c r="L12" s="14" t="s">
        <v>83</v>
      </c>
      <c r="M12" s="14">
        <v>12</v>
      </c>
    </row>
    <row r="13" spans="1:14" x14ac:dyDescent="0.35">
      <c r="B13" s="14" t="s">
        <v>76</v>
      </c>
      <c r="C13" s="14"/>
    </row>
    <row r="14" spans="1:14" x14ac:dyDescent="0.35">
      <c r="B14" s="14" t="s">
        <v>82</v>
      </c>
      <c r="C14" s="15"/>
    </row>
    <row r="15" spans="1:14" x14ac:dyDescent="0.35">
      <c r="B15" s="14" t="s">
        <v>79</v>
      </c>
      <c r="C15" s="14"/>
      <c r="L15" s="25" t="s">
        <v>166</v>
      </c>
      <c r="M15" s="25"/>
      <c r="N15" s="25"/>
    </row>
    <row r="16" spans="1:14" x14ac:dyDescent="0.35">
      <c r="B16" s="14" t="s">
        <v>77</v>
      </c>
      <c r="C16" s="14"/>
      <c r="L16" t="s">
        <v>191</v>
      </c>
      <c r="M16" t="s">
        <v>193</v>
      </c>
      <c r="N16" t="s">
        <v>188</v>
      </c>
    </row>
    <row r="17" spans="2:14" x14ac:dyDescent="0.35">
      <c r="B17" s="14" t="s">
        <v>78</v>
      </c>
      <c r="C17" s="14"/>
      <c r="L17" t="s">
        <v>189</v>
      </c>
      <c r="M17" s="16">
        <v>12000</v>
      </c>
      <c r="N17">
        <v>3</v>
      </c>
    </row>
    <row r="18" spans="2:14" x14ac:dyDescent="0.35">
      <c r="B18" s="14" t="s">
        <v>80</v>
      </c>
      <c r="C18" s="14"/>
      <c r="L18" s="37" t="s">
        <v>190</v>
      </c>
      <c r="M18" s="45">
        <v>80000</v>
      </c>
      <c r="N18">
        <v>12</v>
      </c>
    </row>
    <row r="19" spans="2:14" x14ac:dyDescent="0.35">
      <c r="B19" s="14" t="s">
        <v>81</v>
      </c>
      <c r="C19" s="14"/>
    </row>
    <row r="20" spans="2:14" x14ac:dyDescent="0.35">
      <c r="B20" s="14" t="s">
        <v>83</v>
      </c>
      <c r="C20" s="14"/>
    </row>
    <row r="22" spans="2:14" x14ac:dyDescent="0.35">
      <c r="B22" s="12" t="s">
        <v>166</v>
      </c>
      <c r="C22" s="12"/>
      <c r="D22" s="12"/>
    </row>
    <row r="23" spans="2:14" x14ac:dyDescent="0.35">
      <c r="B23" t="s">
        <v>191</v>
      </c>
      <c r="C23" t="s">
        <v>193</v>
      </c>
      <c r="D23" t="s">
        <v>188</v>
      </c>
    </row>
    <row r="24" spans="2:14" x14ac:dyDescent="0.35">
      <c r="B24" t="s">
        <v>189</v>
      </c>
      <c r="C24" s="16"/>
    </row>
    <row r="25" spans="2:14" x14ac:dyDescent="0.35">
      <c r="B25" s="37" t="s">
        <v>190</v>
      </c>
      <c r="C25" s="45"/>
      <c r="D25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32EA-3256-419D-A51E-833751EA20D7}">
  <dimension ref="A1:AA117"/>
  <sheetViews>
    <sheetView tabSelected="1" topLeftCell="A6" zoomScale="80" zoomScaleNormal="80" workbookViewId="0">
      <selection activeCell="I17" sqref="I17"/>
    </sheetView>
  </sheetViews>
  <sheetFormatPr defaultRowHeight="14.5" x14ac:dyDescent="0.35"/>
  <cols>
    <col min="2" max="2" width="18.81640625" customWidth="1"/>
    <col min="4" max="4" width="17.453125" bestFit="1" customWidth="1"/>
    <col min="5" max="5" width="14.1796875" bestFit="1" customWidth="1"/>
    <col min="13" max="13" width="16.6328125" customWidth="1"/>
    <col min="15" max="15" width="11.6328125" customWidth="1"/>
    <col min="17" max="17" width="15.54296875" customWidth="1"/>
    <col min="19" max="19" width="12.36328125" customWidth="1"/>
    <col min="21" max="21" width="16.08984375" customWidth="1"/>
    <col min="23" max="23" width="11.1796875" customWidth="1"/>
    <col min="25" max="25" width="15.453125" customWidth="1"/>
    <col min="27" max="27" width="11.6328125" customWidth="1"/>
  </cols>
  <sheetData>
    <row r="1" spans="1:27" x14ac:dyDescent="0.35">
      <c r="A1" t="s">
        <v>100</v>
      </c>
    </row>
    <row r="2" spans="1:27" x14ac:dyDescent="0.35">
      <c r="B2" s="3" t="s">
        <v>8</v>
      </c>
    </row>
    <row r="3" spans="1:27" x14ac:dyDescent="0.35">
      <c r="B3" t="s">
        <v>123</v>
      </c>
      <c r="M3" s="17" t="s">
        <v>87</v>
      </c>
      <c r="N3" s="17" t="s">
        <v>88</v>
      </c>
      <c r="O3" s="17" t="s">
        <v>89</v>
      </c>
      <c r="Q3" s="17" t="s">
        <v>101</v>
      </c>
      <c r="R3" s="17" t="s">
        <v>88</v>
      </c>
      <c r="S3" s="17" t="s">
        <v>89</v>
      </c>
      <c r="U3" s="17" t="s">
        <v>102</v>
      </c>
      <c r="V3" s="17" t="s">
        <v>88</v>
      </c>
      <c r="W3" s="17" t="s">
        <v>89</v>
      </c>
      <c r="Y3" s="17" t="s">
        <v>103</v>
      </c>
      <c r="Z3" s="17" t="s">
        <v>88</v>
      </c>
      <c r="AA3" s="17" t="s">
        <v>89</v>
      </c>
    </row>
    <row r="4" spans="1:27" x14ac:dyDescent="0.35">
      <c r="B4" t="s">
        <v>124</v>
      </c>
      <c r="M4" s="13" t="s">
        <v>122</v>
      </c>
      <c r="N4" s="13"/>
      <c r="O4" s="18">
        <v>12000</v>
      </c>
      <c r="Q4" s="13" t="s">
        <v>90</v>
      </c>
      <c r="R4" s="13"/>
      <c r="S4" s="18">
        <v>10000</v>
      </c>
      <c r="U4" s="13" t="s">
        <v>90</v>
      </c>
      <c r="V4" s="13"/>
      <c r="W4" s="18">
        <v>15000</v>
      </c>
      <c r="Y4" s="13" t="s">
        <v>90</v>
      </c>
      <c r="Z4" s="13"/>
      <c r="AA4" s="18">
        <v>15000</v>
      </c>
    </row>
    <row r="5" spans="1:27" x14ac:dyDescent="0.35">
      <c r="M5" s="13" t="s">
        <v>91</v>
      </c>
      <c r="N5" s="19">
        <f>'1_Premises'!C31</f>
        <v>0.03</v>
      </c>
      <c r="O5" s="18">
        <f>O4*N5</f>
        <v>360</v>
      </c>
      <c r="Q5" s="13" t="s">
        <v>91</v>
      </c>
      <c r="R5" s="19">
        <v>0.03</v>
      </c>
      <c r="S5" s="18">
        <f>S4*R5</f>
        <v>300</v>
      </c>
      <c r="U5" s="13" t="s">
        <v>91</v>
      </c>
      <c r="V5" s="19">
        <v>0.03</v>
      </c>
      <c r="W5" s="18">
        <f>W4*V5</f>
        <v>450</v>
      </c>
      <c r="Y5" s="13" t="s">
        <v>91</v>
      </c>
      <c r="Z5" s="19">
        <f>'1_Premises'!C31</f>
        <v>0.03</v>
      </c>
      <c r="AA5" s="18">
        <f>AA4*Z5</f>
        <v>450</v>
      </c>
    </row>
    <row r="6" spans="1:27" x14ac:dyDescent="0.35">
      <c r="B6" s="3" t="s">
        <v>9</v>
      </c>
      <c r="M6" s="13" t="s">
        <v>92</v>
      </c>
      <c r="N6" s="19">
        <v>0.2</v>
      </c>
      <c r="O6" s="18">
        <f>O4*N6</f>
        <v>2400</v>
      </c>
      <c r="Q6" s="13" t="s">
        <v>92</v>
      </c>
      <c r="R6" s="19">
        <v>0.2</v>
      </c>
      <c r="S6" s="18">
        <f>S4*R6</f>
        <v>2000</v>
      </c>
      <c r="U6" s="13" t="s">
        <v>92</v>
      </c>
      <c r="V6" s="19">
        <v>0.2</v>
      </c>
      <c r="W6" s="18">
        <f>W4*V6</f>
        <v>3000</v>
      </c>
      <c r="Y6" s="13" t="s">
        <v>92</v>
      </c>
      <c r="Z6" s="19">
        <v>0.2</v>
      </c>
      <c r="AA6" s="18">
        <f>AA4*Z6</f>
        <v>3000</v>
      </c>
    </row>
    <row r="7" spans="1:27" x14ac:dyDescent="0.35">
      <c r="B7" t="s">
        <v>125</v>
      </c>
      <c r="M7" s="13" t="s">
        <v>93</v>
      </c>
      <c r="N7" s="19">
        <v>0.13</v>
      </c>
      <c r="O7" s="18">
        <f>O4*N7</f>
        <v>1560</v>
      </c>
      <c r="Q7" s="13" t="s">
        <v>93</v>
      </c>
      <c r="R7" s="19">
        <v>0.13</v>
      </c>
      <c r="S7" s="18">
        <f>S4*R7</f>
        <v>1300</v>
      </c>
      <c r="U7" s="13" t="s">
        <v>93</v>
      </c>
      <c r="V7" s="19">
        <v>0.13</v>
      </c>
      <c r="W7" s="18">
        <f>W4*V7</f>
        <v>1950</v>
      </c>
      <c r="Y7" s="13" t="s">
        <v>93</v>
      </c>
      <c r="Z7" s="19">
        <v>0.13</v>
      </c>
      <c r="AA7" s="18">
        <f>AA4*Z7</f>
        <v>1950</v>
      </c>
    </row>
    <row r="8" spans="1:27" x14ac:dyDescent="0.35">
      <c r="B8" t="s">
        <v>126</v>
      </c>
      <c r="M8" s="13" t="s">
        <v>94</v>
      </c>
      <c r="N8" s="13"/>
      <c r="O8" s="18"/>
      <c r="Q8" s="13" t="s">
        <v>94</v>
      </c>
      <c r="R8" s="13"/>
      <c r="S8" s="18"/>
      <c r="U8" s="13" t="s">
        <v>94</v>
      </c>
      <c r="V8" s="13"/>
      <c r="W8" s="18"/>
      <c r="Y8" s="13" t="s">
        <v>94</v>
      </c>
      <c r="Z8" s="13"/>
      <c r="AA8" s="18"/>
    </row>
    <row r="9" spans="1:27" x14ac:dyDescent="0.35">
      <c r="B9" t="s">
        <v>127</v>
      </c>
      <c r="M9" s="13" t="s">
        <v>95</v>
      </c>
      <c r="N9" s="13">
        <v>0.28846100000000002</v>
      </c>
      <c r="O9" s="18">
        <f>(O4/30)*N9</f>
        <v>115.38440000000001</v>
      </c>
      <c r="Q9" s="13" t="s">
        <v>95</v>
      </c>
      <c r="R9" s="13">
        <v>0.28846100000000002</v>
      </c>
      <c r="S9" s="18">
        <f>(S4/30)*R9</f>
        <v>96.153666666666666</v>
      </c>
      <c r="U9" s="13" t="s">
        <v>95</v>
      </c>
      <c r="V9" s="13">
        <v>0.28846100000000002</v>
      </c>
      <c r="W9" s="18">
        <f>(W4/30)*V9</f>
        <v>144.23050000000001</v>
      </c>
      <c r="Y9" s="13" t="s">
        <v>95</v>
      </c>
      <c r="Z9" s="13">
        <v>0.28846100000000002</v>
      </c>
      <c r="AA9" s="18">
        <f>(AA4/30)*Z9</f>
        <v>144.23050000000001</v>
      </c>
    </row>
    <row r="10" spans="1:27" x14ac:dyDescent="0.35">
      <c r="M10" s="13" t="s">
        <v>96</v>
      </c>
      <c r="N10" s="19">
        <v>7.0000000000000007E-2</v>
      </c>
      <c r="O10" s="18">
        <f>O4*N10</f>
        <v>840.00000000000011</v>
      </c>
      <c r="Q10" s="13" t="s">
        <v>96</v>
      </c>
      <c r="R10" s="19">
        <v>7.0000000000000007E-2</v>
      </c>
      <c r="S10" s="18">
        <f>S4*R10</f>
        <v>700.00000000000011</v>
      </c>
      <c r="U10" s="13" t="s">
        <v>96</v>
      </c>
      <c r="V10" s="19">
        <v>7.0000000000000007E-2</v>
      </c>
      <c r="W10" s="18">
        <f>W4*V10</f>
        <v>1050</v>
      </c>
      <c r="Y10" s="13" t="s">
        <v>96</v>
      </c>
      <c r="Z10" s="19">
        <v>7.0000000000000007E-2</v>
      </c>
      <c r="AA10" s="18">
        <f>AA4*Z10</f>
        <v>1050</v>
      </c>
    </row>
    <row r="11" spans="1:27" x14ac:dyDescent="0.35">
      <c r="B11" s="12" t="s">
        <v>161</v>
      </c>
      <c r="C11" s="12" t="s">
        <v>162</v>
      </c>
      <c r="D11" s="12" t="s">
        <v>54</v>
      </c>
      <c r="M11" s="13" t="s">
        <v>97</v>
      </c>
      <c r="N11" s="19">
        <v>0.02</v>
      </c>
      <c r="O11" s="18">
        <f>O4*N11</f>
        <v>240</v>
      </c>
      <c r="Q11" s="13" t="s">
        <v>97</v>
      </c>
      <c r="R11" s="19">
        <v>0.02</v>
      </c>
      <c r="S11" s="18">
        <f>S4*R11</f>
        <v>200</v>
      </c>
      <c r="U11" s="13" t="s">
        <v>97</v>
      </c>
      <c r="V11" s="19">
        <v>0.02</v>
      </c>
      <c r="W11" s="18">
        <f>W4*V11</f>
        <v>300</v>
      </c>
      <c r="Y11" s="13" t="s">
        <v>97</v>
      </c>
      <c r="Z11" s="19">
        <v>0.02</v>
      </c>
      <c r="AA11" s="18">
        <f>AA4*Z11</f>
        <v>300</v>
      </c>
    </row>
    <row r="12" spans="1:27" x14ac:dyDescent="0.35">
      <c r="B12" s="33" t="s">
        <v>118</v>
      </c>
      <c r="C12" s="33"/>
      <c r="D12" s="33"/>
      <c r="M12" s="13" t="s">
        <v>98</v>
      </c>
      <c r="N12" s="19">
        <v>0.16</v>
      </c>
      <c r="O12" s="18">
        <f>O4*N12</f>
        <v>1920</v>
      </c>
      <c r="Q12" s="13" t="s">
        <v>98</v>
      </c>
      <c r="R12" s="19">
        <v>0.10879999999999999</v>
      </c>
      <c r="S12" s="18">
        <f>S4*R12</f>
        <v>1088</v>
      </c>
      <c r="U12" s="13" t="s">
        <v>98</v>
      </c>
      <c r="V12" s="19">
        <v>0.1792</v>
      </c>
      <c r="W12" s="18">
        <f>W4*V12</f>
        <v>2688</v>
      </c>
      <c r="Y12" s="13" t="s">
        <v>98</v>
      </c>
      <c r="Z12" s="19">
        <v>0.1792</v>
      </c>
      <c r="AA12" s="18">
        <f>AA4*Z12</f>
        <v>2688</v>
      </c>
    </row>
    <row r="13" spans="1:27" x14ac:dyDescent="0.35">
      <c r="B13" t="s">
        <v>116</v>
      </c>
      <c r="C13">
        <v>1</v>
      </c>
      <c r="D13" s="20">
        <f>O15*C13*12</f>
        <v>210184.6128</v>
      </c>
      <c r="M13" s="13"/>
      <c r="N13" s="13"/>
      <c r="O13" s="18">
        <f>SUM(O5:O11)</f>
        <v>5515.3843999999999</v>
      </c>
      <c r="Q13" s="13"/>
      <c r="R13" s="13"/>
      <c r="S13" s="18">
        <f>SUM(S5:S11)</f>
        <v>4596.153666666667</v>
      </c>
      <c r="U13" s="13"/>
      <c r="V13" s="13"/>
      <c r="W13" s="18">
        <f>SUM(W5:W11)</f>
        <v>6894.2304999999997</v>
      </c>
      <c r="Y13" s="13"/>
      <c r="Z13" s="13"/>
      <c r="AA13" s="18">
        <f>SUM(AA5:AA11)</f>
        <v>6894.2304999999997</v>
      </c>
    </row>
    <row r="14" spans="1:27" x14ac:dyDescent="0.35">
      <c r="B14" s="3" t="s">
        <v>115</v>
      </c>
      <c r="C14" s="3">
        <v>1</v>
      </c>
      <c r="D14" s="21">
        <f>O31*C14*12</f>
        <v>262730.76599999995</v>
      </c>
      <c r="M14" s="13"/>
      <c r="N14" s="13"/>
      <c r="O14" s="18"/>
      <c r="Q14" s="13"/>
      <c r="R14" s="13"/>
      <c r="S14" s="18"/>
      <c r="U14" s="13"/>
      <c r="V14" s="13"/>
      <c r="W14" s="18"/>
      <c r="Y14" s="13"/>
      <c r="Z14" s="13"/>
      <c r="AA14" s="18"/>
    </row>
    <row r="15" spans="1:27" x14ac:dyDescent="0.35">
      <c r="B15" s="22" t="s">
        <v>119</v>
      </c>
      <c r="M15" s="13" t="s">
        <v>99</v>
      </c>
      <c r="N15" s="13"/>
      <c r="O15" s="18">
        <f>O4+O13</f>
        <v>17515.384399999999</v>
      </c>
      <c r="Q15" s="13" t="s">
        <v>99</v>
      </c>
      <c r="R15" s="13"/>
      <c r="S15" s="18">
        <f>S4+S13</f>
        <v>14596.153666666667</v>
      </c>
      <c r="U15" s="13" t="s">
        <v>99</v>
      </c>
      <c r="V15" s="13"/>
      <c r="W15" s="18">
        <f>W4+W13</f>
        <v>21894.230499999998</v>
      </c>
      <c r="Y15" s="13" t="s">
        <v>99</v>
      </c>
      <c r="Z15" s="13"/>
      <c r="AA15" s="18">
        <f>AA4+AA13</f>
        <v>21894.230499999998</v>
      </c>
    </row>
    <row r="16" spans="1:27" x14ac:dyDescent="0.35">
      <c r="B16" t="s">
        <v>101</v>
      </c>
      <c r="C16">
        <v>1</v>
      </c>
      <c r="D16" s="20">
        <f>S15*C16*12</f>
        <v>175153.84400000001</v>
      </c>
      <c r="O16" s="4"/>
      <c r="S16" s="4"/>
    </row>
    <row r="17" spans="2:27" x14ac:dyDescent="0.35">
      <c r="B17" t="s">
        <v>105</v>
      </c>
      <c r="C17">
        <v>1</v>
      </c>
      <c r="D17" s="20">
        <f>S31*C17*12</f>
        <v>289003.84259999997</v>
      </c>
      <c r="O17" s="4"/>
      <c r="S17" s="4"/>
    </row>
    <row r="18" spans="2:27" x14ac:dyDescent="0.35">
      <c r="B18" t="s">
        <v>102</v>
      </c>
      <c r="C18">
        <v>1</v>
      </c>
      <c r="D18" s="20">
        <f>C18*W15*12</f>
        <v>262730.76599999995</v>
      </c>
      <c r="M18" s="17" t="s">
        <v>104</v>
      </c>
      <c r="N18" s="17" t="s">
        <v>88</v>
      </c>
      <c r="O18" s="17" t="s">
        <v>89</v>
      </c>
      <c r="Q18" s="17" t="s">
        <v>105</v>
      </c>
      <c r="R18" s="17" t="s">
        <v>88</v>
      </c>
      <c r="S18" s="17" t="s">
        <v>89</v>
      </c>
      <c r="U18" s="17" t="s">
        <v>106</v>
      </c>
      <c r="V18" s="17" t="s">
        <v>88</v>
      </c>
      <c r="W18" s="17" t="s">
        <v>89</v>
      </c>
      <c r="Y18" s="17" t="s">
        <v>107</v>
      </c>
      <c r="Z18" s="17" t="s">
        <v>88</v>
      </c>
      <c r="AA18" s="17" t="s">
        <v>89</v>
      </c>
    </row>
    <row r="19" spans="2:27" x14ac:dyDescent="0.35">
      <c r="B19" t="s">
        <v>103</v>
      </c>
      <c r="C19">
        <v>1</v>
      </c>
      <c r="D19" s="20">
        <f>C19*AA15*12</f>
        <v>262730.76599999995</v>
      </c>
      <c r="M19" s="13" t="s">
        <v>90</v>
      </c>
      <c r="N19" s="13"/>
      <c r="O19" s="18">
        <v>15000</v>
      </c>
      <c r="Q19" s="13" t="s">
        <v>122</v>
      </c>
      <c r="R19" s="13"/>
      <c r="S19" s="18">
        <v>16500</v>
      </c>
      <c r="U19" s="13" t="s">
        <v>90</v>
      </c>
      <c r="V19" s="13"/>
      <c r="W19" s="18">
        <v>16500</v>
      </c>
      <c r="Y19" s="13" t="s">
        <v>90</v>
      </c>
      <c r="Z19" s="13"/>
      <c r="AA19" s="18">
        <v>16500</v>
      </c>
    </row>
    <row r="20" spans="2:27" x14ac:dyDescent="0.35">
      <c r="B20" t="s">
        <v>106</v>
      </c>
      <c r="C20">
        <v>1</v>
      </c>
      <c r="D20" s="20">
        <f>C20*W31*12</f>
        <v>289003.84259999997</v>
      </c>
      <c r="M20" s="13" t="s">
        <v>91</v>
      </c>
      <c r="N20" s="19">
        <v>0.03</v>
      </c>
      <c r="O20" s="18">
        <f>O19*N20</f>
        <v>450</v>
      </c>
      <c r="Q20" s="13" t="s">
        <v>91</v>
      </c>
      <c r="R20" s="19">
        <v>0.03</v>
      </c>
      <c r="S20" s="18">
        <f>S19*R20</f>
        <v>495</v>
      </c>
      <c r="U20" s="13" t="s">
        <v>91</v>
      </c>
      <c r="V20" s="19">
        <v>0.03</v>
      </c>
      <c r="W20" s="18">
        <f>W19*V20</f>
        <v>495</v>
      </c>
      <c r="Y20" s="13" t="s">
        <v>91</v>
      </c>
      <c r="Z20" s="19">
        <v>0.03</v>
      </c>
      <c r="AA20" s="18">
        <f>AA19*Z20</f>
        <v>495</v>
      </c>
    </row>
    <row r="21" spans="2:27" x14ac:dyDescent="0.35">
      <c r="B21" t="s">
        <v>107</v>
      </c>
      <c r="C21">
        <v>1</v>
      </c>
      <c r="D21" s="20">
        <f>C21*AA31*12</f>
        <v>289003.84259999997</v>
      </c>
      <c r="M21" s="13"/>
      <c r="N21" s="19"/>
      <c r="O21" s="18"/>
      <c r="Q21" s="13"/>
      <c r="R21" s="19"/>
      <c r="S21" s="18"/>
      <c r="U21" s="13"/>
      <c r="V21" s="19"/>
      <c r="W21" s="18"/>
      <c r="Y21" s="13"/>
      <c r="Z21" s="19"/>
      <c r="AA21" s="18"/>
    </row>
    <row r="22" spans="2:27" x14ac:dyDescent="0.35">
      <c r="B22" s="33" t="s">
        <v>121</v>
      </c>
      <c r="C22" s="33"/>
      <c r="D22" s="33"/>
      <c r="M22" s="13" t="s">
        <v>92</v>
      </c>
      <c r="N22" s="19">
        <v>0.2</v>
      </c>
      <c r="O22" s="18">
        <f>O19*N22</f>
        <v>3000</v>
      </c>
      <c r="Q22" s="13" t="s">
        <v>92</v>
      </c>
      <c r="R22" s="19">
        <v>0.2</v>
      </c>
      <c r="S22" s="18">
        <f>S19*R22</f>
        <v>3300</v>
      </c>
      <c r="U22" s="13" t="s">
        <v>92</v>
      </c>
      <c r="V22" s="19">
        <v>0.2</v>
      </c>
      <c r="W22" s="18">
        <f>W19*V22</f>
        <v>3300</v>
      </c>
      <c r="Y22" s="13" t="s">
        <v>92</v>
      </c>
      <c r="Z22" s="19">
        <v>0.2</v>
      </c>
      <c r="AA22" s="18">
        <f>AA19*Z22</f>
        <v>3300</v>
      </c>
    </row>
    <row r="23" spans="2:27" x14ac:dyDescent="0.35">
      <c r="B23" t="s">
        <v>111</v>
      </c>
      <c r="C23">
        <v>1</v>
      </c>
      <c r="D23" s="20">
        <f>AA45*C23*12</f>
        <v>367823.07240000006</v>
      </c>
      <c r="M23" s="13" t="s">
        <v>93</v>
      </c>
      <c r="N23" s="19">
        <v>0.13</v>
      </c>
      <c r="O23" s="18">
        <f>O19*N23</f>
        <v>1950</v>
      </c>
      <c r="Q23" s="13" t="s">
        <v>93</v>
      </c>
      <c r="R23" s="19">
        <v>0.13</v>
      </c>
      <c r="S23" s="18">
        <f>S19*R23</f>
        <v>2145</v>
      </c>
      <c r="U23" s="13" t="s">
        <v>93</v>
      </c>
      <c r="V23" s="19">
        <v>0.13</v>
      </c>
      <c r="W23" s="18">
        <f>W19*V23</f>
        <v>2145</v>
      </c>
      <c r="Y23" s="13" t="s">
        <v>93</v>
      </c>
      <c r="Z23" s="19">
        <v>0.13</v>
      </c>
      <c r="AA23" s="18">
        <f>AA19*Z23</f>
        <v>2145</v>
      </c>
    </row>
    <row r="24" spans="2:27" x14ac:dyDescent="0.35">
      <c r="B24" t="s">
        <v>108</v>
      </c>
      <c r="C24">
        <v>1</v>
      </c>
      <c r="D24" s="20">
        <f>C24*O45*12</f>
        <v>367823.07240000006</v>
      </c>
      <c r="M24" s="13" t="s">
        <v>94</v>
      </c>
      <c r="N24" s="13"/>
      <c r="O24" s="18"/>
      <c r="Q24" s="13" t="s">
        <v>94</v>
      </c>
      <c r="R24" s="13"/>
      <c r="S24" s="18"/>
      <c r="U24" s="13" t="s">
        <v>94</v>
      </c>
      <c r="V24" s="13"/>
      <c r="W24" s="18"/>
      <c r="Y24" s="13" t="s">
        <v>94</v>
      </c>
      <c r="Z24" s="13"/>
      <c r="AA24" s="18"/>
    </row>
    <row r="25" spans="2:27" x14ac:dyDescent="0.35">
      <c r="B25" t="s">
        <v>109</v>
      </c>
      <c r="C25">
        <v>1</v>
      </c>
      <c r="D25" s="20">
        <f>S45*C25*12</f>
        <v>367823.07240000006</v>
      </c>
      <c r="M25" s="13" t="s">
        <v>95</v>
      </c>
      <c r="N25" s="13">
        <v>0.28846100000000002</v>
      </c>
      <c r="O25" s="18">
        <f>(O19/30)*N25</f>
        <v>144.23050000000001</v>
      </c>
      <c r="Q25" s="13" t="s">
        <v>95</v>
      </c>
      <c r="R25" s="13">
        <v>0.28846100000000002</v>
      </c>
      <c r="S25" s="18">
        <f>(S19/30)*R25</f>
        <v>158.65355000000002</v>
      </c>
      <c r="U25" s="13" t="s">
        <v>95</v>
      </c>
      <c r="V25" s="13">
        <v>0.28846100000000002</v>
      </c>
      <c r="W25" s="18">
        <f>(W19/30)*V25</f>
        <v>158.65355000000002</v>
      </c>
      <c r="Y25" s="13" t="s">
        <v>95</v>
      </c>
      <c r="Z25" s="13">
        <v>0.28846100000000002</v>
      </c>
      <c r="AA25" s="18">
        <f>(AA19/30)*Z25</f>
        <v>158.65355000000002</v>
      </c>
    </row>
    <row r="26" spans="2:27" x14ac:dyDescent="0.35">
      <c r="B26" t="str">
        <f>U34</f>
        <v>Ingeniero de Producto</v>
      </c>
      <c r="C26">
        <v>1</v>
      </c>
      <c r="D26" s="20">
        <f>W45*C26*12</f>
        <v>289003.84259999997</v>
      </c>
      <c r="M26" s="13" t="s">
        <v>96</v>
      </c>
      <c r="N26" s="19">
        <v>7.0000000000000007E-2</v>
      </c>
      <c r="O26" s="18">
        <f>O19*N26</f>
        <v>1050</v>
      </c>
      <c r="Q26" s="13" t="s">
        <v>96</v>
      </c>
      <c r="R26" s="19">
        <v>7.0000000000000007E-2</v>
      </c>
      <c r="S26" s="18">
        <f>S19*R26</f>
        <v>1155</v>
      </c>
      <c r="U26" s="13" t="s">
        <v>96</v>
      </c>
      <c r="V26" s="19">
        <v>7.0000000000000007E-2</v>
      </c>
      <c r="W26" s="18">
        <f>W19*V26</f>
        <v>1155</v>
      </c>
      <c r="Y26" s="13" t="s">
        <v>96</v>
      </c>
      <c r="Z26" s="19">
        <v>7.0000000000000007E-2</v>
      </c>
      <c r="AA26" s="18">
        <f>AA19*Z26</f>
        <v>1155</v>
      </c>
    </row>
    <row r="27" spans="2:27" x14ac:dyDescent="0.35">
      <c r="B27" t="str">
        <f>M48</f>
        <v>Operational Manager</v>
      </c>
      <c r="C27">
        <v>1</v>
      </c>
      <c r="D27" s="20">
        <f>O59*1*12</f>
        <v>613038.45400000003</v>
      </c>
      <c r="M27" s="13"/>
      <c r="N27" s="19"/>
      <c r="O27" s="18"/>
      <c r="Q27" s="13"/>
      <c r="R27" s="19"/>
      <c r="S27" s="18"/>
      <c r="U27" s="13"/>
      <c r="V27" s="19"/>
      <c r="W27" s="18"/>
      <c r="Y27" s="13"/>
      <c r="Z27" s="19"/>
      <c r="AA27" s="18"/>
    </row>
    <row r="28" spans="2:27" x14ac:dyDescent="0.35">
      <c r="B28" s="33" t="s">
        <v>120</v>
      </c>
      <c r="C28" s="33"/>
      <c r="D28" s="33"/>
      <c r="M28" s="13" t="s">
        <v>97</v>
      </c>
      <c r="N28" s="19">
        <v>0.02</v>
      </c>
      <c r="O28" s="18">
        <f>O19*N28</f>
        <v>300</v>
      </c>
      <c r="Q28" s="13" t="s">
        <v>97</v>
      </c>
      <c r="R28" s="19">
        <v>0.02</v>
      </c>
      <c r="S28" s="18">
        <f>S19*R28</f>
        <v>330</v>
      </c>
      <c r="U28" s="13" t="s">
        <v>97</v>
      </c>
      <c r="V28" s="19">
        <v>0.02</v>
      </c>
      <c r="W28" s="18">
        <f>W19*V28</f>
        <v>330</v>
      </c>
      <c r="Y28" s="13" t="s">
        <v>97</v>
      </c>
      <c r="Z28" s="19">
        <v>0.02</v>
      </c>
      <c r="AA28" s="18">
        <f>AA19*Z28</f>
        <v>330</v>
      </c>
    </row>
    <row r="29" spans="2:27" x14ac:dyDescent="0.35">
      <c r="B29" t="s">
        <v>163</v>
      </c>
      <c r="C29">
        <v>1</v>
      </c>
      <c r="D29" s="20">
        <f>O75*12*C29</f>
        <v>367823.07240000006</v>
      </c>
      <c r="M29" s="13" t="s">
        <v>98</v>
      </c>
      <c r="N29" s="19">
        <v>0.1792</v>
      </c>
      <c r="O29" s="18"/>
      <c r="Q29" s="13" t="s">
        <v>98</v>
      </c>
      <c r="R29" s="19">
        <v>0.21360000000000001</v>
      </c>
      <c r="S29" s="18">
        <f>R29*S19</f>
        <v>3524.4</v>
      </c>
      <c r="U29" s="13" t="s">
        <v>98</v>
      </c>
      <c r="V29" s="19">
        <v>0.21360000000000001</v>
      </c>
      <c r="W29" s="18">
        <f>V29*W19</f>
        <v>3524.4</v>
      </c>
      <c r="Y29" s="13" t="s">
        <v>98</v>
      </c>
      <c r="Z29" s="19">
        <v>0.21360000000000001</v>
      </c>
      <c r="AA29" s="18">
        <f>Z29*AA19</f>
        <v>3524.4</v>
      </c>
    </row>
    <row r="30" spans="2:27" x14ac:dyDescent="0.35">
      <c r="B30" t="s">
        <v>164</v>
      </c>
      <c r="C30">
        <v>1</v>
      </c>
      <c r="D30" s="20">
        <f>C30*S75*12</f>
        <v>437884.61000000004</v>
      </c>
      <c r="M30" s="13"/>
      <c r="N30" s="13"/>
      <c r="O30" s="18">
        <f>SUM(O20:O28)</f>
        <v>6894.2304999999997</v>
      </c>
      <c r="Q30" s="13"/>
      <c r="R30" s="13"/>
      <c r="S30" s="18">
        <f>SUM(S20:S28)</f>
        <v>7583.65355</v>
      </c>
      <c r="U30" s="13"/>
      <c r="V30" s="13"/>
      <c r="W30" s="18">
        <f>SUM(W20:W28)</f>
        <v>7583.65355</v>
      </c>
      <c r="Y30" s="13"/>
      <c r="Z30" s="13"/>
      <c r="AA30" s="18">
        <f>SUM(AA20:AA28)</f>
        <v>7583.65355</v>
      </c>
    </row>
    <row r="31" spans="2:27" x14ac:dyDescent="0.35">
      <c r="B31" t="s">
        <v>165</v>
      </c>
      <c r="C31">
        <v>1</v>
      </c>
      <c r="D31" s="20">
        <f>C31*W75*12</f>
        <v>367823.07240000006</v>
      </c>
      <c r="M31" s="13" t="s">
        <v>99</v>
      </c>
      <c r="N31" s="13"/>
      <c r="O31" s="18">
        <f>O19+O30</f>
        <v>21894.230499999998</v>
      </c>
      <c r="Q31" s="13" t="s">
        <v>99</v>
      </c>
      <c r="R31" s="13"/>
      <c r="S31" s="18">
        <f>S19+S30</f>
        <v>24083.653549999999</v>
      </c>
      <c r="U31" s="13" t="s">
        <v>99</v>
      </c>
      <c r="V31" s="13"/>
      <c r="W31" s="18">
        <f>W19+W30</f>
        <v>24083.653549999999</v>
      </c>
      <c r="Y31" s="13" t="s">
        <v>99</v>
      </c>
      <c r="Z31" s="13"/>
      <c r="AA31" s="18">
        <f>AA19+AA30</f>
        <v>24083.653549999999</v>
      </c>
    </row>
    <row r="32" spans="2:27" x14ac:dyDescent="0.35">
      <c r="B32" t="str">
        <f>Y64</f>
        <v>IT</v>
      </c>
      <c r="C32">
        <v>1</v>
      </c>
      <c r="D32" s="20">
        <f>C32*AA75*12</f>
        <v>367823.07240000006</v>
      </c>
      <c r="O32" s="4"/>
    </row>
    <row r="33" spans="2:27" x14ac:dyDescent="0.35">
      <c r="B33" t="s">
        <v>167</v>
      </c>
      <c r="C33">
        <v>1</v>
      </c>
      <c r="D33" s="20">
        <f>C33*O89*12</f>
        <v>315276.9192</v>
      </c>
      <c r="O33" s="4"/>
    </row>
    <row r="34" spans="2:27" x14ac:dyDescent="0.35">
      <c r="B34" t="s">
        <v>168</v>
      </c>
      <c r="C34">
        <v>1</v>
      </c>
      <c r="D34" s="20">
        <f>C34*S89*12</f>
        <v>437884.61000000004</v>
      </c>
      <c r="M34" s="17" t="s">
        <v>108</v>
      </c>
      <c r="N34" s="17" t="s">
        <v>88</v>
      </c>
      <c r="O34" s="17" t="s">
        <v>89</v>
      </c>
      <c r="Q34" s="17" t="s">
        <v>109</v>
      </c>
      <c r="R34" s="17" t="s">
        <v>88</v>
      </c>
      <c r="S34" s="17" t="s">
        <v>89</v>
      </c>
      <c r="U34" s="17" t="s">
        <v>110</v>
      </c>
      <c r="V34" s="17" t="s">
        <v>88</v>
      </c>
      <c r="W34" s="17" t="s">
        <v>89</v>
      </c>
      <c r="Y34" s="17" t="s">
        <v>111</v>
      </c>
      <c r="Z34" s="17" t="s">
        <v>88</v>
      </c>
      <c r="AA34" s="17" t="s">
        <v>89</v>
      </c>
    </row>
    <row r="35" spans="2:27" x14ac:dyDescent="0.35">
      <c r="B35" t="s">
        <v>169</v>
      </c>
      <c r="C35">
        <v>1</v>
      </c>
      <c r="D35" s="20">
        <f>C35*W89*12</f>
        <v>437884.61000000004</v>
      </c>
      <c r="M35" s="13" t="s">
        <v>90</v>
      </c>
      <c r="N35" s="13"/>
      <c r="O35" s="18">
        <v>21000</v>
      </c>
      <c r="Q35" s="13" t="s">
        <v>90</v>
      </c>
      <c r="R35" s="13"/>
      <c r="S35" s="18">
        <v>21000</v>
      </c>
      <c r="U35" s="13" t="s">
        <v>90</v>
      </c>
      <c r="V35" s="13"/>
      <c r="W35" s="18">
        <v>16500</v>
      </c>
      <c r="Y35" s="13" t="s">
        <v>90</v>
      </c>
      <c r="Z35" s="13"/>
      <c r="AA35" s="18">
        <v>21000</v>
      </c>
    </row>
    <row r="36" spans="2:27" x14ac:dyDescent="0.35">
      <c r="B36" t="s">
        <v>171</v>
      </c>
      <c r="C36">
        <v>1</v>
      </c>
      <c r="D36" s="20">
        <f>C36*AA89*12</f>
        <v>613038.45400000003</v>
      </c>
      <c r="M36" s="13" t="s">
        <v>91</v>
      </c>
      <c r="N36" s="19">
        <v>0.03</v>
      </c>
      <c r="O36" s="18">
        <f>O35*N36</f>
        <v>630</v>
      </c>
      <c r="Q36" s="13" t="s">
        <v>91</v>
      </c>
      <c r="R36" s="19">
        <v>0.03</v>
      </c>
      <c r="S36" s="18">
        <f>S35*R36</f>
        <v>630</v>
      </c>
      <c r="U36" s="13" t="s">
        <v>91</v>
      </c>
      <c r="V36" s="19">
        <v>0.03</v>
      </c>
      <c r="W36" s="18">
        <f>W35*V36</f>
        <v>495</v>
      </c>
      <c r="Y36" s="13" t="s">
        <v>91</v>
      </c>
      <c r="Z36" s="19">
        <v>0.03</v>
      </c>
      <c r="AA36" s="18">
        <f>AA35*Z36</f>
        <v>630</v>
      </c>
    </row>
    <row r="37" spans="2:27" x14ac:dyDescent="0.35">
      <c r="B37" t="s">
        <v>170</v>
      </c>
      <c r="C37">
        <v>1</v>
      </c>
      <c r="D37" s="20">
        <f>C37*O103*12</f>
        <v>875769.22000000009</v>
      </c>
      <c r="M37" s="13" t="s">
        <v>92</v>
      </c>
      <c r="N37" s="19">
        <v>0.2</v>
      </c>
      <c r="O37" s="18">
        <f>O35*N37</f>
        <v>4200</v>
      </c>
      <c r="Q37" s="13" t="s">
        <v>92</v>
      </c>
      <c r="R37" s="19">
        <v>0.2</v>
      </c>
      <c r="S37" s="18">
        <f>S35*R37</f>
        <v>4200</v>
      </c>
      <c r="U37" s="13" t="s">
        <v>92</v>
      </c>
      <c r="V37" s="19">
        <v>0.2</v>
      </c>
      <c r="W37" s="18">
        <f>W35*V37</f>
        <v>3300</v>
      </c>
      <c r="Y37" s="13" t="s">
        <v>92</v>
      </c>
      <c r="Z37" s="19">
        <v>0.2</v>
      </c>
      <c r="AA37" s="18">
        <f>AA35*Z37</f>
        <v>4200</v>
      </c>
    </row>
    <row r="38" spans="2:27" x14ac:dyDescent="0.35">
      <c r="B38" t="s">
        <v>172</v>
      </c>
      <c r="C38">
        <v>1</v>
      </c>
      <c r="D38" s="20">
        <f>O117*C38*12</f>
        <v>175153.84400000001</v>
      </c>
      <c r="M38" s="13" t="s">
        <v>93</v>
      </c>
      <c r="N38" s="19">
        <v>0.13</v>
      </c>
      <c r="O38" s="18">
        <f>O35*N38</f>
        <v>2730</v>
      </c>
      <c r="Q38" s="13" t="s">
        <v>93</v>
      </c>
      <c r="R38" s="19">
        <v>0.13</v>
      </c>
      <c r="S38" s="18">
        <f>S35*R38</f>
        <v>2730</v>
      </c>
      <c r="U38" s="13" t="s">
        <v>93</v>
      </c>
      <c r="V38" s="19">
        <v>0.13</v>
      </c>
      <c r="W38" s="18">
        <f>W35*V38</f>
        <v>2145</v>
      </c>
      <c r="Y38" s="13" t="s">
        <v>93</v>
      </c>
      <c r="Z38" s="19">
        <v>0.13</v>
      </c>
      <c r="AA38" s="18">
        <f>AA35*Z38</f>
        <v>2730</v>
      </c>
    </row>
    <row r="39" spans="2:27" x14ac:dyDescent="0.35">
      <c r="B39" t="s">
        <v>173</v>
      </c>
      <c r="C39">
        <v>1</v>
      </c>
      <c r="D39" s="20">
        <f>S117*C39*12</f>
        <v>175153.84400000001</v>
      </c>
      <c r="M39" s="13" t="s">
        <v>94</v>
      </c>
      <c r="N39" s="13"/>
      <c r="O39" s="18"/>
      <c r="Q39" s="13" t="s">
        <v>94</v>
      </c>
      <c r="R39" s="13"/>
      <c r="S39" s="18"/>
      <c r="U39" s="13" t="s">
        <v>94</v>
      </c>
      <c r="V39" s="13"/>
      <c r="W39" s="18"/>
      <c r="Y39" s="13" t="s">
        <v>94</v>
      </c>
      <c r="Z39" s="13"/>
      <c r="AA39" s="18"/>
    </row>
    <row r="40" spans="2:27" x14ac:dyDescent="0.35">
      <c r="B40" s="3" t="s">
        <v>174</v>
      </c>
      <c r="C40" s="3">
        <v>1</v>
      </c>
      <c r="D40" s="21">
        <f>C40*W117*12</f>
        <v>262730.76599999995</v>
      </c>
      <c r="M40" s="13" t="s">
        <v>95</v>
      </c>
      <c r="N40" s="13">
        <v>0.28846100000000002</v>
      </c>
      <c r="O40" s="18">
        <f>(O35/30)*N40</f>
        <v>201.92270000000002</v>
      </c>
      <c r="Q40" s="13" t="s">
        <v>95</v>
      </c>
      <c r="R40" s="13">
        <v>0.28846100000000002</v>
      </c>
      <c r="S40" s="18">
        <f>(S35/30)*R40</f>
        <v>201.92270000000002</v>
      </c>
      <c r="U40" s="13" t="s">
        <v>95</v>
      </c>
      <c r="V40" s="13">
        <v>0.28846100000000002</v>
      </c>
      <c r="W40" s="18">
        <f>(W35/30)*V40</f>
        <v>158.65355000000002</v>
      </c>
      <c r="Y40" s="13" t="s">
        <v>95</v>
      </c>
      <c r="Z40" s="13">
        <v>0.28846100000000002</v>
      </c>
      <c r="AA40" s="18">
        <f>(AA35/30)*Z40</f>
        <v>201.92270000000002</v>
      </c>
    </row>
    <row r="41" spans="2:27" x14ac:dyDescent="0.35">
      <c r="B41" s="24" t="s">
        <v>118</v>
      </c>
      <c r="C41" s="25"/>
      <c r="D41" s="26">
        <f>D13+D14</f>
        <v>472915.37879999995</v>
      </c>
      <c r="M41" s="13" t="s">
        <v>96</v>
      </c>
      <c r="N41" s="19">
        <v>7.0000000000000007E-2</v>
      </c>
      <c r="O41" s="18">
        <f>O35*N41</f>
        <v>1470.0000000000002</v>
      </c>
      <c r="Q41" s="13" t="s">
        <v>96</v>
      </c>
      <c r="R41" s="19">
        <v>7.0000000000000007E-2</v>
      </c>
      <c r="S41" s="18">
        <f>S35*R41</f>
        <v>1470.0000000000002</v>
      </c>
      <c r="U41" s="13" t="s">
        <v>96</v>
      </c>
      <c r="V41" s="19">
        <v>7.0000000000000007E-2</v>
      </c>
      <c r="W41" s="18">
        <f>W35*V41</f>
        <v>1155</v>
      </c>
      <c r="Y41" s="13" t="s">
        <v>96</v>
      </c>
      <c r="Z41" s="19">
        <v>7.0000000000000007E-2</v>
      </c>
      <c r="AA41" s="18">
        <f>AA35*Z41</f>
        <v>1470.0000000000002</v>
      </c>
    </row>
    <row r="42" spans="2:27" x14ac:dyDescent="0.35">
      <c r="B42" s="24" t="s">
        <v>119</v>
      </c>
      <c r="C42" s="25"/>
      <c r="D42" s="27">
        <f>SUM(D16:D21)</f>
        <v>1567626.9038</v>
      </c>
      <c r="M42" s="13" t="s">
        <v>97</v>
      </c>
      <c r="N42" s="19">
        <v>0.02</v>
      </c>
      <c r="O42" s="18">
        <f>O35*N42</f>
        <v>420</v>
      </c>
      <c r="Q42" s="13" t="s">
        <v>97</v>
      </c>
      <c r="R42" s="19">
        <v>0.02</v>
      </c>
      <c r="S42" s="18">
        <f>S35*R42</f>
        <v>420</v>
      </c>
      <c r="U42" s="13" t="s">
        <v>97</v>
      </c>
      <c r="V42" s="19">
        <v>0.02</v>
      </c>
      <c r="W42" s="18">
        <f>W35*V42</f>
        <v>330</v>
      </c>
      <c r="Y42" s="13" t="s">
        <v>97</v>
      </c>
      <c r="Z42" s="19">
        <v>0.02</v>
      </c>
      <c r="AA42" s="18">
        <f>AA35*Z42</f>
        <v>420</v>
      </c>
    </row>
    <row r="43" spans="2:27" x14ac:dyDescent="0.35">
      <c r="B43" s="24" t="s">
        <v>121</v>
      </c>
      <c r="C43" s="25"/>
      <c r="D43" s="27">
        <f>SUM(D23:D27)</f>
        <v>2005511.5138000003</v>
      </c>
      <c r="E43" s="6"/>
      <c r="M43" s="13" t="s">
        <v>98</v>
      </c>
      <c r="N43" s="19">
        <v>0.21360000000000001</v>
      </c>
      <c r="O43" s="18">
        <f>N43*O35</f>
        <v>4485.6000000000004</v>
      </c>
      <c r="Q43" s="13" t="s">
        <v>98</v>
      </c>
      <c r="R43" s="19">
        <v>0.21360000000000001</v>
      </c>
      <c r="S43" s="18">
        <f>R43*S35</f>
        <v>4485.6000000000004</v>
      </c>
      <c r="U43" s="13" t="s">
        <v>98</v>
      </c>
      <c r="V43" s="19">
        <v>0.21360000000000001</v>
      </c>
      <c r="W43" s="18">
        <f>V43*W35</f>
        <v>3524.4</v>
      </c>
      <c r="Y43" s="13" t="s">
        <v>98</v>
      </c>
      <c r="Z43" s="19">
        <v>0.21360000000000001</v>
      </c>
      <c r="AA43" s="18">
        <f>Z43*AA35</f>
        <v>4485.6000000000004</v>
      </c>
    </row>
    <row r="44" spans="2:27" x14ac:dyDescent="0.35">
      <c r="B44" s="28" t="s">
        <v>120</v>
      </c>
      <c r="C44" s="28"/>
      <c r="D44" s="29">
        <f>SUM(D29:D40)</f>
        <v>4834246.0943999989</v>
      </c>
      <c r="M44" s="13"/>
      <c r="N44" s="13"/>
      <c r="O44" s="18">
        <f>SUM(O36:O42)</f>
        <v>9651.922700000001</v>
      </c>
      <c r="Q44" s="13"/>
      <c r="R44" s="13"/>
      <c r="S44" s="18">
        <f>SUM(S36:S42)</f>
        <v>9651.922700000001</v>
      </c>
      <c r="U44" s="13"/>
      <c r="V44" s="13"/>
      <c r="W44" s="18">
        <f>SUM(W36:W42)</f>
        <v>7583.65355</v>
      </c>
      <c r="Y44" s="13"/>
      <c r="Z44" s="13"/>
      <c r="AA44" s="18">
        <f>SUM(AA36:AA42)</f>
        <v>9651.922700000001</v>
      </c>
    </row>
    <row r="45" spans="2:27" x14ac:dyDescent="0.35">
      <c r="B45" s="25" t="s">
        <v>55</v>
      </c>
      <c r="C45" s="25"/>
      <c r="D45" s="27">
        <f>SUM(D41:D44)</f>
        <v>8880299.8907999992</v>
      </c>
      <c r="M45" s="13" t="s">
        <v>99</v>
      </c>
      <c r="N45" s="13"/>
      <c r="O45" s="18">
        <f>O35+O44</f>
        <v>30651.922700000003</v>
      </c>
      <c r="Q45" s="13" t="s">
        <v>99</v>
      </c>
      <c r="R45" s="13"/>
      <c r="S45" s="18">
        <f>S35+S44</f>
        <v>30651.922700000003</v>
      </c>
      <c r="U45" s="13" t="s">
        <v>99</v>
      </c>
      <c r="V45" s="13"/>
      <c r="W45" s="18">
        <f>W35+W44</f>
        <v>24083.653549999999</v>
      </c>
      <c r="Y45" s="13" t="s">
        <v>99</v>
      </c>
      <c r="Z45" s="13"/>
      <c r="AA45" s="18">
        <f>AA35+AA44</f>
        <v>30651.922700000003</v>
      </c>
    </row>
    <row r="48" spans="2:27" x14ac:dyDescent="0.35">
      <c r="M48" s="17" t="s">
        <v>175</v>
      </c>
      <c r="N48" s="17" t="s">
        <v>88</v>
      </c>
      <c r="O48" s="17" t="s">
        <v>89</v>
      </c>
    </row>
    <row r="49" spans="13:27" x14ac:dyDescent="0.35">
      <c r="M49" s="13" t="s">
        <v>90</v>
      </c>
      <c r="N49" s="13"/>
      <c r="O49" s="18">
        <v>35000</v>
      </c>
    </row>
    <row r="50" spans="13:27" x14ac:dyDescent="0.35">
      <c r="M50" s="13" t="s">
        <v>91</v>
      </c>
      <c r="N50" s="19">
        <v>0.03</v>
      </c>
      <c r="O50" s="18">
        <f>O49*N50</f>
        <v>1050</v>
      </c>
    </row>
    <row r="51" spans="13:27" x14ac:dyDescent="0.35">
      <c r="M51" s="13" t="s">
        <v>92</v>
      </c>
      <c r="N51" s="19">
        <v>0.2</v>
      </c>
      <c r="O51" s="18">
        <f>O49*N51</f>
        <v>7000</v>
      </c>
    </row>
    <row r="52" spans="13:27" x14ac:dyDescent="0.35">
      <c r="M52" s="13" t="s">
        <v>93</v>
      </c>
      <c r="N52" s="19">
        <v>0.13</v>
      </c>
      <c r="O52" s="18">
        <f>O49*N52</f>
        <v>4550</v>
      </c>
    </row>
    <row r="53" spans="13:27" x14ac:dyDescent="0.35">
      <c r="M53" s="13" t="s">
        <v>94</v>
      </c>
      <c r="N53" s="13"/>
      <c r="O53" s="18"/>
    </row>
    <row r="54" spans="13:27" x14ac:dyDescent="0.35">
      <c r="M54" s="13" t="s">
        <v>95</v>
      </c>
      <c r="N54" s="13">
        <v>0.28846100000000002</v>
      </c>
      <c r="O54" s="18">
        <f>(O49/30)*N54</f>
        <v>336.53783333333337</v>
      </c>
    </row>
    <row r="55" spans="13:27" x14ac:dyDescent="0.35">
      <c r="M55" s="13" t="s">
        <v>96</v>
      </c>
      <c r="N55" s="19">
        <v>7.0000000000000007E-2</v>
      </c>
      <c r="O55" s="18">
        <f>O49*N55</f>
        <v>2450.0000000000005</v>
      </c>
    </row>
    <row r="56" spans="13:27" x14ac:dyDescent="0.35">
      <c r="M56" s="13" t="s">
        <v>97</v>
      </c>
      <c r="N56" s="19">
        <v>0.02</v>
      </c>
      <c r="O56" s="18">
        <f>O49*N56</f>
        <v>700</v>
      </c>
    </row>
    <row r="57" spans="13:27" x14ac:dyDescent="0.35">
      <c r="M57" s="13" t="s">
        <v>98</v>
      </c>
      <c r="N57" s="19">
        <v>0.23519999999999999</v>
      </c>
      <c r="O57" s="18">
        <f>O49*N57</f>
        <v>8232</v>
      </c>
    </row>
    <row r="58" spans="13:27" x14ac:dyDescent="0.35">
      <c r="M58" s="13"/>
      <c r="N58" s="13"/>
      <c r="O58" s="18">
        <f>SUM(O50:O56)</f>
        <v>16086.537833333334</v>
      </c>
    </row>
    <row r="59" spans="13:27" x14ac:dyDescent="0.35">
      <c r="M59" s="13" t="s">
        <v>99</v>
      </c>
      <c r="N59" s="13"/>
      <c r="O59" s="18">
        <f>O49+O58</f>
        <v>51086.537833333336</v>
      </c>
    </row>
    <row r="62" spans="13:27" x14ac:dyDescent="0.35">
      <c r="M62" t="s">
        <v>112</v>
      </c>
    </row>
    <row r="64" spans="13:27" x14ac:dyDescent="0.35">
      <c r="M64" s="17" t="s">
        <v>163</v>
      </c>
      <c r="N64" s="17" t="s">
        <v>88</v>
      </c>
      <c r="O64" s="17" t="s">
        <v>89</v>
      </c>
      <c r="Q64" s="17" t="s">
        <v>164</v>
      </c>
      <c r="R64" s="17" t="s">
        <v>88</v>
      </c>
      <c r="S64" s="17" t="s">
        <v>89</v>
      </c>
      <c r="U64" s="17" t="s">
        <v>165</v>
      </c>
      <c r="V64" s="17" t="s">
        <v>88</v>
      </c>
      <c r="W64" s="17" t="s">
        <v>89</v>
      </c>
      <c r="Y64" s="17" t="s">
        <v>113</v>
      </c>
      <c r="Z64" s="17" t="s">
        <v>88</v>
      </c>
      <c r="AA64" s="17" t="s">
        <v>89</v>
      </c>
    </row>
    <row r="65" spans="13:27" x14ac:dyDescent="0.35">
      <c r="M65" s="13" t="s">
        <v>90</v>
      </c>
      <c r="N65" s="13"/>
      <c r="O65" s="18">
        <v>21000</v>
      </c>
      <c r="Q65" s="13" t="s">
        <v>90</v>
      </c>
      <c r="R65" s="13"/>
      <c r="S65" s="18">
        <v>25000</v>
      </c>
      <c r="U65" s="13" t="s">
        <v>90</v>
      </c>
      <c r="V65" s="13"/>
      <c r="W65" s="18">
        <v>21000</v>
      </c>
      <c r="Y65" s="13" t="s">
        <v>90</v>
      </c>
      <c r="Z65" s="13"/>
      <c r="AA65" s="18">
        <v>21000</v>
      </c>
    </row>
    <row r="66" spans="13:27" x14ac:dyDescent="0.35">
      <c r="M66" s="13" t="s">
        <v>91</v>
      </c>
      <c r="N66" s="19">
        <v>0.03</v>
      </c>
      <c r="O66" s="18">
        <f>O65*N66</f>
        <v>630</v>
      </c>
      <c r="Q66" s="13" t="s">
        <v>91</v>
      </c>
      <c r="R66" s="19">
        <v>0.03</v>
      </c>
      <c r="S66" s="18">
        <f>S65*R66</f>
        <v>750</v>
      </c>
      <c r="U66" s="13" t="s">
        <v>91</v>
      </c>
      <c r="V66" s="19">
        <v>0.03</v>
      </c>
      <c r="W66" s="18">
        <f>W65*V66</f>
        <v>630</v>
      </c>
      <c r="Y66" s="13" t="s">
        <v>91</v>
      </c>
      <c r="Z66" s="19">
        <v>0.03</v>
      </c>
      <c r="AA66" s="18">
        <f>AA65*Z66</f>
        <v>630</v>
      </c>
    </row>
    <row r="67" spans="13:27" x14ac:dyDescent="0.35">
      <c r="M67" s="13" t="s">
        <v>92</v>
      </c>
      <c r="N67" s="19">
        <v>0.2</v>
      </c>
      <c r="O67" s="18">
        <f>O65*N67</f>
        <v>4200</v>
      </c>
      <c r="Q67" s="13" t="s">
        <v>92</v>
      </c>
      <c r="R67" s="19">
        <v>0.2</v>
      </c>
      <c r="S67" s="18">
        <f>S65*R67</f>
        <v>5000</v>
      </c>
      <c r="U67" s="13" t="s">
        <v>92</v>
      </c>
      <c r="V67" s="19">
        <v>0.2</v>
      </c>
      <c r="W67" s="18">
        <f>W65*V67</f>
        <v>4200</v>
      </c>
      <c r="Y67" s="13" t="s">
        <v>92</v>
      </c>
      <c r="Z67" s="19">
        <v>0.2</v>
      </c>
      <c r="AA67" s="18">
        <f>AA65*Z67</f>
        <v>4200</v>
      </c>
    </row>
    <row r="68" spans="13:27" x14ac:dyDescent="0.35">
      <c r="M68" s="13" t="s">
        <v>93</v>
      </c>
      <c r="N68" s="19">
        <v>0.13</v>
      </c>
      <c r="O68" s="18">
        <f>O65*N68</f>
        <v>2730</v>
      </c>
      <c r="Q68" s="13" t="s">
        <v>93</v>
      </c>
      <c r="R68" s="19">
        <v>0.13</v>
      </c>
      <c r="S68" s="18">
        <f>S65*R68</f>
        <v>3250</v>
      </c>
      <c r="U68" s="13" t="s">
        <v>93</v>
      </c>
      <c r="V68" s="19">
        <v>0.13</v>
      </c>
      <c r="W68" s="18">
        <f>W65*V68</f>
        <v>2730</v>
      </c>
      <c r="Y68" s="13" t="s">
        <v>93</v>
      </c>
      <c r="Z68" s="19">
        <v>0.13</v>
      </c>
      <c r="AA68" s="18">
        <f>AA65*Z68</f>
        <v>2730</v>
      </c>
    </row>
    <row r="69" spans="13:27" x14ac:dyDescent="0.35">
      <c r="M69" s="13" t="s">
        <v>94</v>
      </c>
      <c r="N69" s="13"/>
      <c r="O69" s="18"/>
      <c r="Q69" s="13" t="s">
        <v>94</v>
      </c>
      <c r="R69" s="13"/>
      <c r="S69" s="18"/>
      <c r="U69" s="13" t="s">
        <v>94</v>
      </c>
      <c r="V69" s="13"/>
      <c r="W69" s="18"/>
      <c r="Y69" s="13" t="s">
        <v>94</v>
      </c>
      <c r="Z69" s="13"/>
      <c r="AA69" s="18"/>
    </row>
    <row r="70" spans="13:27" x14ac:dyDescent="0.35">
      <c r="M70" s="13" t="s">
        <v>95</v>
      </c>
      <c r="N70" s="13">
        <v>0.28846100000000002</v>
      </c>
      <c r="O70" s="18">
        <f>(O65/30)*N70</f>
        <v>201.92270000000002</v>
      </c>
      <c r="Q70" s="13" t="s">
        <v>95</v>
      </c>
      <c r="R70" s="13">
        <v>0.28846100000000002</v>
      </c>
      <c r="S70" s="18">
        <f>(S65/30)*R70</f>
        <v>240.38416666666669</v>
      </c>
      <c r="U70" s="13" t="s">
        <v>95</v>
      </c>
      <c r="V70" s="13">
        <v>0.28846100000000002</v>
      </c>
      <c r="W70" s="18">
        <f>(W65/30)*V70</f>
        <v>201.92270000000002</v>
      </c>
      <c r="Y70" s="13" t="s">
        <v>95</v>
      </c>
      <c r="Z70" s="13">
        <v>0.28846100000000002</v>
      </c>
      <c r="AA70" s="18">
        <f>(AA65/30)*Z70</f>
        <v>201.92270000000002</v>
      </c>
    </row>
    <row r="71" spans="13:27" x14ac:dyDescent="0.35">
      <c r="M71" s="13" t="s">
        <v>96</v>
      </c>
      <c r="N71" s="19">
        <v>7.0000000000000007E-2</v>
      </c>
      <c r="O71" s="18">
        <f>O65*N71</f>
        <v>1470.0000000000002</v>
      </c>
      <c r="Q71" s="13" t="s">
        <v>96</v>
      </c>
      <c r="R71" s="19">
        <v>7.0000000000000007E-2</v>
      </c>
      <c r="S71" s="18">
        <f>S65*R71</f>
        <v>1750.0000000000002</v>
      </c>
      <c r="U71" s="13" t="s">
        <v>96</v>
      </c>
      <c r="V71" s="19">
        <v>7.0000000000000007E-2</v>
      </c>
      <c r="W71" s="18">
        <f>W65*V71</f>
        <v>1470.0000000000002</v>
      </c>
      <c r="Y71" s="13" t="s">
        <v>96</v>
      </c>
      <c r="Z71" s="19">
        <v>7.0000000000000007E-2</v>
      </c>
      <c r="AA71" s="18">
        <f>AA65*Z71</f>
        <v>1470.0000000000002</v>
      </c>
    </row>
    <row r="72" spans="13:27" x14ac:dyDescent="0.35">
      <c r="M72" s="13" t="s">
        <v>97</v>
      </c>
      <c r="N72" s="19">
        <v>0.02</v>
      </c>
      <c r="O72" s="18">
        <f>O65*N72</f>
        <v>420</v>
      </c>
      <c r="Q72" s="13" t="s">
        <v>97</v>
      </c>
      <c r="R72" s="19">
        <v>0.02</v>
      </c>
      <c r="S72" s="18">
        <f>S65*R72</f>
        <v>500</v>
      </c>
      <c r="U72" s="13" t="s">
        <v>97</v>
      </c>
      <c r="V72" s="19">
        <v>0.02</v>
      </c>
      <c r="W72" s="18">
        <f>W65*V72</f>
        <v>420</v>
      </c>
      <c r="Y72" s="13" t="s">
        <v>97</v>
      </c>
      <c r="Z72" s="19">
        <v>0.02</v>
      </c>
      <c r="AA72" s="18">
        <f>AA65*Z72</f>
        <v>420</v>
      </c>
    </row>
    <row r="73" spans="13:27" x14ac:dyDescent="0.35">
      <c r="M73" s="13" t="s">
        <v>98</v>
      </c>
      <c r="N73" s="19">
        <v>0.21360000000000001</v>
      </c>
      <c r="O73" s="18">
        <f>N73*O65</f>
        <v>4485.6000000000004</v>
      </c>
      <c r="Q73" s="13" t="s">
        <v>98</v>
      </c>
      <c r="R73" s="19">
        <v>0.21360000000000001</v>
      </c>
      <c r="S73" s="18">
        <f>R73*S65</f>
        <v>5340</v>
      </c>
      <c r="U73" s="13" t="s">
        <v>98</v>
      </c>
      <c r="V73" s="19">
        <v>0.21360000000000001</v>
      </c>
      <c r="W73" s="18">
        <f>V73*W65</f>
        <v>4485.6000000000004</v>
      </c>
      <c r="Y73" s="13" t="s">
        <v>98</v>
      </c>
      <c r="Z73" s="19">
        <v>0.21360000000000001</v>
      </c>
      <c r="AA73" s="18">
        <f>Z73*AA65</f>
        <v>4485.6000000000004</v>
      </c>
    </row>
    <row r="74" spans="13:27" x14ac:dyDescent="0.35">
      <c r="M74" s="13"/>
      <c r="N74" s="13"/>
      <c r="O74" s="18">
        <f>SUM(O66:O72)</f>
        <v>9651.922700000001</v>
      </c>
      <c r="Q74" s="13"/>
      <c r="R74" s="13"/>
      <c r="S74" s="18">
        <f>SUM(S66:S72)</f>
        <v>11490.384166666667</v>
      </c>
      <c r="U74" s="13"/>
      <c r="V74" s="13"/>
      <c r="W74" s="18">
        <f>SUM(W66:W72)</f>
        <v>9651.922700000001</v>
      </c>
      <c r="Y74" s="13"/>
      <c r="Z74" s="13"/>
      <c r="AA74" s="18">
        <f>SUM(AA66:AA72)</f>
        <v>9651.922700000001</v>
      </c>
    </row>
    <row r="75" spans="13:27" x14ac:dyDescent="0.35">
      <c r="M75" s="13" t="s">
        <v>99</v>
      </c>
      <c r="N75" s="13"/>
      <c r="O75" s="18">
        <f>O65+O74</f>
        <v>30651.922700000003</v>
      </c>
      <c r="Q75" s="13" t="s">
        <v>99</v>
      </c>
      <c r="R75" s="13"/>
      <c r="S75" s="18">
        <f>S65+S74</f>
        <v>36490.38416666667</v>
      </c>
      <c r="U75" s="13" t="s">
        <v>99</v>
      </c>
      <c r="V75" s="13"/>
      <c r="W75" s="18">
        <f>W65+W74</f>
        <v>30651.922700000003</v>
      </c>
      <c r="Y75" s="13" t="s">
        <v>99</v>
      </c>
      <c r="Z75" s="13"/>
      <c r="AA75" s="18">
        <f>AA65+AA74</f>
        <v>30651.922700000003</v>
      </c>
    </row>
    <row r="78" spans="13:27" x14ac:dyDescent="0.35">
      <c r="M78" s="17" t="s">
        <v>167</v>
      </c>
      <c r="N78" s="17" t="s">
        <v>88</v>
      </c>
      <c r="O78" s="17" t="s">
        <v>89</v>
      </c>
      <c r="Q78" s="17" t="s">
        <v>168</v>
      </c>
      <c r="R78" s="17" t="s">
        <v>88</v>
      </c>
      <c r="S78" s="17" t="s">
        <v>89</v>
      </c>
      <c r="U78" s="17" t="s">
        <v>169</v>
      </c>
      <c r="V78" s="17" t="s">
        <v>88</v>
      </c>
      <c r="W78" s="17" t="s">
        <v>89</v>
      </c>
      <c r="Y78" s="17" t="s">
        <v>171</v>
      </c>
      <c r="Z78" s="17" t="s">
        <v>88</v>
      </c>
      <c r="AA78" s="17" t="s">
        <v>89</v>
      </c>
    </row>
    <row r="79" spans="13:27" x14ac:dyDescent="0.35">
      <c r="M79" s="13" t="s">
        <v>90</v>
      </c>
      <c r="N79" s="13"/>
      <c r="O79" s="18">
        <v>18000</v>
      </c>
      <c r="Q79" s="13" t="s">
        <v>90</v>
      </c>
      <c r="R79" s="13"/>
      <c r="S79" s="18">
        <v>25000</v>
      </c>
      <c r="U79" s="13" t="s">
        <v>90</v>
      </c>
      <c r="V79" s="13"/>
      <c r="W79" s="18">
        <v>25000</v>
      </c>
      <c r="Y79" s="13" t="s">
        <v>90</v>
      </c>
      <c r="Z79" s="13"/>
      <c r="AA79" s="18">
        <v>35000</v>
      </c>
    </row>
    <row r="80" spans="13:27" x14ac:dyDescent="0.35">
      <c r="M80" s="13" t="s">
        <v>91</v>
      </c>
      <c r="N80" s="19">
        <v>0.03</v>
      </c>
      <c r="O80" s="18">
        <f>O79*N80</f>
        <v>540</v>
      </c>
      <c r="Q80" s="13" t="s">
        <v>91</v>
      </c>
      <c r="R80" s="19">
        <v>0.03</v>
      </c>
      <c r="S80" s="18">
        <f>S79*R80</f>
        <v>750</v>
      </c>
      <c r="U80" s="13" t="s">
        <v>91</v>
      </c>
      <c r="V80" s="19">
        <v>0.03</v>
      </c>
      <c r="W80" s="18">
        <f>W79*V80</f>
        <v>750</v>
      </c>
      <c r="Y80" s="13" t="s">
        <v>91</v>
      </c>
      <c r="Z80" s="19">
        <v>0.03</v>
      </c>
      <c r="AA80" s="18">
        <f>AA79*Z80</f>
        <v>1050</v>
      </c>
    </row>
    <row r="81" spans="13:27" x14ac:dyDescent="0.35">
      <c r="M81" s="13" t="s">
        <v>92</v>
      </c>
      <c r="N81" s="19">
        <v>0.2</v>
      </c>
      <c r="O81" s="18">
        <f>O79*N81</f>
        <v>3600</v>
      </c>
      <c r="Q81" s="13" t="s">
        <v>92</v>
      </c>
      <c r="R81" s="19">
        <v>0.2</v>
      </c>
      <c r="S81" s="18">
        <f>S79*R81</f>
        <v>5000</v>
      </c>
      <c r="U81" s="13" t="s">
        <v>92</v>
      </c>
      <c r="V81" s="19">
        <v>0.2</v>
      </c>
      <c r="W81" s="18">
        <f>W79*V81</f>
        <v>5000</v>
      </c>
      <c r="Y81" s="13" t="s">
        <v>92</v>
      </c>
      <c r="Z81" s="19">
        <v>0.2</v>
      </c>
      <c r="AA81" s="18">
        <f>AA79*Z81</f>
        <v>7000</v>
      </c>
    </row>
    <row r="82" spans="13:27" x14ac:dyDescent="0.35">
      <c r="M82" s="13" t="s">
        <v>93</v>
      </c>
      <c r="N82" s="19">
        <v>0.13</v>
      </c>
      <c r="O82" s="18">
        <f>O79*N82</f>
        <v>2340</v>
      </c>
      <c r="Q82" s="13" t="s">
        <v>93</v>
      </c>
      <c r="R82" s="19">
        <v>0.13</v>
      </c>
      <c r="S82" s="18">
        <f>S79*R82</f>
        <v>3250</v>
      </c>
      <c r="U82" s="13" t="s">
        <v>93</v>
      </c>
      <c r="V82" s="19">
        <v>0.13</v>
      </c>
      <c r="W82" s="18">
        <f>W79*V82</f>
        <v>3250</v>
      </c>
      <c r="Y82" s="13" t="s">
        <v>93</v>
      </c>
      <c r="Z82" s="19">
        <v>0.13</v>
      </c>
      <c r="AA82" s="18">
        <f>AA79*Z82</f>
        <v>4550</v>
      </c>
    </row>
    <row r="83" spans="13:27" x14ac:dyDescent="0.35">
      <c r="M83" s="13" t="s">
        <v>94</v>
      </c>
      <c r="N83" s="13"/>
      <c r="O83" s="18"/>
      <c r="Q83" s="13" t="s">
        <v>94</v>
      </c>
      <c r="R83" s="13"/>
      <c r="S83" s="18"/>
      <c r="U83" s="13" t="s">
        <v>94</v>
      </c>
      <c r="V83" s="13"/>
      <c r="W83" s="18"/>
      <c r="Y83" s="13" t="s">
        <v>94</v>
      </c>
      <c r="Z83" s="13"/>
      <c r="AA83" s="18"/>
    </row>
    <row r="84" spans="13:27" x14ac:dyDescent="0.35">
      <c r="M84" s="13" t="s">
        <v>95</v>
      </c>
      <c r="N84" s="13">
        <v>0.28846100000000002</v>
      </c>
      <c r="O84" s="18">
        <f>(O79/30)*N84</f>
        <v>173.07660000000001</v>
      </c>
      <c r="Q84" s="13" t="s">
        <v>95</v>
      </c>
      <c r="R84" s="13">
        <v>0.28846100000000002</v>
      </c>
      <c r="S84" s="18">
        <f>(S79/30)*R84</f>
        <v>240.38416666666669</v>
      </c>
      <c r="U84" s="13" t="s">
        <v>95</v>
      </c>
      <c r="V84" s="13">
        <v>0.28846100000000002</v>
      </c>
      <c r="W84" s="18">
        <f>(W79/30)*V84</f>
        <v>240.38416666666669</v>
      </c>
      <c r="Y84" s="13" t="s">
        <v>95</v>
      </c>
      <c r="Z84" s="13">
        <v>0.28846100000000002</v>
      </c>
      <c r="AA84" s="18">
        <f>(AA79/30)*Z84</f>
        <v>336.53783333333337</v>
      </c>
    </row>
    <row r="85" spans="13:27" x14ac:dyDescent="0.35">
      <c r="M85" s="13" t="s">
        <v>96</v>
      </c>
      <c r="N85" s="19">
        <v>7.0000000000000007E-2</v>
      </c>
      <c r="O85" s="18">
        <f>O79*N85</f>
        <v>1260.0000000000002</v>
      </c>
      <c r="Q85" s="13" t="s">
        <v>96</v>
      </c>
      <c r="R85" s="19">
        <v>7.0000000000000007E-2</v>
      </c>
      <c r="S85" s="18">
        <f>S79*R85</f>
        <v>1750.0000000000002</v>
      </c>
      <c r="U85" s="13" t="s">
        <v>96</v>
      </c>
      <c r="V85" s="19">
        <v>7.0000000000000007E-2</v>
      </c>
      <c r="W85" s="18">
        <f>W79*V85</f>
        <v>1750.0000000000002</v>
      </c>
      <c r="Y85" s="13" t="s">
        <v>96</v>
      </c>
      <c r="Z85" s="19">
        <v>7.0000000000000007E-2</v>
      </c>
      <c r="AA85" s="18">
        <f>AA79*Z85</f>
        <v>2450.0000000000005</v>
      </c>
    </row>
    <row r="86" spans="13:27" x14ac:dyDescent="0.35">
      <c r="M86" s="13" t="s">
        <v>97</v>
      </c>
      <c r="N86" s="19">
        <v>0.02</v>
      </c>
      <c r="O86" s="18">
        <f>O79*N86</f>
        <v>360</v>
      </c>
      <c r="Q86" s="13" t="s">
        <v>97</v>
      </c>
      <c r="R86" s="19">
        <v>0.02</v>
      </c>
      <c r="S86" s="18">
        <f>S79*R86</f>
        <v>500</v>
      </c>
      <c r="U86" s="13" t="s">
        <v>97</v>
      </c>
      <c r="V86" s="19">
        <v>0.02</v>
      </c>
      <c r="W86" s="18">
        <f>W79*V86</f>
        <v>500</v>
      </c>
      <c r="Y86" s="13" t="s">
        <v>97</v>
      </c>
      <c r="Z86" s="19">
        <v>0.02</v>
      </c>
      <c r="AA86" s="18">
        <f>AA79*Z86</f>
        <v>700</v>
      </c>
    </row>
    <row r="87" spans="13:27" x14ac:dyDescent="0.35">
      <c r="M87" s="13" t="s">
        <v>98</v>
      </c>
      <c r="N87" s="19">
        <v>0.21360000000000001</v>
      </c>
      <c r="O87" s="18">
        <f>N87*O79</f>
        <v>3844.8</v>
      </c>
      <c r="Q87" s="13" t="s">
        <v>98</v>
      </c>
      <c r="R87" s="19">
        <v>0.21360000000000001</v>
      </c>
      <c r="S87" s="18">
        <f>R87*S79</f>
        <v>5340</v>
      </c>
      <c r="U87" s="13" t="s">
        <v>98</v>
      </c>
      <c r="V87" s="19">
        <v>0.21360000000000001</v>
      </c>
      <c r="W87" s="18">
        <f>V87*W79</f>
        <v>5340</v>
      </c>
      <c r="Y87" s="13" t="s">
        <v>98</v>
      </c>
      <c r="Z87" s="19">
        <v>0.23519999999999999</v>
      </c>
      <c r="AA87" s="18">
        <f>Z87*AA79</f>
        <v>8232</v>
      </c>
    </row>
    <row r="88" spans="13:27" x14ac:dyDescent="0.35">
      <c r="M88" s="13"/>
      <c r="N88" s="13"/>
      <c r="O88" s="18">
        <f>SUM(O80:O86)</f>
        <v>8273.0766000000003</v>
      </c>
      <c r="Q88" s="13"/>
      <c r="R88" s="13"/>
      <c r="S88" s="18">
        <f>SUM(S80:S86)</f>
        <v>11490.384166666667</v>
      </c>
      <c r="U88" s="13"/>
      <c r="V88" s="13"/>
      <c r="W88" s="18">
        <f>SUM(W80:W86)</f>
        <v>11490.384166666667</v>
      </c>
      <c r="Y88" s="13"/>
      <c r="Z88" s="13"/>
      <c r="AA88" s="18">
        <f>SUM(AA80:AA86)</f>
        <v>16086.537833333334</v>
      </c>
    </row>
    <row r="89" spans="13:27" x14ac:dyDescent="0.35">
      <c r="M89" s="13" t="s">
        <v>99</v>
      </c>
      <c r="N89" s="13"/>
      <c r="O89" s="18">
        <f>O79+O88</f>
        <v>26273.0766</v>
      </c>
      <c r="Q89" s="13" t="s">
        <v>99</v>
      </c>
      <c r="R89" s="13"/>
      <c r="S89" s="18">
        <f>S79+S88</f>
        <v>36490.38416666667</v>
      </c>
      <c r="U89" s="13" t="s">
        <v>99</v>
      </c>
      <c r="V89" s="13"/>
      <c r="W89" s="18">
        <f>W79+W88</f>
        <v>36490.38416666667</v>
      </c>
      <c r="Y89" s="13" t="s">
        <v>99</v>
      </c>
      <c r="Z89" s="13"/>
      <c r="AA89" s="18">
        <f>AA79+AA88</f>
        <v>51086.537833333336</v>
      </c>
    </row>
    <row r="92" spans="13:27" x14ac:dyDescent="0.35">
      <c r="M92" s="17" t="s">
        <v>170</v>
      </c>
      <c r="N92" s="17" t="s">
        <v>88</v>
      </c>
      <c r="O92" s="17" t="s">
        <v>89</v>
      </c>
    </row>
    <row r="93" spans="13:27" x14ac:dyDescent="0.35">
      <c r="M93" s="13" t="s">
        <v>90</v>
      </c>
      <c r="N93" s="13"/>
      <c r="O93" s="18">
        <v>50000</v>
      </c>
    </row>
    <row r="94" spans="13:27" x14ac:dyDescent="0.35">
      <c r="M94" s="13" t="s">
        <v>91</v>
      </c>
      <c r="N94" s="19">
        <v>0.03</v>
      </c>
      <c r="O94" s="18">
        <f>O93*N94</f>
        <v>1500</v>
      </c>
    </row>
    <row r="95" spans="13:27" x14ac:dyDescent="0.35">
      <c r="M95" s="13" t="s">
        <v>92</v>
      </c>
      <c r="N95" s="19">
        <v>0.2</v>
      </c>
      <c r="O95" s="18">
        <f>O93*N95</f>
        <v>10000</v>
      </c>
    </row>
    <row r="96" spans="13:27" x14ac:dyDescent="0.35">
      <c r="M96" s="13" t="s">
        <v>93</v>
      </c>
      <c r="N96" s="19">
        <v>0.13</v>
      </c>
      <c r="O96" s="18">
        <f>O93*N96</f>
        <v>6500</v>
      </c>
    </row>
    <row r="97" spans="13:23" x14ac:dyDescent="0.35">
      <c r="M97" s="13" t="s">
        <v>94</v>
      </c>
      <c r="N97" s="13"/>
      <c r="O97" s="18"/>
    </row>
    <row r="98" spans="13:23" x14ac:dyDescent="0.35">
      <c r="M98" s="13" t="s">
        <v>95</v>
      </c>
      <c r="N98" s="13">
        <v>0.28846100000000002</v>
      </c>
      <c r="O98" s="18">
        <f>(O93/30)*N98</f>
        <v>480.76833333333337</v>
      </c>
    </row>
    <row r="99" spans="13:23" x14ac:dyDescent="0.35">
      <c r="M99" s="13" t="s">
        <v>96</v>
      </c>
      <c r="N99" s="19">
        <v>7.0000000000000007E-2</v>
      </c>
      <c r="O99" s="18">
        <f>O93*N99</f>
        <v>3500.0000000000005</v>
      </c>
    </row>
    <row r="100" spans="13:23" x14ac:dyDescent="0.35">
      <c r="M100" s="13" t="s">
        <v>97</v>
      </c>
      <c r="N100" s="19">
        <v>0.02</v>
      </c>
      <c r="O100" s="18">
        <f>O93*N100</f>
        <v>1000</v>
      </c>
    </row>
    <row r="101" spans="13:23" x14ac:dyDescent="0.35">
      <c r="M101" s="13" t="s">
        <v>98</v>
      </c>
      <c r="N101" s="19">
        <v>0.3</v>
      </c>
      <c r="O101" s="18">
        <f>N101*O93</f>
        <v>15000</v>
      </c>
    </row>
    <row r="102" spans="13:23" x14ac:dyDescent="0.35">
      <c r="M102" s="13"/>
      <c r="N102" s="13"/>
      <c r="O102" s="18">
        <f>SUM(O94:O100)</f>
        <v>22980.768333333333</v>
      </c>
    </row>
    <row r="103" spans="13:23" x14ac:dyDescent="0.35">
      <c r="M103" s="13" t="s">
        <v>99</v>
      </c>
      <c r="N103" s="13"/>
      <c r="O103" s="18">
        <f>O93+O102</f>
        <v>72980.768333333341</v>
      </c>
    </row>
    <row r="106" spans="13:23" x14ac:dyDescent="0.35">
      <c r="M106" s="17" t="s">
        <v>172</v>
      </c>
      <c r="N106" s="17" t="s">
        <v>88</v>
      </c>
      <c r="O106" s="17" t="s">
        <v>89</v>
      </c>
      <c r="Q106" s="17" t="s">
        <v>173</v>
      </c>
      <c r="R106" s="17" t="s">
        <v>88</v>
      </c>
      <c r="S106" s="17" t="s">
        <v>89</v>
      </c>
      <c r="U106" s="17" t="s">
        <v>174</v>
      </c>
      <c r="V106" s="17" t="s">
        <v>88</v>
      </c>
      <c r="W106" s="17" t="s">
        <v>89</v>
      </c>
    </row>
    <row r="107" spans="13:23" x14ac:dyDescent="0.35">
      <c r="M107" s="13" t="s">
        <v>90</v>
      </c>
      <c r="N107" s="13"/>
      <c r="O107" s="18">
        <v>10000</v>
      </c>
      <c r="Q107" s="13" t="s">
        <v>90</v>
      </c>
      <c r="R107" s="13"/>
      <c r="S107" s="18">
        <v>10000</v>
      </c>
      <c r="U107" s="13" t="s">
        <v>90</v>
      </c>
      <c r="V107" s="13"/>
      <c r="W107" s="18">
        <v>15000</v>
      </c>
    </row>
    <row r="108" spans="13:23" x14ac:dyDescent="0.35">
      <c r="M108" s="13" t="s">
        <v>91</v>
      </c>
      <c r="N108" s="19">
        <v>0.03</v>
      </c>
      <c r="O108" s="18">
        <f>O107*N108</f>
        <v>300</v>
      </c>
      <c r="Q108" s="13" t="s">
        <v>91</v>
      </c>
      <c r="R108" s="19">
        <v>0.03</v>
      </c>
      <c r="S108" s="18">
        <f>S107*R108</f>
        <v>300</v>
      </c>
      <c r="U108" s="13" t="s">
        <v>91</v>
      </c>
      <c r="V108" s="19">
        <v>0.03</v>
      </c>
      <c r="W108" s="18">
        <f>W107*V108</f>
        <v>450</v>
      </c>
    </row>
    <row r="109" spans="13:23" x14ac:dyDescent="0.35">
      <c r="M109" s="13" t="s">
        <v>92</v>
      </c>
      <c r="N109" s="19">
        <v>0.2</v>
      </c>
      <c r="O109" s="18">
        <f>O107*N109</f>
        <v>2000</v>
      </c>
      <c r="Q109" s="13" t="s">
        <v>92</v>
      </c>
      <c r="R109" s="19">
        <v>0.2</v>
      </c>
      <c r="S109" s="18">
        <f>S107*R109</f>
        <v>2000</v>
      </c>
      <c r="U109" s="13" t="s">
        <v>92</v>
      </c>
      <c r="V109" s="19">
        <v>0.2</v>
      </c>
      <c r="W109" s="18">
        <f>W107*V109</f>
        <v>3000</v>
      </c>
    </row>
    <row r="110" spans="13:23" x14ac:dyDescent="0.35">
      <c r="M110" s="13" t="s">
        <v>93</v>
      </c>
      <c r="N110" s="19">
        <v>0.13</v>
      </c>
      <c r="O110" s="18">
        <f>O107*N110</f>
        <v>1300</v>
      </c>
      <c r="Q110" s="13" t="s">
        <v>93</v>
      </c>
      <c r="R110" s="19">
        <v>0.13</v>
      </c>
      <c r="S110" s="18">
        <f>S107*R110</f>
        <v>1300</v>
      </c>
      <c r="U110" s="13" t="s">
        <v>93</v>
      </c>
      <c r="V110" s="19">
        <v>0.13</v>
      </c>
      <c r="W110" s="18">
        <f>W107*V110</f>
        <v>1950</v>
      </c>
    </row>
    <row r="111" spans="13:23" x14ac:dyDescent="0.35">
      <c r="M111" s="13" t="s">
        <v>94</v>
      </c>
      <c r="N111" s="13"/>
      <c r="O111" s="18"/>
      <c r="Q111" s="13" t="s">
        <v>94</v>
      </c>
      <c r="R111" s="13"/>
      <c r="S111" s="18"/>
      <c r="U111" s="13" t="s">
        <v>94</v>
      </c>
      <c r="V111" s="13"/>
      <c r="W111" s="18"/>
    </row>
    <row r="112" spans="13:23" x14ac:dyDescent="0.35">
      <c r="M112" s="13" t="s">
        <v>95</v>
      </c>
      <c r="N112" s="13">
        <v>0.28846100000000002</v>
      </c>
      <c r="O112" s="18">
        <f>(O107/30)*N112</f>
        <v>96.153666666666666</v>
      </c>
      <c r="Q112" s="13" t="s">
        <v>95</v>
      </c>
      <c r="R112" s="13">
        <v>0.28846100000000002</v>
      </c>
      <c r="S112" s="18">
        <f>(S107/30)*R112</f>
        <v>96.153666666666666</v>
      </c>
      <c r="U112" s="13" t="s">
        <v>95</v>
      </c>
      <c r="V112" s="13">
        <v>0.28846100000000002</v>
      </c>
      <c r="W112" s="18">
        <f>(W107/30)*V112</f>
        <v>144.23050000000001</v>
      </c>
    </row>
    <row r="113" spans="13:23" x14ac:dyDescent="0.35">
      <c r="M113" s="13" t="s">
        <v>96</v>
      </c>
      <c r="N113" s="19">
        <v>7.0000000000000007E-2</v>
      </c>
      <c r="O113" s="18">
        <f>O107*N113</f>
        <v>700.00000000000011</v>
      </c>
      <c r="Q113" s="13" t="s">
        <v>96</v>
      </c>
      <c r="R113" s="19">
        <v>7.0000000000000007E-2</v>
      </c>
      <c r="S113" s="18">
        <f>S107*R113</f>
        <v>700.00000000000011</v>
      </c>
      <c r="U113" s="13" t="s">
        <v>96</v>
      </c>
      <c r="V113" s="19">
        <v>7.0000000000000007E-2</v>
      </c>
      <c r="W113" s="18">
        <f>W107*V113</f>
        <v>1050</v>
      </c>
    </row>
    <row r="114" spans="13:23" x14ac:dyDescent="0.35">
      <c r="M114" s="13" t="s">
        <v>97</v>
      </c>
      <c r="N114" s="19">
        <v>0.02</v>
      </c>
      <c r="O114" s="18">
        <f>O107*N114</f>
        <v>200</v>
      </c>
      <c r="Q114" s="13" t="s">
        <v>97</v>
      </c>
      <c r="R114" s="19">
        <v>0.02</v>
      </c>
      <c r="S114" s="18">
        <f>S107*R114</f>
        <v>200</v>
      </c>
      <c r="U114" s="13" t="s">
        <v>97</v>
      </c>
      <c r="V114" s="19">
        <v>0.02</v>
      </c>
      <c r="W114" s="18">
        <f>W107*V114</f>
        <v>300</v>
      </c>
    </row>
    <row r="115" spans="13:23" x14ac:dyDescent="0.35">
      <c r="M115" s="13" t="s">
        <v>98</v>
      </c>
      <c r="N115" s="19">
        <v>0.10879999999999999</v>
      </c>
      <c r="O115" s="18">
        <f>O107*N115</f>
        <v>1088</v>
      </c>
      <c r="Q115" s="13" t="s">
        <v>98</v>
      </c>
      <c r="R115" s="19">
        <v>0.10879999999999999</v>
      </c>
      <c r="S115" s="18">
        <f>S107*R115</f>
        <v>1088</v>
      </c>
      <c r="U115" s="13" t="s">
        <v>98</v>
      </c>
      <c r="V115" s="19">
        <v>0.13</v>
      </c>
      <c r="W115" s="18">
        <f>W107*V115</f>
        <v>1950</v>
      </c>
    </row>
    <row r="116" spans="13:23" x14ac:dyDescent="0.35">
      <c r="M116" s="13"/>
      <c r="N116" s="13"/>
      <c r="O116" s="18">
        <f>SUM(O108:O114)</f>
        <v>4596.153666666667</v>
      </c>
      <c r="Q116" s="13"/>
      <c r="R116" s="13"/>
      <c r="S116" s="18">
        <f>SUM(S108:S114)</f>
        <v>4596.153666666667</v>
      </c>
      <c r="U116" s="13"/>
      <c r="V116" s="13"/>
      <c r="W116" s="18">
        <f>SUM(W108:W114)</f>
        <v>6894.2304999999997</v>
      </c>
    </row>
    <row r="117" spans="13:23" x14ac:dyDescent="0.35">
      <c r="M117" s="13" t="s">
        <v>99</v>
      </c>
      <c r="N117" s="13"/>
      <c r="O117" s="18">
        <f>O107+O116</f>
        <v>14596.153666666667</v>
      </c>
      <c r="Q117" s="13" t="s">
        <v>99</v>
      </c>
      <c r="R117" s="13"/>
      <c r="S117" s="18">
        <f>S107+S116</f>
        <v>14596.153666666667</v>
      </c>
      <c r="U117" s="13" t="s">
        <v>99</v>
      </c>
      <c r="V117" s="13"/>
      <c r="W117" s="18">
        <f>W107+W116</f>
        <v>21894.230499999998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DA60-F2F0-4F5F-A2D3-97C989EF660A}">
  <dimension ref="A1:N29"/>
  <sheetViews>
    <sheetView topLeftCell="A5" workbookViewId="0">
      <selection activeCell="B12" sqref="B12:C12"/>
    </sheetView>
  </sheetViews>
  <sheetFormatPr defaultRowHeight="14.5" x14ac:dyDescent="0.35"/>
  <cols>
    <col min="2" max="2" width="15.81640625" customWidth="1"/>
    <col min="3" max="3" width="13" customWidth="1"/>
    <col min="4" max="4" width="12.7265625" customWidth="1"/>
    <col min="5" max="6" width="8.7265625" customWidth="1"/>
    <col min="13" max="13" width="12" customWidth="1"/>
    <col min="14" max="14" width="12.6328125" customWidth="1"/>
  </cols>
  <sheetData>
    <row r="1" spans="1:14" x14ac:dyDescent="0.35">
      <c r="A1" t="s">
        <v>182</v>
      </c>
    </row>
    <row r="2" spans="1:14" x14ac:dyDescent="0.35">
      <c r="B2" s="3" t="s">
        <v>8</v>
      </c>
      <c r="L2" s="25" t="s">
        <v>181</v>
      </c>
      <c r="M2" s="25"/>
      <c r="N2" s="25"/>
    </row>
    <row r="3" spans="1:14" x14ac:dyDescent="0.35">
      <c r="B3" t="s">
        <v>183</v>
      </c>
      <c r="L3" s="23" t="s">
        <v>151</v>
      </c>
      <c r="M3" s="23" t="s">
        <v>33</v>
      </c>
      <c r="N3" s="23" t="s">
        <v>150</v>
      </c>
    </row>
    <row r="4" spans="1:14" x14ac:dyDescent="0.35">
      <c r="L4" s="14" t="s">
        <v>152</v>
      </c>
      <c r="M4" s="14" t="s">
        <v>131</v>
      </c>
      <c r="N4" s="32">
        <v>60000</v>
      </c>
    </row>
    <row r="5" spans="1:14" x14ac:dyDescent="0.35">
      <c r="L5" s="14"/>
      <c r="M5" s="14" t="s">
        <v>132</v>
      </c>
      <c r="N5" s="32">
        <v>8000</v>
      </c>
    </row>
    <row r="6" spans="1:14" x14ac:dyDescent="0.35">
      <c r="B6" s="3" t="s">
        <v>9</v>
      </c>
      <c r="L6" s="14"/>
      <c r="M6" s="14" t="s">
        <v>133</v>
      </c>
      <c r="N6" s="32">
        <v>5000</v>
      </c>
    </row>
    <row r="7" spans="1:14" x14ac:dyDescent="0.35">
      <c r="B7" t="s">
        <v>159</v>
      </c>
      <c r="L7" s="14"/>
      <c r="M7" s="14" t="s">
        <v>134</v>
      </c>
      <c r="N7" s="32">
        <v>8000</v>
      </c>
    </row>
    <row r="8" spans="1:14" x14ac:dyDescent="0.35">
      <c r="B8" t="s">
        <v>160</v>
      </c>
      <c r="L8" s="14" t="s">
        <v>153</v>
      </c>
      <c r="M8" s="14" t="s">
        <v>135</v>
      </c>
      <c r="N8" s="32">
        <v>30000</v>
      </c>
    </row>
    <row r="9" spans="1:14" x14ac:dyDescent="0.35">
      <c r="L9" s="14"/>
      <c r="M9" s="14" t="s">
        <v>114</v>
      </c>
      <c r="N9" s="32">
        <v>25000</v>
      </c>
    </row>
    <row r="10" spans="1:14" x14ac:dyDescent="0.35">
      <c r="B10" s="12" t="s">
        <v>181</v>
      </c>
      <c r="C10" s="12"/>
      <c r="D10" s="12"/>
      <c r="L10" s="14"/>
      <c r="M10" s="14" t="s">
        <v>136</v>
      </c>
      <c r="N10" s="32">
        <v>15000</v>
      </c>
    </row>
    <row r="11" spans="1:14" x14ac:dyDescent="0.35">
      <c r="B11" s="23" t="s">
        <v>33</v>
      </c>
      <c r="C11" s="23" t="s">
        <v>150</v>
      </c>
      <c r="D11" s="23"/>
      <c r="L11" s="14" t="s">
        <v>137</v>
      </c>
      <c r="M11" s="14" t="s">
        <v>138</v>
      </c>
      <c r="N11" s="32">
        <v>0</v>
      </c>
    </row>
    <row r="12" spans="1:14" x14ac:dyDescent="0.35">
      <c r="B12" s="14"/>
      <c r="C12" s="14"/>
      <c r="L12" s="14"/>
      <c r="M12" s="14" t="s">
        <v>139</v>
      </c>
      <c r="N12" s="32">
        <v>200000</v>
      </c>
    </row>
    <row r="13" spans="1:14" x14ac:dyDescent="0.35">
      <c r="B13" s="14"/>
      <c r="C13" s="14"/>
      <c r="D13" s="32"/>
      <c r="L13" s="14"/>
      <c r="M13" s="14" t="s">
        <v>140</v>
      </c>
      <c r="N13" s="32">
        <v>8000</v>
      </c>
    </row>
    <row r="14" spans="1:14" x14ac:dyDescent="0.35">
      <c r="B14" s="14"/>
      <c r="C14" s="14"/>
      <c r="D14" s="32"/>
      <c r="L14" s="14"/>
      <c r="M14" s="14" t="s">
        <v>141</v>
      </c>
      <c r="N14" s="32">
        <v>15000</v>
      </c>
    </row>
    <row r="15" spans="1:14" x14ac:dyDescent="0.35">
      <c r="B15" s="14"/>
      <c r="C15" s="14"/>
      <c r="D15" s="32"/>
      <c r="L15" s="14"/>
      <c r="M15" s="14" t="s">
        <v>142</v>
      </c>
      <c r="N15" s="32">
        <v>20000</v>
      </c>
    </row>
    <row r="16" spans="1:14" x14ac:dyDescent="0.35">
      <c r="B16" s="14"/>
      <c r="C16" s="14"/>
      <c r="D16" s="32"/>
      <c r="L16" s="14"/>
      <c r="M16" s="14" t="s">
        <v>143</v>
      </c>
      <c r="N16" s="32">
        <v>15000</v>
      </c>
    </row>
    <row r="17" spans="2:14" x14ac:dyDescent="0.35">
      <c r="B17" s="14"/>
      <c r="C17" s="14"/>
      <c r="D17" s="32"/>
      <c r="L17" s="14"/>
      <c r="M17" s="14" t="s">
        <v>144</v>
      </c>
      <c r="N17" s="32">
        <v>5000</v>
      </c>
    </row>
    <row r="18" spans="2:14" x14ac:dyDescent="0.35">
      <c r="B18" s="14"/>
      <c r="C18" s="14"/>
      <c r="D18" s="32"/>
      <c r="L18" s="14"/>
      <c r="M18" s="14" t="s">
        <v>145</v>
      </c>
      <c r="N18" s="32">
        <v>10000</v>
      </c>
    </row>
    <row r="19" spans="2:14" x14ac:dyDescent="0.35">
      <c r="B19" s="14"/>
      <c r="C19" s="14"/>
      <c r="D19" s="32"/>
      <c r="L19" s="14"/>
      <c r="M19" s="14" t="s">
        <v>146</v>
      </c>
      <c r="N19" s="32">
        <v>10000</v>
      </c>
    </row>
    <row r="20" spans="2:14" x14ac:dyDescent="0.35">
      <c r="B20" s="14"/>
      <c r="C20" s="14"/>
      <c r="D20" s="32"/>
      <c r="L20" s="14"/>
      <c r="M20" s="14" t="s">
        <v>147</v>
      </c>
      <c r="N20" s="32">
        <v>5000</v>
      </c>
    </row>
    <row r="21" spans="2:14" x14ac:dyDescent="0.35">
      <c r="B21" s="14"/>
      <c r="C21" s="14"/>
      <c r="D21" s="32"/>
      <c r="L21" s="14"/>
      <c r="M21" s="14" t="s">
        <v>148</v>
      </c>
      <c r="N21" s="32">
        <v>4000</v>
      </c>
    </row>
    <row r="22" spans="2:14" x14ac:dyDescent="0.35">
      <c r="B22" s="14"/>
      <c r="C22" s="14"/>
      <c r="D22" s="32"/>
    </row>
    <row r="23" spans="2:14" x14ac:dyDescent="0.35">
      <c r="B23" s="14"/>
      <c r="C23" s="14"/>
      <c r="D23" s="32"/>
    </row>
    <row r="24" spans="2:14" x14ac:dyDescent="0.35">
      <c r="B24" s="14"/>
      <c r="C24" s="14"/>
      <c r="D24" s="32"/>
    </row>
    <row r="25" spans="2:14" x14ac:dyDescent="0.35">
      <c r="B25" s="14"/>
      <c r="C25" s="14"/>
      <c r="D25" s="32"/>
    </row>
    <row r="26" spans="2:14" x14ac:dyDescent="0.35">
      <c r="B26" s="14"/>
      <c r="C26" s="14"/>
      <c r="D26" s="32"/>
    </row>
    <row r="27" spans="2:14" x14ac:dyDescent="0.35">
      <c r="B27" s="14"/>
      <c r="C27" s="14"/>
      <c r="D27" s="32"/>
    </row>
    <row r="28" spans="2:14" x14ac:dyDescent="0.35">
      <c r="B28" s="14"/>
      <c r="C28" s="14"/>
      <c r="D28" s="32"/>
    </row>
    <row r="29" spans="2:14" x14ac:dyDescent="0.35">
      <c r="B29" s="14"/>
      <c r="C29" s="14"/>
      <c r="D29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2B7C-2A34-40F5-BDC6-08B33F68B184}">
  <dimension ref="A1:E14"/>
  <sheetViews>
    <sheetView workbookViewId="0">
      <selection activeCell="C13" sqref="C13"/>
    </sheetView>
  </sheetViews>
  <sheetFormatPr defaultRowHeight="14.5" x14ac:dyDescent="0.35"/>
  <cols>
    <col min="2" max="2" width="13.7265625" customWidth="1"/>
    <col min="3" max="3" width="12.54296875" bestFit="1" customWidth="1"/>
  </cols>
  <sheetData>
    <row r="1" spans="1:5" x14ac:dyDescent="0.35">
      <c r="A1" t="s">
        <v>128</v>
      </c>
    </row>
    <row r="2" spans="1:5" x14ac:dyDescent="0.35">
      <c r="B2" s="3" t="s">
        <v>8</v>
      </c>
    </row>
    <row r="3" spans="1:5" x14ac:dyDescent="0.35">
      <c r="B3" t="s">
        <v>129</v>
      </c>
    </row>
    <row r="4" spans="1:5" x14ac:dyDescent="0.35">
      <c r="B4" t="s">
        <v>130</v>
      </c>
    </row>
    <row r="6" spans="1:5" x14ac:dyDescent="0.35">
      <c r="B6" s="3" t="s">
        <v>9</v>
      </c>
    </row>
    <row r="7" spans="1:5" x14ac:dyDescent="0.35">
      <c r="B7" t="s">
        <v>198</v>
      </c>
    </row>
    <row r="8" spans="1:5" x14ac:dyDescent="0.35">
      <c r="B8" s="31" t="s">
        <v>197</v>
      </c>
    </row>
    <row r="9" spans="1:5" x14ac:dyDescent="0.35">
      <c r="B9" t="s">
        <v>155</v>
      </c>
    </row>
    <row r="11" spans="1:5" x14ac:dyDescent="0.35">
      <c r="B11" s="38" t="s">
        <v>196</v>
      </c>
    </row>
    <row r="13" spans="1:5" x14ac:dyDescent="0.35">
      <c r="B13" s="10" t="s">
        <v>154</v>
      </c>
      <c r="C13" s="47">
        <v>0</v>
      </c>
      <c r="D13" s="10" t="s">
        <v>156</v>
      </c>
      <c r="E13">
        <v>0</v>
      </c>
    </row>
    <row r="14" spans="1:5" x14ac:dyDescent="0.35">
      <c r="B14" s="10" t="s">
        <v>5</v>
      </c>
      <c r="C14" s="48">
        <f>'1_Premises'!C11</f>
        <v>7.4999999999999997E-2</v>
      </c>
      <c r="D14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BE572F9F431144B8EB731812570C79" ma:contentTypeVersion="14" ma:contentTypeDescription="Create a new document." ma:contentTypeScope="" ma:versionID="4f7f478714a780f34992f830d07243fa">
  <xsd:schema xmlns:xsd="http://www.w3.org/2001/XMLSchema" xmlns:xs="http://www.w3.org/2001/XMLSchema" xmlns:p="http://schemas.microsoft.com/office/2006/metadata/properties" xmlns:ns3="ff95d20b-4017-48c8-986e-7f1f4083b70c" xmlns:ns4="eebd6271-9ca1-4ab3-acb3-c8f7976a4f3e" targetNamespace="http://schemas.microsoft.com/office/2006/metadata/properties" ma:root="true" ma:fieldsID="018a3ed6612bf69895e4649816a335df" ns3:_="" ns4:_="">
    <xsd:import namespace="ff95d20b-4017-48c8-986e-7f1f4083b70c"/>
    <xsd:import namespace="eebd6271-9ca1-4ab3-acb3-c8f7976a4f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95d20b-4017-48c8-986e-7f1f4083b7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d6271-9ca1-4ab3-acb3-c8f7976a4f3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95d20b-4017-48c8-986e-7f1f4083b70c" xsi:nil="true"/>
  </documentManagement>
</p:properties>
</file>

<file path=customXml/itemProps1.xml><?xml version="1.0" encoding="utf-8"?>
<ds:datastoreItem xmlns:ds="http://schemas.openxmlformats.org/officeDocument/2006/customXml" ds:itemID="{B081FD8A-D7A8-419B-9F73-70FA233D54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95d20b-4017-48c8-986e-7f1f4083b70c"/>
    <ds:schemaRef ds:uri="eebd6271-9ca1-4ab3-acb3-c8f7976a4f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B1EEEF-FB39-4BD6-BB44-2DBE2FDCD9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0AE826-A040-4801-9EA4-38CDBFECB875}">
  <ds:schemaRefs>
    <ds:schemaRef ds:uri="http://schemas.microsoft.com/office/2006/documentManagement/types"/>
    <ds:schemaRef ds:uri="eebd6271-9ca1-4ab3-acb3-c8f7976a4f3e"/>
    <ds:schemaRef ds:uri="ff95d20b-4017-48c8-986e-7f1f4083b70c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Welcome</vt:lpstr>
      <vt:lpstr>1_Premises</vt:lpstr>
      <vt:lpstr>2_BOMs</vt:lpstr>
      <vt:lpstr>3_Assets</vt:lpstr>
      <vt:lpstr>4_Production</vt:lpstr>
      <vt:lpstr>5_Workforce</vt:lpstr>
      <vt:lpstr>6_Expenses</vt:lpstr>
      <vt:lpstr>7_Financing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Agle Zaldivar</dc:creator>
  <cp:lastModifiedBy>Andre Agle Zaldivar</cp:lastModifiedBy>
  <dcterms:created xsi:type="dcterms:W3CDTF">2026-01-25T20:31:22Z</dcterms:created>
  <dcterms:modified xsi:type="dcterms:W3CDTF">2026-01-27T11:58:58Z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0x01010086BE572F9F431144B8EB731812570C79</vt:lpwstr>
  </property>
</Properties>
</file>