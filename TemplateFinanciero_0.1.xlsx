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ago\Documents\Personal\Novus\tecbooks\"/>
    </mc:Choice>
  </mc:AlternateContent>
  <xr:revisionPtr revIDLastSave="0" documentId="13_ncr:1_{9D138B86-500D-4BED-B2C9-0498E6ADF54F}" xr6:coauthVersionLast="47" xr6:coauthVersionMax="47" xr10:uidLastSave="{00000000-0000-0000-0000-000000000000}"/>
  <bookViews>
    <workbookView xWindow="-108" yWindow="-108" windowWidth="23256" windowHeight="12456" tabRatio="651" activeTab="9" xr2:uid="{4E254C54-9BE2-42C1-A0A8-9417C5E2CF9F}"/>
  </bookViews>
  <sheets>
    <sheet name="Premisas" sheetId="5" r:id="rId1"/>
    <sheet name="COs" sheetId="1" r:id="rId2"/>
    <sheet name="Capacidad" sheetId="2" r:id="rId3"/>
    <sheet name="BOM" sheetId="3" r:id="rId4"/>
    <sheet name="Depreciación." sheetId="4" r:id="rId5"/>
    <sheet name="Financiamiento" sheetId="7" r:id="rId6"/>
    <sheet name="Egresos" sheetId="6" r:id="rId7"/>
    <sheet name="Ingresos" sheetId="9" r:id="rId8"/>
    <sheet name="Estado R" sheetId="8" r:id="rId9"/>
    <sheet name="Flujo" sheetId="10" r:id="rId10"/>
    <sheet name="Balance" sheetId="11" r:id="rId11"/>
    <sheet name="Razones" sheetId="12" r:id="rId12"/>
    <sheet name="Graficos" sheetId="13" r:id="rId13"/>
  </sheets>
  <externalReferences>
    <externalReference r:id="rId14"/>
    <externalReference r:id="rId15"/>
  </externalReferences>
  <definedNames>
    <definedName name="_xlchart.v1.0" hidden="1">BOM!$B$9:$B$25</definedName>
    <definedName name="_xlchart.v1.1" hidden="1">BOM!$F$9:$F$25</definedName>
    <definedName name="_xlnm.Extract">[1]capacidad!#REF!</definedName>
    <definedName name="_xlnm.Criteria">[1]capacidad!#REF!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0" l="1"/>
  <c r="B10" i="10"/>
  <c r="B32" i="10"/>
  <c r="C32" i="10"/>
  <c r="D32" i="10"/>
  <c r="E32" i="10"/>
  <c r="F32" i="10"/>
  <c r="G32" i="10"/>
  <c r="H32" i="10"/>
  <c r="I32" i="10"/>
  <c r="J32" i="10"/>
  <c r="K32" i="10"/>
  <c r="L32" i="10"/>
  <c r="B38" i="10"/>
  <c r="B40" i="10"/>
  <c r="B34" i="10"/>
  <c r="B23" i="9"/>
  <c r="C9" i="6"/>
  <c r="G9" i="6"/>
  <c r="F16" i="2"/>
  <c r="B27" i="9"/>
  <c r="G17" i="2"/>
  <c r="F17" i="2"/>
  <c r="C177" i="6" s="1"/>
  <c r="E17" i="2"/>
  <c r="E16" i="2"/>
  <c r="B176" i="6"/>
  <c r="G17" i="11"/>
  <c r="H17" i="11" s="1"/>
  <c r="E50" i="8"/>
  <c r="M38" i="8"/>
  <c r="C2" i="12"/>
  <c r="D2" i="12" s="1"/>
  <c r="E2" i="12" s="1"/>
  <c r="F2" i="12" s="1"/>
  <c r="G2" i="12" s="1"/>
  <c r="H2" i="12" s="1"/>
  <c r="I2" i="12" s="1"/>
  <c r="J2" i="12" s="1"/>
  <c r="K2" i="12" s="1"/>
  <c r="L2" i="12" s="1"/>
  <c r="D29" i="11"/>
  <c r="E29" i="11"/>
  <c r="F29" i="11"/>
  <c r="G29" i="11"/>
  <c r="H29" i="11"/>
  <c r="I29" i="11"/>
  <c r="J29" i="11"/>
  <c r="K29" i="11"/>
  <c r="L29" i="11"/>
  <c r="M29" i="11"/>
  <c r="D37" i="11"/>
  <c r="E37" i="11"/>
  <c r="F37" i="11"/>
  <c r="G37" i="11"/>
  <c r="H37" i="11"/>
  <c r="H45" i="11" s="1"/>
  <c r="I37" i="11"/>
  <c r="I45" i="11" s="1"/>
  <c r="J37" i="11"/>
  <c r="K37" i="11"/>
  <c r="K45" i="11" s="1"/>
  <c r="L37" i="11"/>
  <c r="L45" i="11" s="1"/>
  <c r="M37" i="11"/>
  <c r="M45" i="11" s="1"/>
  <c r="J45" i="11"/>
  <c r="H43" i="11"/>
  <c r="I43" i="11"/>
  <c r="J43" i="11"/>
  <c r="K43" i="11"/>
  <c r="L43" i="11"/>
  <c r="M43" i="11"/>
  <c r="N43" i="11"/>
  <c r="C37" i="11"/>
  <c r="C29" i="11"/>
  <c r="D20" i="11"/>
  <c r="E20" i="11"/>
  <c r="F20" i="11"/>
  <c r="G20" i="11"/>
  <c r="H20" i="11"/>
  <c r="I20" i="11"/>
  <c r="J20" i="11"/>
  <c r="K20" i="11"/>
  <c r="L20" i="11"/>
  <c r="M20" i="11"/>
  <c r="C21" i="11"/>
  <c r="D21" i="11" s="1"/>
  <c r="E21" i="11" s="1"/>
  <c r="F21" i="11" s="1"/>
  <c r="G21" i="11" s="1"/>
  <c r="H21" i="11" s="1"/>
  <c r="I21" i="11" s="1"/>
  <c r="J21" i="11" s="1"/>
  <c r="K21" i="11" s="1"/>
  <c r="L21" i="11" s="1"/>
  <c r="M21" i="11" s="1"/>
  <c r="C20" i="11"/>
  <c r="E19" i="11"/>
  <c r="F19" i="11" s="1"/>
  <c r="G19" i="11" s="1"/>
  <c r="H19" i="11" s="1"/>
  <c r="I19" i="11" s="1"/>
  <c r="J19" i="11" s="1"/>
  <c r="K19" i="11" s="1"/>
  <c r="L19" i="11" s="1"/>
  <c r="M19" i="11" s="1"/>
  <c r="D19" i="11"/>
  <c r="C19" i="11"/>
  <c r="D18" i="11"/>
  <c r="E18" i="11"/>
  <c r="F18" i="11"/>
  <c r="G18" i="11"/>
  <c r="H18" i="11"/>
  <c r="I18" i="11"/>
  <c r="J18" i="11"/>
  <c r="K18" i="11"/>
  <c r="L18" i="11"/>
  <c r="M18" i="11"/>
  <c r="C18" i="11"/>
  <c r="D14" i="11"/>
  <c r="D16" i="11"/>
  <c r="E16" i="11"/>
  <c r="F16" i="11"/>
  <c r="G16" i="11"/>
  <c r="H16" i="11"/>
  <c r="I16" i="11"/>
  <c r="J16" i="11"/>
  <c r="K16" i="11"/>
  <c r="L16" i="11"/>
  <c r="M16" i="11"/>
  <c r="C17" i="11"/>
  <c r="D17" i="11" s="1"/>
  <c r="C16" i="11"/>
  <c r="C23" i="11" s="1"/>
  <c r="E15" i="11"/>
  <c r="F15" i="11" s="1"/>
  <c r="G15" i="11" s="1"/>
  <c r="H15" i="11" s="1"/>
  <c r="I15" i="11" s="1"/>
  <c r="J15" i="11" s="1"/>
  <c r="K15" i="11" s="1"/>
  <c r="D15" i="11"/>
  <c r="J14" i="11"/>
  <c r="K14" i="11"/>
  <c r="L14" i="11"/>
  <c r="M14" i="11"/>
  <c r="E14" i="11"/>
  <c r="F14" i="11"/>
  <c r="G14" i="11"/>
  <c r="H14" i="11"/>
  <c r="I14" i="11"/>
  <c r="C15" i="11"/>
  <c r="C14" i="11"/>
  <c r="D3" i="11"/>
  <c r="E3" i="11" s="1"/>
  <c r="F3" i="11" s="1"/>
  <c r="G3" i="11" s="1"/>
  <c r="H3" i="11" s="1"/>
  <c r="I3" i="11" s="1"/>
  <c r="J3" i="11" s="1"/>
  <c r="K3" i="11" s="1"/>
  <c r="L3" i="11" s="1"/>
  <c r="M3" i="11" s="1"/>
  <c r="C2" i="10"/>
  <c r="D2" i="10" s="1"/>
  <c r="E2" i="10" s="1"/>
  <c r="F2" i="10" s="1"/>
  <c r="G2" i="10" s="1"/>
  <c r="H2" i="10" s="1"/>
  <c r="I2" i="10" s="1"/>
  <c r="J2" i="10" s="1"/>
  <c r="K2" i="10" s="1"/>
  <c r="L2" i="10" s="1"/>
  <c r="B28" i="9"/>
  <c r="B29" i="9" s="1"/>
  <c r="B4" i="8" s="1"/>
  <c r="B6" i="8" s="1"/>
  <c r="B13" i="8" s="1"/>
  <c r="D27" i="9"/>
  <c r="E27" i="9"/>
  <c r="F27" i="9"/>
  <c r="G27" i="9"/>
  <c r="H27" i="9"/>
  <c r="I27" i="9"/>
  <c r="J27" i="9"/>
  <c r="K27" i="9"/>
  <c r="L27" i="9"/>
  <c r="E26" i="9"/>
  <c r="F26" i="9" s="1"/>
  <c r="G26" i="9" s="1"/>
  <c r="H26" i="9" s="1"/>
  <c r="I26" i="9" s="1"/>
  <c r="J26" i="9" s="1"/>
  <c r="K26" i="9" s="1"/>
  <c r="L26" i="9" s="1"/>
  <c r="D26" i="9"/>
  <c r="C26" i="9"/>
  <c r="C23" i="9"/>
  <c r="G13" i="9"/>
  <c r="H13" i="9"/>
  <c r="I13" i="9"/>
  <c r="J13" i="9"/>
  <c r="K13" i="9"/>
  <c r="L13" i="9"/>
  <c r="C4" i="9"/>
  <c r="D4" i="9" s="1"/>
  <c r="E4" i="9" s="1"/>
  <c r="F4" i="9" s="1"/>
  <c r="G4" i="9" s="1"/>
  <c r="H4" i="9" s="1"/>
  <c r="I4" i="9" s="1"/>
  <c r="J4" i="9" s="1"/>
  <c r="K4" i="9" s="1"/>
  <c r="L4" i="9" s="1"/>
  <c r="G32" i="8"/>
  <c r="G27" i="10" s="1"/>
  <c r="H32" i="8"/>
  <c r="H27" i="10" s="1"/>
  <c r="I32" i="8"/>
  <c r="I27" i="10" s="1"/>
  <c r="J32" i="8"/>
  <c r="J27" i="10" s="1"/>
  <c r="K32" i="8"/>
  <c r="K27" i="10" s="1"/>
  <c r="L32" i="8"/>
  <c r="L27" i="10" s="1"/>
  <c r="G33" i="8"/>
  <c r="G26" i="10" s="1"/>
  <c r="H33" i="8"/>
  <c r="H26" i="10" s="1"/>
  <c r="I33" i="8"/>
  <c r="I26" i="10" s="1"/>
  <c r="J33" i="8"/>
  <c r="J26" i="10" s="1"/>
  <c r="K33" i="8"/>
  <c r="K26" i="10" s="1"/>
  <c r="L33" i="8"/>
  <c r="L26" i="10" s="1"/>
  <c r="C25" i="8"/>
  <c r="D25" i="8"/>
  <c r="E25" i="8"/>
  <c r="F25" i="8"/>
  <c r="G25" i="8"/>
  <c r="H25" i="8"/>
  <c r="I25" i="8"/>
  <c r="J25" i="8"/>
  <c r="K25" i="8"/>
  <c r="L25" i="8"/>
  <c r="B25" i="8"/>
  <c r="C24" i="8"/>
  <c r="D24" i="8"/>
  <c r="E24" i="8"/>
  <c r="F24" i="8"/>
  <c r="G24" i="8"/>
  <c r="H24" i="8"/>
  <c r="I24" i="8"/>
  <c r="J24" i="8"/>
  <c r="K24" i="8"/>
  <c r="L24" i="8"/>
  <c r="B24" i="8"/>
  <c r="C23" i="8"/>
  <c r="D23" i="8"/>
  <c r="E23" i="8"/>
  <c r="F23" i="8"/>
  <c r="G23" i="8"/>
  <c r="H23" i="8"/>
  <c r="I23" i="8"/>
  <c r="J23" i="8"/>
  <c r="K23" i="8"/>
  <c r="L23" i="8"/>
  <c r="B23" i="8"/>
  <c r="C22" i="8"/>
  <c r="D22" i="8"/>
  <c r="E22" i="8"/>
  <c r="F22" i="8"/>
  <c r="G22" i="8"/>
  <c r="H22" i="8"/>
  <c r="I22" i="8"/>
  <c r="J22" i="8"/>
  <c r="K22" i="8"/>
  <c r="L22" i="8"/>
  <c r="B22" i="8"/>
  <c r="C2" i="8"/>
  <c r="D2" i="8" s="1"/>
  <c r="E2" i="8" s="1"/>
  <c r="F2" i="8" s="1"/>
  <c r="G2" i="8" s="1"/>
  <c r="H2" i="8" s="1"/>
  <c r="I2" i="8" s="1"/>
  <c r="J2" i="8" s="1"/>
  <c r="K2" i="8" s="1"/>
  <c r="L2" i="8" s="1"/>
  <c r="D177" i="6"/>
  <c r="E177" i="6"/>
  <c r="F177" i="6"/>
  <c r="G177" i="6"/>
  <c r="H177" i="6"/>
  <c r="I177" i="6"/>
  <c r="J177" i="6"/>
  <c r="K177" i="6"/>
  <c r="L177" i="6"/>
  <c r="C175" i="6"/>
  <c r="D175" i="6" s="1"/>
  <c r="E175" i="6" s="1"/>
  <c r="F175" i="6" s="1"/>
  <c r="G175" i="6" s="1"/>
  <c r="H175" i="6" s="1"/>
  <c r="I175" i="6" s="1"/>
  <c r="J175" i="6" s="1"/>
  <c r="K175" i="6" s="1"/>
  <c r="L175" i="6" s="1"/>
  <c r="B212" i="6"/>
  <c r="B25" i="10" s="1"/>
  <c r="B211" i="6"/>
  <c r="B24" i="10" s="1"/>
  <c r="B210" i="6"/>
  <c r="B209" i="6"/>
  <c r="B22" i="10" s="1"/>
  <c r="B10" i="7"/>
  <c r="C10" i="7" s="1"/>
  <c r="D10" i="7" s="1"/>
  <c r="E10" i="7" s="1"/>
  <c r="F10" i="7" s="1"/>
  <c r="G10" i="7" s="1"/>
  <c r="H10" i="7" s="1"/>
  <c r="I10" i="7" s="1"/>
  <c r="J10" i="7" s="1"/>
  <c r="K10" i="7" s="1"/>
  <c r="L10" i="7" s="1"/>
  <c r="M10" i="7" s="1"/>
  <c r="B16" i="7" s="1"/>
  <c r="C16" i="7" s="1"/>
  <c r="D16" i="7" s="1"/>
  <c r="E16" i="7" s="1"/>
  <c r="F16" i="7" s="1"/>
  <c r="G16" i="7" s="1"/>
  <c r="H16" i="7" s="1"/>
  <c r="I16" i="7" s="1"/>
  <c r="J16" i="7" s="1"/>
  <c r="K16" i="7" s="1"/>
  <c r="L16" i="7" s="1"/>
  <c r="M16" i="7" s="1"/>
  <c r="B22" i="7" s="1"/>
  <c r="C22" i="7" s="1"/>
  <c r="D22" i="7" s="1"/>
  <c r="E22" i="7" s="1"/>
  <c r="F22" i="7" s="1"/>
  <c r="G22" i="7" s="1"/>
  <c r="H22" i="7" s="1"/>
  <c r="I22" i="7" s="1"/>
  <c r="J22" i="7" s="1"/>
  <c r="K22" i="7" s="1"/>
  <c r="L22" i="7" s="1"/>
  <c r="M22" i="7" s="1"/>
  <c r="B28" i="7" s="1"/>
  <c r="C28" i="7" s="1"/>
  <c r="D28" i="7" s="1"/>
  <c r="E28" i="7" s="1"/>
  <c r="F28" i="7" s="1"/>
  <c r="G28" i="7" s="1"/>
  <c r="H28" i="7" s="1"/>
  <c r="I28" i="7" s="1"/>
  <c r="J28" i="7" s="1"/>
  <c r="K28" i="7" s="1"/>
  <c r="L28" i="7" s="1"/>
  <c r="M28" i="7" s="1"/>
  <c r="A10" i="7"/>
  <c r="A16" i="7" s="1"/>
  <c r="A22" i="7" s="1"/>
  <c r="A28" i="7" s="1"/>
  <c r="A34" i="7" s="1"/>
  <c r="A40" i="7" s="1"/>
  <c r="A46" i="7" s="1"/>
  <c r="B2" i="7"/>
  <c r="C218" i="6"/>
  <c r="D218" i="6" s="1"/>
  <c r="E218" i="6" s="1"/>
  <c r="F218" i="6" s="1"/>
  <c r="G218" i="6" s="1"/>
  <c r="H218" i="6" s="1"/>
  <c r="I218" i="6" s="1"/>
  <c r="J218" i="6" s="1"/>
  <c r="K218" i="6" s="1"/>
  <c r="L218" i="6" s="1"/>
  <c r="B121" i="6"/>
  <c r="C205" i="6"/>
  <c r="D205" i="6" s="1"/>
  <c r="E205" i="6" s="1"/>
  <c r="F205" i="6" s="1"/>
  <c r="G205" i="6" s="1"/>
  <c r="H205" i="6" s="1"/>
  <c r="I205" i="6" s="1"/>
  <c r="J205" i="6" s="1"/>
  <c r="K205" i="6" s="1"/>
  <c r="L205" i="6" s="1"/>
  <c r="D202" i="6"/>
  <c r="B206" i="6" s="1"/>
  <c r="A127" i="6"/>
  <c r="A131" i="6"/>
  <c r="A130" i="6"/>
  <c r="A129" i="6"/>
  <c r="C150" i="6"/>
  <c r="D150" i="6" s="1"/>
  <c r="E150" i="6" s="1"/>
  <c r="F150" i="6" s="1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28" i="6"/>
  <c r="A126" i="6"/>
  <c r="A125" i="6"/>
  <c r="A124" i="6"/>
  <c r="A123" i="6"/>
  <c r="A122" i="6"/>
  <c r="K112" i="6"/>
  <c r="G112" i="6"/>
  <c r="C112" i="6"/>
  <c r="K111" i="6"/>
  <c r="G111" i="6"/>
  <c r="C111" i="6"/>
  <c r="K110" i="6"/>
  <c r="G110" i="6"/>
  <c r="C110" i="6"/>
  <c r="K109" i="6"/>
  <c r="G109" i="6"/>
  <c r="C109" i="6"/>
  <c r="K107" i="6"/>
  <c r="G107" i="6"/>
  <c r="C107" i="6"/>
  <c r="K106" i="6"/>
  <c r="G106" i="6"/>
  <c r="C106" i="6"/>
  <c r="K105" i="6"/>
  <c r="G105" i="6"/>
  <c r="C105" i="6"/>
  <c r="C98" i="6"/>
  <c r="C97" i="6"/>
  <c r="C96" i="6"/>
  <c r="C95" i="6"/>
  <c r="C93" i="6"/>
  <c r="C92" i="6"/>
  <c r="C91" i="6"/>
  <c r="O84" i="6"/>
  <c r="K84" i="6"/>
  <c r="G84" i="6"/>
  <c r="C84" i="6"/>
  <c r="O83" i="6"/>
  <c r="K83" i="6"/>
  <c r="G83" i="6"/>
  <c r="C83" i="6"/>
  <c r="O82" i="6"/>
  <c r="K82" i="6"/>
  <c r="G82" i="6"/>
  <c r="C82" i="6"/>
  <c r="O81" i="6"/>
  <c r="K81" i="6"/>
  <c r="G81" i="6"/>
  <c r="C81" i="6"/>
  <c r="O79" i="6"/>
  <c r="K79" i="6"/>
  <c r="G79" i="6"/>
  <c r="C79" i="6"/>
  <c r="O78" i="6"/>
  <c r="K78" i="6"/>
  <c r="G78" i="6"/>
  <c r="C78" i="6"/>
  <c r="O77" i="6"/>
  <c r="K77" i="6"/>
  <c r="G77" i="6"/>
  <c r="C77" i="6"/>
  <c r="O70" i="6"/>
  <c r="K70" i="6"/>
  <c r="G70" i="6"/>
  <c r="C70" i="6"/>
  <c r="O69" i="6"/>
  <c r="K69" i="6"/>
  <c r="G69" i="6"/>
  <c r="C69" i="6"/>
  <c r="O68" i="6"/>
  <c r="K68" i="6"/>
  <c r="G68" i="6"/>
  <c r="C68" i="6"/>
  <c r="O67" i="6"/>
  <c r="K67" i="6"/>
  <c r="G67" i="6"/>
  <c r="C67" i="6"/>
  <c r="O65" i="6"/>
  <c r="K65" i="6"/>
  <c r="G65" i="6"/>
  <c r="C65" i="6"/>
  <c r="O64" i="6"/>
  <c r="K64" i="6"/>
  <c r="G64" i="6"/>
  <c r="C64" i="6"/>
  <c r="O63" i="6"/>
  <c r="K63" i="6"/>
  <c r="G63" i="6"/>
  <c r="C63" i="6"/>
  <c r="C54" i="6"/>
  <c r="C53" i="6"/>
  <c r="C52" i="6"/>
  <c r="C51" i="6"/>
  <c r="C49" i="6"/>
  <c r="C48" i="6"/>
  <c r="C47" i="6"/>
  <c r="O40" i="6"/>
  <c r="K40" i="6"/>
  <c r="G40" i="6"/>
  <c r="C40" i="6"/>
  <c r="O39" i="6"/>
  <c r="K39" i="6"/>
  <c r="G39" i="6"/>
  <c r="C39" i="6"/>
  <c r="O38" i="6"/>
  <c r="K38" i="6"/>
  <c r="G38" i="6"/>
  <c r="C38" i="6"/>
  <c r="O37" i="6"/>
  <c r="K37" i="6"/>
  <c r="G37" i="6"/>
  <c r="C37" i="6"/>
  <c r="O35" i="6"/>
  <c r="K35" i="6"/>
  <c r="G35" i="6"/>
  <c r="C35" i="6"/>
  <c r="O34" i="6"/>
  <c r="K34" i="6"/>
  <c r="G34" i="6"/>
  <c r="C34" i="6"/>
  <c r="O33" i="6"/>
  <c r="K33" i="6"/>
  <c r="G33" i="6"/>
  <c r="C33" i="6"/>
  <c r="O26" i="6"/>
  <c r="K26" i="6"/>
  <c r="G26" i="6"/>
  <c r="O25" i="6"/>
  <c r="K25" i="6"/>
  <c r="G25" i="6"/>
  <c r="C25" i="6"/>
  <c r="O24" i="6"/>
  <c r="K24" i="6"/>
  <c r="G24" i="6"/>
  <c r="C24" i="6"/>
  <c r="O23" i="6"/>
  <c r="K23" i="6"/>
  <c r="G23" i="6"/>
  <c r="C23" i="6"/>
  <c r="O21" i="6"/>
  <c r="K21" i="6"/>
  <c r="G21" i="6"/>
  <c r="C21" i="6"/>
  <c r="O20" i="6"/>
  <c r="K20" i="6"/>
  <c r="G20" i="6"/>
  <c r="C20" i="6"/>
  <c r="O19" i="6"/>
  <c r="K19" i="6"/>
  <c r="G19" i="6"/>
  <c r="C19" i="6"/>
  <c r="O12" i="6"/>
  <c r="K12" i="6"/>
  <c r="G12" i="6"/>
  <c r="C12" i="6"/>
  <c r="O11" i="6"/>
  <c r="K11" i="6"/>
  <c r="G11" i="6"/>
  <c r="C11" i="6"/>
  <c r="O10" i="6"/>
  <c r="K10" i="6"/>
  <c r="G10" i="6"/>
  <c r="C10" i="6"/>
  <c r="O9" i="6"/>
  <c r="K9" i="6"/>
  <c r="O7" i="6"/>
  <c r="K7" i="6"/>
  <c r="G7" i="6"/>
  <c r="C7" i="6"/>
  <c r="O6" i="6"/>
  <c r="K6" i="6"/>
  <c r="G6" i="6"/>
  <c r="C6" i="6"/>
  <c r="O5" i="6"/>
  <c r="K5" i="6"/>
  <c r="G5" i="6"/>
  <c r="C5" i="6"/>
  <c r="C13" i="6" s="1"/>
  <c r="L73" i="4"/>
  <c r="M73" i="4" s="1"/>
  <c r="L54" i="4"/>
  <c r="M54" i="4" s="1"/>
  <c r="K2" i="5"/>
  <c r="L2" i="5"/>
  <c r="C25" i="4"/>
  <c r="C26" i="4" s="1"/>
  <c r="C19" i="5"/>
  <c r="D19" i="5" s="1"/>
  <c r="E19" i="5" s="1"/>
  <c r="F19" i="5" s="1"/>
  <c r="G19" i="5" s="1"/>
  <c r="H19" i="5" s="1"/>
  <c r="I19" i="5" s="1"/>
  <c r="J19" i="5" s="1"/>
  <c r="K19" i="5" s="1"/>
  <c r="L19" i="5" s="1"/>
  <c r="C11" i="5"/>
  <c r="D11" i="5" s="1"/>
  <c r="E11" i="5" s="1"/>
  <c r="F11" i="5" s="1"/>
  <c r="G11" i="5" s="1"/>
  <c r="H11" i="5" s="1"/>
  <c r="I11" i="5" s="1"/>
  <c r="J11" i="5" s="1"/>
  <c r="K11" i="5" s="1"/>
  <c r="L11" i="5" s="1"/>
  <c r="C2" i="5"/>
  <c r="D2" i="5" s="1"/>
  <c r="E2" i="5" s="1"/>
  <c r="F2" i="5" s="1"/>
  <c r="G2" i="5" s="1"/>
  <c r="H2" i="5" s="1"/>
  <c r="I2" i="5" s="1"/>
  <c r="J2" i="5" s="1"/>
  <c r="D10" i="4"/>
  <c r="E10" i="4" s="1"/>
  <c r="F10" i="4" s="1"/>
  <c r="G10" i="4" s="1"/>
  <c r="H10" i="4" s="1"/>
  <c r="I10" i="4" s="1"/>
  <c r="J10" i="4" s="1"/>
  <c r="K10" i="4" s="1"/>
  <c r="L10" i="4" s="1"/>
  <c r="M10" i="4" s="1"/>
  <c r="C84" i="4"/>
  <c r="C85" i="4" s="1"/>
  <c r="D82" i="4"/>
  <c r="E82" i="4" s="1"/>
  <c r="F82" i="4" s="1"/>
  <c r="G82" i="4" s="1"/>
  <c r="H82" i="4" s="1"/>
  <c r="I82" i="4" s="1"/>
  <c r="J82" i="4" s="1"/>
  <c r="K82" i="4" s="1"/>
  <c r="L82" i="4" s="1"/>
  <c r="M82" i="4" s="1"/>
  <c r="D81" i="4"/>
  <c r="E81" i="4" s="1"/>
  <c r="F81" i="4" s="1"/>
  <c r="G81" i="4" s="1"/>
  <c r="H81" i="4" s="1"/>
  <c r="I81" i="4" s="1"/>
  <c r="J81" i="4" s="1"/>
  <c r="K81" i="4" s="1"/>
  <c r="L81" i="4" s="1"/>
  <c r="M81" i="4" s="1"/>
  <c r="D80" i="4"/>
  <c r="E80" i="4" s="1"/>
  <c r="F80" i="4" s="1"/>
  <c r="G80" i="4" s="1"/>
  <c r="H80" i="4" s="1"/>
  <c r="I80" i="4" s="1"/>
  <c r="J80" i="4" s="1"/>
  <c r="K80" i="4" s="1"/>
  <c r="L80" i="4" s="1"/>
  <c r="M80" i="4" s="1"/>
  <c r="D79" i="4"/>
  <c r="E79" i="4" s="1"/>
  <c r="F79" i="4" s="1"/>
  <c r="G79" i="4" s="1"/>
  <c r="H79" i="4" s="1"/>
  <c r="I79" i="4" s="1"/>
  <c r="J79" i="4" s="1"/>
  <c r="K79" i="4" s="1"/>
  <c r="L79" i="4" s="1"/>
  <c r="M79" i="4" s="1"/>
  <c r="D78" i="4"/>
  <c r="D77" i="4"/>
  <c r="E77" i="4" s="1"/>
  <c r="F77" i="4" s="1"/>
  <c r="G77" i="4" s="1"/>
  <c r="H77" i="4" s="1"/>
  <c r="I77" i="4" s="1"/>
  <c r="J77" i="4" s="1"/>
  <c r="K77" i="4" s="1"/>
  <c r="L77" i="4" s="1"/>
  <c r="M77" i="4" s="1"/>
  <c r="D76" i="4"/>
  <c r="E76" i="4" s="1"/>
  <c r="F76" i="4" s="1"/>
  <c r="G76" i="4" s="1"/>
  <c r="H76" i="4" s="1"/>
  <c r="I76" i="4" s="1"/>
  <c r="J76" i="4" s="1"/>
  <c r="K76" i="4" s="1"/>
  <c r="L76" i="4" s="1"/>
  <c r="M76" i="4" s="1"/>
  <c r="D75" i="4"/>
  <c r="E75" i="4" s="1"/>
  <c r="F75" i="4" s="1"/>
  <c r="G75" i="4" s="1"/>
  <c r="H75" i="4" s="1"/>
  <c r="I75" i="4" s="1"/>
  <c r="J75" i="4" s="1"/>
  <c r="K75" i="4" s="1"/>
  <c r="L75" i="4" s="1"/>
  <c r="M75" i="4" s="1"/>
  <c r="D74" i="4"/>
  <c r="E74" i="4" s="1"/>
  <c r="F74" i="4" s="1"/>
  <c r="G74" i="4" s="1"/>
  <c r="H74" i="4" s="1"/>
  <c r="I74" i="4" s="1"/>
  <c r="J74" i="4" s="1"/>
  <c r="K74" i="4" s="1"/>
  <c r="L74" i="4" s="1"/>
  <c r="M74" i="4" s="1"/>
  <c r="D73" i="4"/>
  <c r="E73" i="4" s="1"/>
  <c r="F73" i="4" s="1"/>
  <c r="G73" i="4" s="1"/>
  <c r="H73" i="4" s="1"/>
  <c r="I73" i="4" s="1"/>
  <c r="J73" i="4" s="1"/>
  <c r="K73" i="4" s="1"/>
  <c r="D72" i="4"/>
  <c r="E72" i="4" s="1"/>
  <c r="F72" i="4" s="1"/>
  <c r="G72" i="4" s="1"/>
  <c r="H72" i="4" s="1"/>
  <c r="I72" i="4" s="1"/>
  <c r="J72" i="4" s="1"/>
  <c r="K72" i="4" s="1"/>
  <c r="L72" i="4" s="1"/>
  <c r="M72" i="4" s="1"/>
  <c r="D71" i="4"/>
  <c r="E71" i="4" s="1"/>
  <c r="C64" i="4"/>
  <c r="C65" i="4" s="1"/>
  <c r="D62" i="4"/>
  <c r="E62" i="4" s="1"/>
  <c r="F62" i="4" s="1"/>
  <c r="G62" i="4" s="1"/>
  <c r="H62" i="4" s="1"/>
  <c r="I62" i="4" s="1"/>
  <c r="J62" i="4" s="1"/>
  <c r="K62" i="4" s="1"/>
  <c r="L62" i="4" s="1"/>
  <c r="M62" i="4" s="1"/>
  <c r="D61" i="4"/>
  <c r="E61" i="4" s="1"/>
  <c r="F61" i="4" s="1"/>
  <c r="G61" i="4" s="1"/>
  <c r="H61" i="4" s="1"/>
  <c r="I61" i="4" s="1"/>
  <c r="J61" i="4" s="1"/>
  <c r="K61" i="4" s="1"/>
  <c r="L61" i="4" s="1"/>
  <c r="M61" i="4" s="1"/>
  <c r="D60" i="4"/>
  <c r="E60" i="4" s="1"/>
  <c r="F60" i="4" s="1"/>
  <c r="G60" i="4" s="1"/>
  <c r="H60" i="4" s="1"/>
  <c r="I60" i="4" s="1"/>
  <c r="J60" i="4" s="1"/>
  <c r="K60" i="4" s="1"/>
  <c r="L60" i="4" s="1"/>
  <c r="M60" i="4" s="1"/>
  <c r="F59" i="4"/>
  <c r="G59" i="4" s="1"/>
  <c r="H59" i="4" s="1"/>
  <c r="I59" i="4" s="1"/>
  <c r="J59" i="4" s="1"/>
  <c r="K59" i="4" s="1"/>
  <c r="L59" i="4" s="1"/>
  <c r="M59" i="4" s="1"/>
  <c r="D59" i="4"/>
  <c r="D58" i="4"/>
  <c r="E58" i="4" s="1"/>
  <c r="F58" i="4" s="1"/>
  <c r="G58" i="4" s="1"/>
  <c r="H58" i="4" s="1"/>
  <c r="I58" i="4" s="1"/>
  <c r="J58" i="4" s="1"/>
  <c r="K58" i="4" s="1"/>
  <c r="L58" i="4" s="1"/>
  <c r="M58" i="4" s="1"/>
  <c r="D57" i="4"/>
  <c r="E57" i="4" s="1"/>
  <c r="F57" i="4" s="1"/>
  <c r="G57" i="4" s="1"/>
  <c r="H57" i="4" s="1"/>
  <c r="I57" i="4" s="1"/>
  <c r="J57" i="4" s="1"/>
  <c r="K57" i="4" s="1"/>
  <c r="L57" i="4" s="1"/>
  <c r="M57" i="4" s="1"/>
  <c r="D56" i="4"/>
  <c r="E56" i="4" s="1"/>
  <c r="F56" i="4" s="1"/>
  <c r="G56" i="4" s="1"/>
  <c r="H56" i="4" s="1"/>
  <c r="I56" i="4" s="1"/>
  <c r="J56" i="4" s="1"/>
  <c r="K56" i="4" s="1"/>
  <c r="L56" i="4" s="1"/>
  <c r="M56" i="4" s="1"/>
  <c r="D55" i="4"/>
  <c r="E55" i="4" s="1"/>
  <c r="F55" i="4" s="1"/>
  <c r="G55" i="4" s="1"/>
  <c r="H55" i="4" s="1"/>
  <c r="I55" i="4" s="1"/>
  <c r="J55" i="4" s="1"/>
  <c r="K55" i="4" s="1"/>
  <c r="L55" i="4" s="1"/>
  <c r="M55" i="4" s="1"/>
  <c r="D54" i="4"/>
  <c r="E54" i="4" s="1"/>
  <c r="F54" i="4" s="1"/>
  <c r="G54" i="4" s="1"/>
  <c r="H54" i="4" s="1"/>
  <c r="I54" i="4" s="1"/>
  <c r="J54" i="4" s="1"/>
  <c r="K54" i="4" s="1"/>
  <c r="D53" i="4"/>
  <c r="C46" i="4"/>
  <c r="C47" i="4" s="1"/>
  <c r="D44" i="4"/>
  <c r="E44" i="4" s="1"/>
  <c r="F44" i="4" s="1"/>
  <c r="G44" i="4" s="1"/>
  <c r="H44" i="4" s="1"/>
  <c r="I44" i="4" s="1"/>
  <c r="J44" i="4" s="1"/>
  <c r="K44" i="4" s="1"/>
  <c r="L44" i="4" s="1"/>
  <c r="M44" i="4" s="1"/>
  <c r="D43" i="4"/>
  <c r="E43" i="4" s="1"/>
  <c r="F43" i="4" s="1"/>
  <c r="G43" i="4" s="1"/>
  <c r="H43" i="4" s="1"/>
  <c r="I43" i="4" s="1"/>
  <c r="J43" i="4" s="1"/>
  <c r="K43" i="4" s="1"/>
  <c r="L43" i="4" s="1"/>
  <c r="M43" i="4" s="1"/>
  <c r="D42" i="4"/>
  <c r="E42" i="4" s="1"/>
  <c r="F42" i="4" s="1"/>
  <c r="G42" i="4" s="1"/>
  <c r="H42" i="4" s="1"/>
  <c r="I42" i="4" s="1"/>
  <c r="J42" i="4" s="1"/>
  <c r="K42" i="4" s="1"/>
  <c r="L42" i="4" s="1"/>
  <c r="M42" i="4" s="1"/>
  <c r="D41" i="4"/>
  <c r="E41" i="4" s="1"/>
  <c r="F41" i="4" s="1"/>
  <c r="G41" i="4" s="1"/>
  <c r="H41" i="4" s="1"/>
  <c r="I41" i="4" s="1"/>
  <c r="J41" i="4" s="1"/>
  <c r="K41" i="4" s="1"/>
  <c r="L41" i="4" s="1"/>
  <c r="M41" i="4" s="1"/>
  <c r="D40" i="4"/>
  <c r="E40" i="4" s="1"/>
  <c r="F40" i="4" s="1"/>
  <c r="G40" i="4" s="1"/>
  <c r="H40" i="4" s="1"/>
  <c r="I40" i="4" s="1"/>
  <c r="J40" i="4" s="1"/>
  <c r="K40" i="4" s="1"/>
  <c r="L40" i="4" s="1"/>
  <c r="M40" i="4" s="1"/>
  <c r="D39" i="4"/>
  <c r="E39" i="4" s="1"/>
  <c r="F39" i="4" s="1"/>
  <c r="G39" i="4" s="1"/>
  <c r="H39" i="4" s="1"/>
  <c r="I39" i="4" s="1"/>
  <c r="J39" i="4" s="1"/>
  <c r="K39" i="4" s="1"/>
  <c r="L39" i="4" s="1"/>
  <c r="M39" i="4" s="1"/>
  <c r="D38" i="4"/>
  <c r="E38" i="4" s="1"/>
  <c r="F38" i="4" s="1"/>
  <c r="G38" i="4" s="1"/>
  <c r="H38" i="4" s="1"/>
  <c r="I38" i="4" s="1"/>
  <c r="J38" i="4" s="1"/>
  <c r="K38" i="4" s="1"/>
  <c r="L38" i="4" s="1"/>
  <c r="M38" i="4" s="1"/>
  <c r="D37" i="4"/>
  <c r="E37" i="4" s="1"/>
  <c r="F37" i="4" s="1"/>
  <c r="G37" i="4" s="1"/>
  <c r="H37" i="4" s="1"/>
  <c r="I37" i="4" s="1"/>
  <c r="J37" i="4" s="1"/>
  <c r="K37" i="4" s="1"/>
  <c r="L37" i="4" s="1"/>
  <c r="M37" i="4" s="1"/>
  <c r="D36" i="4"/>
  <c r="E36" i="4" s="1"/>
  <c r="F36" i="4" s="1"/>
  <c r="G36" i="4" s="1"/>
  <c r="H36" i="4" s="1"/>
  <c r="I36" i="4" s="1"/>
  <c r="J36" i="4" s="1"/>
  <c r="K36" i="4" s="1"/>
  <c r="L36" i="4" s="1"/>
  <c r="M36" i="4" s="1"/>
  <c r="D35" i="4"/>
  <c r="E35" i="4" s="1"/>
  <c r="F35" i="4" s="1"/>
  <c r="G35" i="4" s="1"/>
  <c r="H35" i="4" s="1"/>
  <c r="I35" i="4" s="1"/>
  <c r="J35" i="4" s="1"/>
  <c r="K35" i="4" s="1"/>
  <c r="L35" i="4" s="1"/>
  <c r="M35" i="4" s="1"/>
  <c r="D34" i="4"/>
  <c r="E34" i="4" s="1"/>
  <c r="F34" i="4" s="1"/>
  <c r="G34" i="4" s="1"/>
  <c r="H34" i="4" s="1"/>
  <c r="I34" i="4" s="1"/>
  <c r="J34" i="4" s="1"/>
  <c r="K34" i="4" s="1"/>
  <c r="L34" i="4" s="1"/>
  <c r="M34" i="4" s="1"/>
  <c r="D33" i="4"/>
  <c r="E33" i="4" s="1"/>
  <c r="F33" i="4" s="1"/>
  <c r="G33" i="4" s="1"/>
  <c r="H33" i="4" s="1"/>
  <c r="I33" i="4" s="1"/>
  <c r="J33" i="4" s="1"/>
  <c r="K33" i="4" s="1"/>
  <c r="L33" i="4" s="1"/>
  <c r="M33" i="4" s="1"/>
  <c r="D32" i="4"/>
  <c r="E32" i="4" s="1"/>
  <c r="F32" i="4" s="1"/>
  <c r="G32" i="4" s="1"/>
  <c r="H32" i="4" s="1"/>
  <c r="I32" i="4" s="1"/>
  <c r="J32" i="4" s="1"/>
  <c r="K32" i="4" s="1"/>
  <c r="L32" i="4" s="1"/>
  <c r="M32" i="4" s="1"/>
  <c r="D31" i="4"/>
  <c r="E31" i="4" s="1"/>
  <c r="F31" i="4" s="1"/>
  <c r="G31" i="4" s="1"/>
  <c r="H31" i="4" s="1"/>
  <c r="I31" i="4" s="1"/>
  <c r="J31" i="4" s="1"/>
  <c r="K31" i="4" s="1"/>
  <c r="L31" i="4" s="1"/>
  <c r="M31" i="4" s="1"/>
  <c r="D30" i="4"/>
  <c r="E30" i="4" s="1"/>
  <c r="D23" i="4"/>
  <c r="E23" i="4" s="1"/>
  <c r="F23" i="4" s="1"/>
  <c r="G23" i="4" s="1"/>
  <c r="H23" i="4" s="1"/>
  <c r="I23" i="4" s="1"/>
  <c r="J23" i="4" s="1"/>
  <c r="K23" i="4" s="1"/>
  <c r="L23" i="4" s="1"/>
  <c r="M23" i="4" s="1"/>
  <c r="D22" i="4"/>
  <c r="E22" i="4" s="1"/>
  <c r="F22" i="4" s="1"/>
  <c r="G22" i="4" s="1"/>
  <c r="H22" i="4" s="1"/>
  <c r="I22" i="4" s="1"/>
  <c r="J22" i="4" s="1"/>
  <c r="K22" i="4" s="1"/>
  <c r="L22" i="4" s="1"/>
  <c r="M22" i="4" s="1"/>
  <c r="D21" i="4"/>
  <c r="E21" i="4" s="1"/>
  <c r="F21" i="4" s="1"/>
  <c r="F20" i="4"/>
  <c r="G20" i="4" s="1"/>
  <c r="H20" i="4" s="1"/>
  <c r="I20" i="4" s="1"/>
  <c r="J20" i="4" s="1"/>
  <c r="K20" i="4" s="1"/>
  <c r="L20" i="4" s="1"/>
  <c r="M20" i="4" s="1"/>
  <c r="D20" i="4"/>
  <c r="D19" i="4"/>
  <c r="E19" i="4" s="1"/>
  <c r="F19" i="4" s="1"/>
  <c r="G19" i="4" s="1"/>
  <c r="H19" i="4" s="1"/>
  <c r="I19" i="4" s="1"/>
  <c r="J19" i="4" s="1"/>
  <c r="K19" i="4" s="1"/>
  <c r="L19" i="4" s="1"/>
  <c r="M19" i="4" s="1"/>
  <c r="D18" i="4"/>
  <c r="E18" i="4" s="1"/>
  <c r="F18" i="4" s="1"/>
  <c r="G18" i="4" s="1"/>
  <c r="H18" i="4" s="1"/>
  <c r="I18" i="4" s="1"/>
  <c r="J18" i="4" s="1"/>
  <c r="K18" i="4" s="1"/>
  <c r="L18" i="4" s="1"/>
  <c r="M18" i="4" s="1"/>
  <c r="D17" i="4"/>
  <c r="E17" i="4" s="1"/>
  <c r="F17" i="4" s="1"/>
  <c r="G17" i="4" s="1"/>
  <c r="H17" i="4" s="1"/>
  <c r="I17" i="4" s="1"/>
  <c r="J17" i="4" s="1"/>
  <c r="K17" i="4" s="1"/>
  <c r="L17" i="4" s="1"/>
  <c r="M17" i="4" s="1"/>
  <c r="D16" i="4"/>
  <c r="E16" i="4" s="1"/>
  <c r="F16" i="4" s="1"/>
  <c r="G16" i="4" s="1"/>
  <c r="H16" i="4" s="1"/>
  <c r="I16" i="4" s="1"/>
  <c r="J16" i="4" s="1"/>
  <c r="K16" i="4" s="1"/>
  <c r="L16" i="4" s="1"/>
  <c r="M16" i="4" s="1"/>
  <c r="D15" i="4"/>
  <c r="E15" i="4" s="1"/>
  <c r="F15" i="4" s="1"/>
  <c r="G15" i="4" s="1"/>
  <c r="H15" i="4" s="1"/>
  <c r="I15" i="4" s="1"/>
  <c r="J15" i="4" s="1"/>
  <c r="K15" i="4" s="1"/>
  <c r="L15" i="4" s="1"/>
  <c r="M15" i="4" s="1"/>
  <c r="D14" i="4"/>
  <c r="E14" i="4" s="1"/>
  <c r="F14" i="4" s="1"/>
  <c r="G14" i="4" s="1"/>
  <c r="H14" i="4" s="1"/>
  <c r="I14" i="4" s="1"/>
  <c r="J14" i="4" s="1"/>
  <c r="K14" i="4" s="1"/>
  <c r="L14" i="4" s="1"/>
  <c r="M14" i="4" s="1"/>
  <c r="D13" i="4"/>
  <c r="E13" i="4" s="1"/>
  <c r="F13" i="4" s="1"/>
  <c r="G13" i="4" s="1"/>
  <c r="H13" i="4" s="1"/>
  <c r="I13" i="4" s="1"/>
  <c r="J13" i="4" s="1"/>
  <c r="K13" i="4" s="1"/>
  <c r="L13" i="4" s="1"/>
  <c r="M13" i="4" s="1"/>
  <c r="D12" i="4"/>
  <c r="E12" i="4" s="1"/>
  <c r="F12" i="4" s="1"/>
  <c r="G12" i="4" s="1"/>
  <c r="H12" i="4" s="1"/>
  <c r="I12" i="4" s="1"/>
  <c r="J12" i="4" s="1"/>
  <c r="K12" i="4" s="1"/>
  <c r="L12" i="4" s="1"/>
  <c r="M12" i="4" s="1"/>
  <c r="D11" i="4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26" i="3" s="1"/>
  <c r="D4" i="3" s="1"/>
  <c r="F9" i="3"/>
  <c r="G2" i="2"/>
  <c r="J2" i="2"/>
  <c r="M2" i="2"/>
  <c r="N2" i="2"/>
  <c r="O2" i="2"/>
  <c r="E15" i="2"/>
  <c r="F15" i="2" s="1"/>
  <c r="G15" i="2" s="1"/>
  <c r="H15" i="2" s="1"/>
  <c r="I15" i="2" s="1"/>
  <c r="J15" i="2" s="1"/>
  <c r="K15" i="2" s="1"/>
  <c r="L15" i="2" s="1"/>
  <c r="M15" i="2" s="1"/>
  <c r="N15" i="2" s="1"/>
  <c r="O15" i="2" s="1"/>
  <c r="P16" i="2"/>
  <c r="O16" i="2"/>
  <c r="O17" i="2" s="1"/>
  <c r="N16" i="2"/>
  <c r="N17" i="2" s="1"/>
  <c r="G16" i="2"/>
  <c r="H16" i="2"/>
  <c r="H17" i="2" s="1"/>
  <c r="I16" i="2"/>
  <c r="J16" i="2"/>
  <c r="K16" i="2"/>
  <c r="K17" i="2" s="1"/>
  <c r="L16" i="2"/>
  <c r="L17" i="2" s="1"/>
  <c r="M16" i="2"/>
  <c r="M17" i="2" s="1"/>
  <c r="B177" i="6"/>
  <c r="B178" i="6" s="1"/>
  <c r="B5" i="9" s="1"/>
  <c r="D37" i="2"/>
  <c r="C41" i="2" s="1"/>
  <c r="B120" i="6" s="1"/>
  <c r="E36" i="2"/>
  <c r="F36" i="2" s="1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J17" i="2"/>
  <c r="I17" i="2"/>
  <c r="E18" i="1"/>
  <c r="O7" i="1"/>
  <c r="O8" i="1"/>
  <c r="O9" i="1"/>
  <c r="O10" i="1"/>
  <c r="O11" i="1"/>
  <c r="O12" i="1"/>
  <c r="O13" i="1"/>
  <c r="O14" i="1"/>
  <c r="O15" i="1"/>
  <c r="O16" i="1"/>
  <c r="O17" i="1"/>
  <c r="O6" i="1"/>
  <c r="N7" i="1"/>
  <c r="N8" i="1"/>
  <c r="N9" i="1"/>
  <c r="N10" i="1"/>
  <c r="N11" i="1"/>
  <c r="N12" i="1"/>
  <c r="N13" i="1"/>
  <c r="N14" i="1"/>
  <c r="N15" i="1"/>
  <c r="N16" i="1"/>
  <c r="N17" i="1"/>
  <c r="N6" i="1"/>
  <c r="M7" i="1"/>
  <c r="M8" i="1"/>
  <c r="M9" i="1"/>
  <c r="M10" i="1"/>
  <c r="M11" i="1"/>
  <c r="M12" i="1"/>
  <c r="M13" i="1"/>
  <c r="M14" i="1"/>
  <c r="M15" i="1"/>
  <c r="M16" i="1"/>
  <c r="M17" i="1"/>
  <c r="M6" i="1"/>
  <c r="L7" i="1"/>
  <c r="L8" i="1"/>
  <c r="L9" i="1"/>
  <c r="L10" i="1"/>
  <c r="L11" i="1"/>
  <c r="L12" i="1"/>
  <c r="L13" i="1"/>
  <c r="L14" i="1"/>
  <c r="L15" i="1"/>
  <c r="L16" i="1"/>
  <c r="L17" i="1"/>
  <c r="L6" i="1"/>
  <c r="K7" i="1"/>
  <c r="K8" i="1"/>
  <c r="K9" i="1"/>
  <c r="K10" i="1"/>
  <c r="K11" i="1"/>
  <c r="K12" i="1"/>
  <c r="K13" i="1"/>
  <c r="K14" i="1"/>
  <c r="K15" i="1"/>
  <c r="K16" i="1"/>
  <c r="K17" i="1"/>
  <c r="K6" i="1"/>
  <c r="J7" i="1"/>
  <c r="J8" i="1"/>
  <c r="J9" i="1"/>
  <c r="J10" i="1"/>
  <c r="J11" i="1"/>
  <c r="J12" i="1"/>
  <c r="J13" i="1"/>
  <c r="J14" i="1"/>
  <c r="J15" i="1"/>
  <c r="J16" i="1"/>
  <c r="J17" i="1"/>
  <c r="J6" i="1"/>
  <c r="I7" i="1"/>
  <c r="I8" i="1"/>
  <c r="I9" i="1"/>
  <c r="I10" i="1"/>
  <c r="I11" i="1"/>
  <c r="I12" i="1"/>
  <c r="I13" i="1"/>
  <c r="I14" i="1"/>
  <c r="I15" i="1"/>
  <c r="I16" i="1"/>
  <c r="I17" i="1"/>
  <c r="I6" i="1"/>
  <c r="H7" i="1"/>
  <c r="H8" i="1"/>
  <c r="H9" i="1"/>
  <c r="H10" i="1"/>
  <c r="H11" i="1"/>
  <c r="H12" i="1"/>
  <c r="H13" i="1"/>
  <c r="H14" i="1"/>
  <c r="H15" i="1"/>
  <c r="H16" i="1"/>
  <c r="H17" i="1"/>
  <c r="H6" i="1"/>
  <c r="G7" i="1"/>
  <c r="G8" i="1"/>
  <c r="G9" i="1"/>
  <c r="G10" i="1"/>
  <c r="G11" i="1"/>
  <c r="G12" i="1"/>
  <c r="G13" i="1"/>
  <c r="G14" i="1"/>
  <c r="G15" i="1"/>
  <c r="G16" i="1"/>
  <c r="G17" i="1"/>
  <c r="G6" i="1"/>
  <c r="F7" i="1"/>
  <c r="F8" i="1"/>
  <c r="F9" i="1"/>
  <c r="F10" i="1"/>
  <c r="F11" i="1"/>
  <c r="F12" i="1"/>
  <c r="F13" i="1"/>
  <c r="F14" i="1"/>
  <c r="F15" i="1"/>
  <c r="F16" i="1"/>
  <c r="F17" i="1"/>
  <c r="F6" i="1"/>
  <c r="D7" i="1"/>
  <c r="D8" i="1"/>
  <c r="D9" i="1"/>
  <c r="D10" i="1"/>
  <c r="D11" i="1"/>
  <c r="D12" i="1"/>
  <c r="D13" i="1"/>
  <c r="D14" i="1"/>
  <c r="D15" i="1"/>
  <c r="D16" i="1"/>
  <c r="D17" i="1"/>
  <c r="D6" i="1"/>
  <c r="C7" i="1"/>
  <c r="C8" i="1"/>
  <c r="C9" i="1"/>
  <c r="C10" i="1"/>
  <c r="C11" i="1"/>
  <c r="C12" i="1"/>
  <c r="C13" i="1"/>
  <c r="C14" i="1"/>
  <c r="C15" i="1"/>
  <c r="C16" i="1"/>
  <c r="C17" i="1"/>
  <c r="C6" i="1"/>
  <c r="B18" i="1"/>
  <c r="F5" i="1"/>
  <c r="G5" i="1" s="1"/>
  <c r="H5" i="1" s="1"/>
  <c r="I5" i="1" s="1"/>
  <c r="J5" i="1" s="1"/>
  <c r="K5" i="1" s="1"/>
  <c r="L5" i="1" s="1"/>
  <c r="M5" i="1" s="1"/>
  <c r="N5" i="1" s="1"/>
  <c r="O5" i="1" s="1"/>
  <c r="D5" i="1"/>
  <c r="C5" i="1" s="1"/>
  <c r="B58" i="8" l="1"/>
  <c r="C176" i="6"/>
  <c r="C178" i="6" s="1"/>
  <c r="B214" i="6"/>
  <c r="B23" i="10" s="1"/>
  <c r="B21" i="10"/>
  <c r="C206" i="6"/>
  <c r="B10" i="9"/>
  <c r="B19" i="10"/>
  <c r="G150" i="6"/>
  <c r="H150" i="6" s="1"/>
  <c r="I150" i="6" s="1"/>
  <c r="J150" i="6" s="1"/>
  <c r="K150" i="6" s="1"/>
  <c r="L150" i="6" s="1"/>
  <c r="C1398" i="8"/>
  <c r="C1411" i="8"/>
  <c r="C1414" i="8"/>
  <c r="C1417" i="8"/>
  <c r="C1420" i="8"/>
  <c r="C1423" i="8"/>
  <c r="C1428" i="8"/>
  <c r="C1431" i="8"/>
  <c r="C1433" i="8"/>
  <c r="C1437" i="8"/>
  <c r="C1442" i="8"/>
  <c r="C1447" i="8"/>
  <c r="C1450" i="8"/>
  <c r="C1453" i="8"/>
  <c r="C1456" i="8"/>
  <c r="C1459" i="8"/>
  <c r="C1462" i="8"/>
  <c r="C1465" i="8"/>
  <c r="C1470" i="8"/>
  <c r="C1472" i="8"/>
  <c r="C1684" i="8"/>
  <c r="C1687" i="8"/>
  <c r="C1689" i="8"/>
  <c r="C1691" i="8"/>
  <c r="C1696" i="8"/>
  <c r="C1700" i="8"/>
  <c r="C1706" i="8"/>
  <c r="C1711" i="8"/>
  <c r="C1713" i="8"/>
  <c r="C1719" i="8"/>
  <c r="C1722" i="8"/>
  <c r="C1726" i="8"/>
  <c r="C1732" i="8"/>
  <c r="C1737" i="8"/>
  <c r="C1741" i="8"/>
  <c r="C1743" i="8"/>
  <c r="C1749" i="8"/>
  <c r="C1755" i="8"/>
  <c r="C1758" i="8"/>
  <c r="C1766" i="8"/>
  <c r="C1783" i="8"/>
  <c r="C1786" i="8"/>
  <c r="C1789" i="8"/>
  <c r="C1796" i="8"/>
  <c r="C1800" i="8"/>
  <c r="C1807" i="8"/>
  <c r="C1813" i="8"/>
  <c r="C1818" i="8"/>
  <c r="C1824" i="8"/>
  <c r="C1828" i="8"/>
  <c r="C1830" i="8"/>
  <c r="C1834" i="8"/>
  <c r="C1837" i="8"/>
  <c r="C1843" i="8"/>
  <c r="C1848" i="8"/>
  <c r="C1859" i="8"/>
  <c r="C1864" i="8"/>
  <c r="C1870" i="8"/>
  <c r="C1877" i="8"/>
  <c r="C1880" i="8"/>
  <c r="C1887" i="8"/>
  <c r="C1895" i="8"/>
  <c r="C1896" i="8"/>
  <c r="C1898" i="8"/>
  <c r="C1901" i="8"/>
  <c r="C1907" i="8"/>
  <c r="C1911" i="8"/>
  <c r="C1916" i="8"/>
  <c r="C932" i="8"/>
  <c r="C1007" i="8"/>
  <c r="C1216" i="8"/>
  <c r="C123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5" i="8"/>
  <c r="C1396" i="8"/>
  <c r="C1397" i="8"/>
  <c r="C1399" i="8"/>
  <c r="C1400" i="8"/>
  <c r="C1402" i="8"/>
  <c r="C1404" i="8"/>
  <c r="C1405" i="8"/>
  <c r="C1407" i="8"/>
  <c r="C1408" i="8"/>
  <c r="C1409" i="8"/>
  <c r="C1412" i="8"/>
  <c r="C1413" i="8"/>
  <c r="C1416" i="8"/>
  <c r="C1419" i="8"/>
  <c r="C1422" i="8"/>
  <c r="C1424" i="8"/>
  <c r="C1427" i="8"/>
  <c r="C1429" i="8"/>
  <c r="C1432" i="8"/>
  <c r="C1435" i="8"/>
  <c r="C1438" i="8"/>
  <c r="C1439" i="8"/>
  <c r="C1440" i="8"/>
  <c r="C1443" i="8"/>
  <c r="C1445" i="8"/>
  <c r="C1448" i="8"/>
  <c r="C1449" i="8"/>
  <c r="C1452" i="8"/>
  <c r="C1455" i="8"/>
  <c r="C1458" i="8"/>
  <c r="C1461" i="8"/>
  <c r="C1464" i="8"/>
  <c r="C1468" i="8"/>
  <c r="C1471" i="8"/>
  <c r="C1474" i="8"/>
  <c r="C1682" i="8"/>
  <c r="C1686" i="8"/>
  <c r="C1693" i="8"/>
  <c r="C1701" i="8"/>
  <c r="C1708" i="8"/>
  <c r="C1710" i="8"/>
  <c r="C1720" i="8"/>
  <c r="C1724" i="8"/>
  <c r="C1730" i="8"/>
  <c r="C1736" i="8"/>
  <c r="C1740" i="8"/>
  <c r="C1748" i="8"/>
  <c r="C1763" i="8"/>
  <c r="C1768" i="8"/>
  <c r="C1772" i="8"/>
  <c r="C1777" i="8"/>
  <c r="C1785" i="8"/>
  <c r="C1793" i="8"/>
  <c r="C1797" i="8"/>
  <c r="C1801" i="8"/>
  <c r="C1805" i="8"/>
  <c r="C1808" i="8"/>
  <c r="C1812" i="8"/>
  <c r="C1851" i="8"/>
  <c r="C1858" i="8"/>
  <c r="C1863" i="8"/>
  <c r="C1868" i="8"/>
  <c r="C1879" i="8"/>
  <c r="C1881" i="8"/>
  <c r="C1888" i="8"/>
  <c r="C1894" i="8"/>
  <c r="C1897" i="8"/>
  <c r="C1904" i="8"/>
  <c r="C1906" i="8"/>
  <c r="C1910" i="8"/>
  <c r="C1915" i="8"/>
  <c r="C986" i="8"/>
  <c r="C1394" i="8"/>
  <c r="C1401" i="8"/>
  <c r="C1403" i="8"/>
  <c r="C1406" i="8"/>
  <c r="C1410" i="8"/>
  <c r="C1415" i="8"/>
  <c r="C1418" i="8"/>
  <c r="C1421" i="8"/>
  <c r="C1425" i="8"/>
  <c r="C1426" i="8"/>
  <c r="C1430" i="8"/>
  <c r="C1434" i="8"/>
  <c r="C1436" i="8"/>
  <c r="C1441" i="8"/>
  <c r="C1444" i="8"/>
  <c r="C1446" i="8"/>
  <c r="C1451" i="8"/>
  <c r="C1454" i="8"/>
  <c r="C1457" i="8"/>
  <c r="C1460" i="8"/>
  <c r="C1463" i="8"/>
  <c r="C1467" i="8"/>
  <c r="C1469" i="8"/>
  <c r="C1473" i="8"/>
  <c r="C1475" i="8"/>
  <c r="C1685" i="8"/>
  <c r="C1692" i="8"/>
  <c r="C1694" i="8"/>
  <c r="C1697" i="8"/>
  <c r="C1702" i="8"/>
  <c r="C1704" i="8"/>
  <c r="C1705" i="8"/>
  <c r="C1709" i="8"/>
  <c r="C1712" i="8"/>
  <c r="C1714" i="8"/>
  <c r="C1717" i="8"/>
  <c r="C1727" i="8"/>
  <c r="C1729" i="8"/>
  <c r="C1734" i="8"/>
  <c r="C1745" i="8"/>
  <c r="C1747" i="8"/>
  <c r="C1750" i="8"/>
  <c r="C1753" i="8"/>
  <c r="C1757" i="8"/>
  <c r="C1760" i="8"/>
  <c r="C1762" i="8"/>
  <c r="C1765" i="8"/>
  <c r="C1770" i="8"/>
  <c r="C1773" i="8"/>
  <c r="C1775" i="8"/>
  <c r="C1779" i="8"/>
  <c r="C1782" i="8"/>
  <c r="C1788" i="8"/>
  <c r="C1791" i="8"/>
  <c r="C1794" i="8"/>
  <c r="C1799" i="8"/>
  <c r="C1803" i="8"/>
  <c r="C1815" i="8"/>
  <c r="C1822" i="8"/>
  <c r="C1827" i="8"/>
  <c r="C1832" i="8"/>
  <c r="C1836" i="8"/>
  <c r="C1840" i="8"/>
  <c r="C1841" i="8"/>
  <c r="C1844" i="8"/>
  <c r="C1845" i="8"/>
  <c r="C1847" i="8"/>
  <c r="C1852" i="8"/>
  <c r="C1854" i="8"/>
  <c r="C1862" i="8"/>
  <c r="C1872" i="8"/>
  <c r="C1874" i="8"/>
  <c r="C1882" i="8"/>
  <c r="C1893" i="8"/>
  <c r="C1903" i="8"/>
  <c r="C1908" i="8"/>
  <c r="C1912" i="8"/>
  <c r="C1476" i="8"/>
  <c r="C1477" i="8"/>
  <c r="C1478" i="8"/>
  <c r="C1479" i="8"/>
  <c r="C1480" i="8"/>
  <c r="C148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3" i="8"/>
  <c r="C1688" i="8"/>
  <c r="C1690" i="8"/>
  <c r="C1695" i="8"/>
  <c r="C1698" i="8"/>
  <c r="C1707" i="8"/>
  <c r="C1715" i="8"/>
  <c r="C1718" i="8"/>
  <c r="C1723" i="8"/>
  <c r="C1728" i="8"/>
  <c r="C1733" i="8"/>
  <c r="C1738" i="8"/>
  <c r="C1742" i="8"/>
  <c r="C1746" i="8"/>
  <c r="C1751" i="8"/>
  <c r="C1756" i="8"/>
  <c r="C1759" i="8"/>
  <c r="C1761" i="8"/>
  <c r="C1767" i="8"/>
  <c r="C1769" i="8"/>
  <c r="C1774" i="8"/>
  <c r="C1780" i="8"/>
  <c r="C1784" i="8"/>
  <c r="C1787" i="8"/>
  <c r="C1790" i="8"/>
  <c r="C1795" i="8"/>
  <c r="C1804" i="8"/>
  <c r="C1810" i="8"/>
  <c r="C1816" i="8"/>
  <c r="C1821" i="8"/>
  <c r="C1823" i="8"/>
  <c r="C1826" i="8"/>
  <c r="C1831" i="8"/>
  <c r="C1835" i="8"/>
  <c r="C1839" i="8"/>
  <c r="C1846" i="8"/>
  <c r="C1849" i="8"/>
  <c r="C1855" i="8"/>
  <c r="C1867" i="8"/>
  <c r="C1871" i="8"/>
  <c r="C1875" i="8"/>
  <c r="C1883" i="8"/>
  <c r="C1885" i="8"/>
  <c r="C1892" i="8"/>
  <c r="C1900" i="8"/>
  <c r="C1918" i="8"/>
  <c r="C1850" i="8"/>
  <c r="C1873" i="8"/>
  <c r="C1884" i="8"/>
  <c r="C1890" i="8"/>
  <c r="C1913" i="8"/>
  <c r="C1781" i="8"/>
  <c r="C1811" i="8"/>
  <c r="C1819" i="8"/>
  <c r="C1833" i="8"/>
  <c r="C1838" i="8"/>
  <c r="C1853" i="8"/>
  <c r="C1857" i="8"/>
  <c r="C1861" i="8"/>
  <c r="C1865" i="8"/>
  <c r="C1869" i="8"/>
  <c r="C1878" i="8"/>
  <c r="C1886" i="8"/>
  <c r="C1891" i="8"/>
  <c r="C1902" i="8"/>
  <c r="C1909" i="8"/>
  <c r="C1917" i="8"/>
  <c r="C1466" i="8"/>
  <c r="C1699" i="8"/>
  <c r="C1703" i="8"/>
  <c r="C1716" i="8"/>
  <c r="C1721" i="8"/>
  <c r="C1725" i="8"/>
  <c r="C1731" i="8"/>
  <c r="C1735" i="8"/>
  <c r="C1739" i="8"/>
  <c r="C1744" i="8"/>
  <c r="C1752" i="8"/>
  <c r="C1754" i="8"/>
  <c r="C1764" i="8"/>
  <c r="C1771" i="8"/>
  <c r="C1776" i="8"/>
  <c r="C1778" i="8"/>
  <c r="C1792" i="8"/>
  <c r="C1798" i="8"/>
  <c r="C1802" i="8"/>
  <c r="C1806" i="8"/>
  <c r="C1809" i="8"/>
  <c r="C1814" i="8"/>
  <c r="C1817" i="8"/>
  <c r="C1820" i="8"/>
  <c r="C1825" i="8"/>
  <c r="C1829" i="8"/>
  <c r="C1842" i="8"/>
  <c r="C1856" i="8"/>
  <c r="C1860" i="8"/>
  <c r="C1866" i="8"/>
  <c r="C1876" i="8"/>
  <c r="C1889" i="8"/>
  <c r="C1905" i="8"/>
  <c r="C1914" i="8"/>
  <c r="C1899" i="8"/>
  <c r="C258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489" i="8"/>
  <c r="C503" i="8"/>
  <c r="C506" i="8"/>
  <c r="C508" i="8"/>
  <c r="C511" i="8"/>
  <c r="C514" i="8"/>
  <c r="C517" i="8"/>
  <c r="C520" i="8"/>
  <c r="C523" i="8"/>
  <c r="C526" i="8"/>
  <c r="C529" i="8"/>
  <c r="C532" i="8"/>
  <c r="C535" i="8"/>
  <c r="C537" i="8"/>
  <c r="C540" i="8"/>
  <c r="C543" i="8"/>
  <c r="C545" i="8"/>
  <c r="C548" i="8"/>
  <c r="C550" i="8"/>
  <c r="C552" i="8"/>
  <c r="C554" i="8"/>
  <c r="C556" i="8"/>
  <c r="C558" i="8"/>
  <c r="C560" i="8"/>
  <c r="C563" i="8"/>
  <c r="C565" i="8"/>
  <c r="C568" i="8"/>
  <c r="C570" i="8"/>
  <c r="C573" i="8"/>
  <c r="C575" i="8"/>
  <c r="C578" i="8"/>
  <c r="C580" i="8"/>
  <c r="C582" i="8"/>
  <c r="C584" i="8"/>
  <c r="C588" i="8"/>
  <c r="C590" i="8"/>
  <c r="C594" i="8"/>
  <c r="C599" i="8"/>
  <c r="C601" i="8"/>
  <c r="C605" i="8"/>
  <c r="C607" i="8"/>
  <c r="C716" i="8"/>
  <c r="C721" i="8"/>
  <c r="C726" i="8"/>
  <c r="C728" i="8"/>
  <c r="C737" i="8"/>
  <c r="C741" i="8"/>
  <c r="C746" i="8"/>
  <c r="C758" i="8"/>
  <c r="C764" i="8"/>
  <c r="C771" i="8"/>
  <c r="C775" i="8"/>
  <c r="C780" i="8"/>
  <c r="C782" i="8"/>
  <c r="C796" i="8"/>
  <c r="C800" i="8"/>
  <c r="C802" i="8"/>
  <c r="C806" i="8"/>
  <c r="C820" i="8"/>
  <c r="C827" i="8"/>
  <c r="C833" i="8"/>
  <c r="C837" i="8"/>
  <c r="C844" i="8"/>
  <c r="C849" i="8"/>
  <c r="C853" i="8"/>
  <c r="C860" i="8"/>
  <c r="C864" i="8"/>
  <c r="C869" i="8"/>
  <c r="C882" i="8"/>
  <c r="C885" i="8"/>
  <c r="C891" i="8"/>
  <c r="C899" i="8"/>
  <c r="C915" i="8"/>
  <c r="C921" i="8"/>
  <c r="C926" i="8"/>
  <c r="C933" i="8"/>
  <c r="C940" i="8"/>
  <c r="C944" i="8"/>
  <c r="C947" i="8"/>
  <c r="C957" i="8"/>
  <c r="C964" i="8"/>
  <c r="C969" i="8"/>
  <c r="C974" i="8"/>
  <c r="C979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472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9" i="8"/>
  <c r="C451" i="8"/>
  <c r="C452" i="8"/>
  <c r="C454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909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4" i="8"/>
  <c r="C505" i="8"/>
  <c r="C507" i="8"/>
  <c r="C509" i="8"/>
  <c r="C510" i="8"/>
  <c r="C512" i="8"/>
  <c r="C513" i="8"/>
  <c r="C515" i="8"/>
  <c r="C516" i="8"/>
  <c r="C518" i="8"/>
  <c r="C519" i="8"/>
  <c r="C521" i="8"/>
  <c r="C522" i="8"/>
  <c r="C525" i="8"/>
  <c r="C527" i="8"/>
  <c r="C528" i="8"/>
  <c r="C531" i="8"/>
  <c r="C734" i="8"/>
  <c r="C736" i="8"/>
  <c r="C740" i="8"/>
  <c r="C742" i="8"/>
  <c r="C745" i="8"/>
  <c r="C751" i="8"/>
  <c r="C761" i="8"/>
  <c r="C767" i="8"/>
  <c r="C769" i="8"/>
  <c r="C776" i="8"/>
  <c r="C784" i="8"/>
  <c r="C786" i="8"/>
  <c r="C789" i="8"/>
  <c r="C794" i="8"/>
  <c r="C803" i="8"/>
  <c r="C808" i="8"/>
  <c r="C812" i="8"/>
  <c r="C816" i="8"/>
  <c r="C821" i="8"/>
  <c r="C825" i="8"/>
  <c r="C829" i="8"/>
  <c r="C836" i="8"/>
  <c r="C839" i="8"/>
  <c r="C843" i="8"/>
  <c r="C852" i="8"/>
  <c r="C857" i="8"/>
  <c r="C863" i="8"/>
  <c r="C865" i="8"/>
  <c r="C870" i="8"/>
  <c r="C874" i="8"/>
  <c r="C878" i="8"/>
  <c r="C881" i="8"/>
  <c r="C890" i="8"/>
  <c r="C894" i="8"/>
  <c r="C897" i="8"/>
  <c r="C908" i="8"/>
  <c r="C912" i="8"/>
  <c r="C914" i="8"/>
  <c r="C917" i="8"/>
  <c r="C920" i="8"/>
  <c r="C927" i="8"/>
  <c r="C930" i="8"/>
  <c r="C935" i="8"/>
  <c r="C937" i="8"/>
  <c r="C942" i="8"/>
  <c r="C946" i="8"/>
  <c r="C950" i="8"/>
  <c r="C953" i="8"/>
  <c r="C955" i="8"/>
  <c r="C959" i="8"/>
  <c r="C963" i="8"/>
  <c r="C967" i="8"/>
  <c r="C970" i="8"/>
  <c r="C977" i="8"/>
  <c r="C980" i="8"/>
  <c r="C983" i="8"/>
  <c r="C987" i="8"/>
  <c r="C992" i="8"/>
  <c r="C995" i="8"/>
  <c r="C998" i="8"/>
  <c r="C1000" i="8"/>
  <c r="C1004" i="8"/>
  <c r="C1006" i="8"/>
  <c r="C1009" i="8"/>
  <c r="C1011" i="8"/>
  <c r="C1013" i="8"/>
  <c r="C1015" i="8"/>
  <c r="C1018" i="8"/>
  <c r="C1019" i="8"/>
  <c r="C1021" i="8"/>
  <c r="C1023" i="8"/>
  <c r="C1026" i="8"/>
  <c r="C1028" i="8"/>
  <c r="C1030" i="8"/>
  <c r="C1033" i="8"/>
  <c r="C1035" i="8"/>
  <c r="C1037" i="8"/>
  <c r="C1039" i="8"/>
  <c r="C1041" i="8"/>
  <c r="C1043" i="8"/>
  <c r="C1044" i="8"/>
  <c r="C1217" i="8"/>
  <c r="C1219" i="8"/>
  <c r="C1221" i="8"/>
  <c r="C1222" i="8"/>
  <c r="C1224" i="8"/>
  <c r="C1226" i="8"/>
  <c r="C1228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7" i="8"/>
  <c r="C709" i="8"/>
  <c r="C712" i="8"/>
  <c r="C715" i="8"/>
  <c r="C717" i="8"/>
  <c r="C720" i="8"/>
  <c r="C724" i="8"/>
  <c r="C727" i="8"/>
  <c r="C731" i="8"/>
  <c r="C739" i="8"/>
  <c r="C748" i="8"/>
  <c r="C752" i="8"/>
  <c r="C754" i="8"/>
  <c r="C756" i="8"/>
  <c r="C760" i="8"/>
  <c r="C766" i="8"/>
  <c r="C768" i="8"/>
  <c r="C770" i="8"/>
  <c r="C772" i="8"/>
  <c r="C778" i="8"/>
  <c r="C783" i="8"/>
  <c r="C787" i="8"/>
  <c r="C791" i="8"/>
  <c r="C799" i="8"/>
  <c r="C807" i="8"/>
  <c r="C811" i="8"/>
  <c r="C814" i="8"/>
  <c r="C818" i="8"/>
  <c r="C824" i="8"/>
  <c r="C830" i="8"/>
  <c r="C834" i="8"/>
  <c r="C838" i="8"/>
  <c r="C842" i="8"/>
  <c r="C846" i="8"/>
  <c r="C848" i="8"/>
  <c r="C854" i="8"/>
  <c r="C856" i="8"/>
  <c r="C862" i="8"/>
  <c r="C877" i="8"/>
  <c r="C883" i="8"/>
  <c r="C888" i="8"/>
  <c r="C896" i="8"/>
  <c r="C902" i="8"/>
  <c r="C903" i="8"/>
  <c r="C906" i="8"/>
  <c r="C910" i="8"/>
  <c r="C913" i="8"/>
  <c r="C918" i="8"/>
  <c r="C922" i="8"/>
  <c r="C925" i="8"/>
  <c r="C929" i="8"/>
  <c r="C934" i="8"/>
  <c r="C938" i="8"/>
  <c r="C941" i="8"/>
  <c r="C948" i="8"/>
  <c r="C951" i="8"/>
  <c r="C954" i="8"/>
  <c r="C958" i="8"/>
  <c r="C960" i="8"/>
  <c r="C962" i="8"/>
  <c r="C966" i="8"/>
  <c r="C971" i="8"/>
  <c r="C973" i="8"/>
  <c r="C975" i="8"/>
  <c r="C978" i="8"/>
  <c r="C981" i="8"/>
  <c r="C984" i="8"/>
  <c r="C988" i="8"/>
  <c r="C990" i="8"/>
  <c r="C993" i="8"/>
  <c r="C996" i="8"/>
  <c r="C999" i="8"/>
  <c r="C1002" i="8"/>
  <c r="C100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919" i="8"/>
  <c r="C1920" i="8"/>
  <c r="C1921" i="8"/>
  <c r="C1922" i="8"/>
  <c r="C1923" i="8"/>
  <c r="C1924" i="8"/>
  <c r="C1925" i="8"/>
  <c r="C1926" i="8"/>
  <c r="C1927" i="8"/>
  <c r="C1928" i="8"/>
  <c r="C1929" i="8"/>
  <c r="C1930" i="8"/>
  <c r="C1931" i="8"/>
  <c r="C1932" i="8"/>
  <c r="C1933" i="8"/>
  <c r="C1934" i="8"/>
  <c r="C1935" i="8"/>
  <c r="C1936" i="8"/>
  <c r="C1937" i="8"/>
  <c r="C1938" i="8"/>
  <c r="C1939" i="8"/>
  <c r="C1940" i="8"/>
  <c r="C1941" i="8"/>
  <c r="C1942" i="8"/>
  <c r="C1943" i="8"/>
  <c r="C1944" i="8"/>
  <c r="C1945" i="8"/>
  <c r="C1946" i="8"/>
  <c r="C1947" i="8"/>
  <c r="C1948" i="8"/>
  <c r="C1949" i="8"/>
  <c r="C1950" i="8"/>
  <c r="C1951" i="8"/>
  <c r="C1952" i="8"/>
  <c r="C1953" i="8"/>
  <c r="C1954" i="8"/>
  <c r="C1955" i="8"/>
  <c r="C1956" i="8"/>
  <c r="C1957" i="8"/>
  <c r="C1958" i="8"/>
  <c r="C1959" i="8"/>
  <c r="C1960" i="8"/>
  <c r="C1961" i="8"/>
  <c r="C1962" i="8"/>
  <c r="C1963" i="8"/>
  <c r="C1964" i="8"/>
  <c r="C1965" i="8"/>
  <c r="C1966" i="8"/>
  <c r="C1967" i="8"/>
  <c r="C1968" i="8"/>
  <c r="C1969" i="8"/>
  <c r="C1970" i="8"/>
  <c r="C1971" i="8"/>
  <c r="C1972" i="8"/>
  <c r="C1973" i="8"/>
  <c r="C1974" i="8"/>
  <c r="C1975" i="8"/>
  <c r="C1976" i="8"/>
  <c r="C1977" i="8"/>
  <c r="C1978" i="8"/>
  <c r="C1979" i="8"/>
  <c r="C1980" i="8"/>
  <c r="C1981" i="8"/>
  <c r="C1982" i="8"/>
  <c r="C1983" i="8"/>
  <c r="C1984" i="8"/>
  <c r="C1985" i="8"/>
  <c r="C1986" i="8"/>
  <c r="C1987" i="8"/>
  <c r="C1988" i="8"/>
  <c r="C1989" i="8"/>
  <c r="C1990" i="8"/>
  <c r="C1991" i="8"/>
  <c r="C1992" i="8"/>
  <c r="C1993" i="8"/>
  <c r="C1994" i="8"/>
  <c r="C1995" i="8"/>
  <c r="C1996" i="8"/>
  <c r="C1997" i="8"/>
  <c r="C1998" i="8"/>
  <c r="C1999" i="8"/>
  <c r="C2000" i="8"/>
  <c r="C2001" i="8"/>
  <c r="C2002" i="8"/>
  <c r="C2003" i="8"/>
  <c r="C2004" i="8"/>
  <c r="C2005" i="8"/>
  <c r="C2006" i="8"/>
  <c r="C2007" i="8"/>
  <c r="C2008" i="8"/>
  <c r="C2009" i="8"/>
  <c r="C2010" i="8"/>
  <c r="C2011" i="8"/>
  <c r="C2012" i="8"/>
  <c r="C2013" i="8"/>
  <c r="C2014" i="8"/>
  <c r="C2015" i="8"/>
  <c r="C2016" i="8"/>
  <c r="C2017" i="8"/>
  <c r="C2018" i="8"/>
  <c r="C2019" i="8"/>
  <c r="C2020" i="8"/>
  <c r="C2021" i="8"/>
  <c r="C2022" i="8"/>
  <c r="C2023" i="8"/>
  <c r="C2024" i="8"/>
  <c r="C2025" i="8"/>
  <c r="C2026" i="8"/>
  <c r="C2027" i="8"/>
  <c r="C2028" i="8"/>
  <c r="C2029" i="8"/>
  <c r="C2030" i="8"/>
  <c r="C2031" i="8"/>
  <c r="C2032" i="8"/>
  <c r="C2033" i="8"/>
  <c r="C2034" i="8"/>
  <c r="C2035" i="8"/>
  <c r="C2036" i="8"/>
  <c r="C2037" i="8"/>
  <c r="C2038" i="8"/>
  <c r="C2039" i="8"/>
  <c r="C2040" i="8"/>
  <c r="C2041" i="8"/>
  <c r="C2042" i="8"/>
  <c r="C2043" i="8"/>
  <c r="C2044" i="8"/>
  <c r="C2045" i="8"/>
  <c r="C2046" i="8"/>
  <c r="C2047" i="8"/>
  <c r="C2048" i="8"/>
  <c r="C2049" i="8"/>
  <c r="C2050" i="8"/>
  <c r="C2051" i="8"/>
  <c r="C2052" i="8"/>
  <c r="C2053" i="8"/>
  <c r="C2054" i="8"/>
  <c r="C2055" i="8"/>
  <c r="C2056" i="8"/>
  <c r="C2057" i="8"/>
  <c r="C2058" i="8"/>
  <c r="C2059" i="8"/>
  <c r="C2060" i="8"/>
  <c r="C2061" i="8"/>
  <c r="C2062" i="8"/>
  <c r="C2063" i="8"/>
  <c r="C2064" i="8"/>
  <c r="C2065" i="8"/>
  <c r="C2066" i="8"/>
  <c r="C2067" i="8"/>
  <c r="C2068" i="8"/>
  <c r="C2069" i="8"/>
  <c r="C2070" i="8"/>
  <c r="C2071" i="8"/>
  <c r="C2072" i="8"/>
  <c r="C2073" i="8"/>
  <c r="C2074" i="8"/>
  <c r="C2075" i="8"/>
  <c r="C2076" i="8"/>
  <c r="C2077" i="8"/>
  <c r="C2078" i="8"/>
  <c r="C2079" i="8"/>
  <c r="C2080" i="8"/>
  <c r="C2081" i="8"/>
  <c r="C2082" i="8"/>
  <c r="C2083" i="8"/>
  <c r="C2084" i="8"/>
  <c r="C2085" i="8"/>
  <c r="C2086" i="8"/>
  <c r="C2087" i="8"/>
  <c r="C2088" i="8"/>
  <c r="C2089" i="8"/>
  <c r="C2090" i="8"/>
  <c r="C2091" i="8"/>
  <c r="C2092" i="8"/>
  <c r="C2093" i="8"/>
  <c r="C2094" i="8"/>
  <c r="C2095" i="8"/>
  <c r="C2096" i="8"/>
  <c r="C2097" i="8"/>
  <c r="C2098" i="8"/>
  <c r="C2099" i="8"/>
  <c r="C2100" i="8"/>
  <c r="C2101" i="8"/>
  <c r="C2102" i="8"/>
  <c r="C2103" i="8"/>
  <c r="C2104" i="8"/>
  <c r="C2105" i="8"/>
  <c r="C2106" i="8"/>
  <c r="C2107" i="8"/>
  <c r="C2108" i="8"/>
  <c r="C2109" i="8"/>
  <c r="C2110" i="8"/>
  <c r="C2111" i="8"/>
  <c r="C2112" i="8"/>
  <c r="C2113" i="8"/>
  <c r="C2114" i="8"/>
  <c r="C2115" i="8"/>
  <c r="C2116" i="8"/>
  <c r="C2117" i="8"/>
  <c r="C2118" i="8"/>
  <c r="C2119" i="8"/>
  <c r="C2120" i="8"/>
  <c r="C2121" i="8"/>
  <c r="C2122" i="8"/>
  <c r="C2123" i="8"/>
  <c r="C2124" i="8"/>
  <c r="C2125" i="8"/>
  <c r="C2126" i="8"/>
  <c r="C2127" i="8"/>
  <c r="C2128" i="8"/>
  <c r="C2129" i="8"/>
  <c r="C2130" i="8"/>
  <c r="C2131" i="8"/>
  <c r="C65" i="8"/>
  <c r="C144" i="8"/>
  <c r="C733" i="8"/>
  <c r="C744" i="8"/>
  <c r="C749" i="8"/>
  <c r="C753" i="8"/>
  <c r="C755" i="8"/>
  <c r="C757" i="8"/>
  <c r="C762" i="8"/>
  <c r="C765" i="8"/>
  <c r="C773" i="8"/>
  <c r="C777" i="8"/>
  <c r="C785" i="8"/>
  <c r="C790" i="8"/>
  <c r="C792" i="8"/>
  <c r="C793" i="8"/>
  <c r="C795" i="8"/>
  <c r="C798" i="8"/>
  <c r="C801" i="8"/>
  <c r="C805" i="8"/>
  <c r="C809" i="8"/>
  <c r="C813" i="8"/>
  <c r="C817" i="8"/>
  <c r="C822" i="8"/>
  <c r="C828" i="8"/>
  <c r="C832" i="8"/>
  <c r="C840" i="8"/>
  <c r="C847" i="8"/>
  <c r="C850" i="8"/>
  <c r="C858" i="8"/>
  <c r="C868" i="8"/>
  <c r="C872" i="8"/>
  <c r="C889" i="8"/>
  <c r="C892" i="8"/>
  <c r="C895" i="8"/>
  <c r="C907" i="8"/>
  <c r="C911" i="8"/>
  <c r="C916" i="8"/>
  <c r="C924" i="8"/>
  <c r="C931" i="8"/>
  <c r="C936" i="8"/>
  <c r="C939" i="8"/>
  <c r="C943" i="8"/>
  <c r="C945" i="8"/>
  <c r="C949" i="8"/>
  <c r="C952" i="8"/>
  <c r="C956" i="8"/>
  <c r="C961" i="8"/>
  <c r="C965" i="8"/>
  <c r="C968" i="8"/>
  <c r="C972" i="8"/>
  <c r="C976" i="8"/>
  <c r="C982" i="8"/>
  <c r="C985" i="8"/>
  <c r="C989" i="8"/>
  <c r="C991" i="8"/>
  <c r="C994" i="8"/>
  <c r="C997" i="8"/>
  <c r="C1001" i="8"/>
  <c r="C1003" i="8"/>
  <c r="C1008" i="8"/>
  <c r="C1010" i="8"/>
  <c r="C1012" i="8"/>
  <c r="C1014" i="8"/>
  <c r="C1016" i="8"/>
  <c r="C1017" i="8"/>
  <c r="C1020" i="8"/>
  <c r="C1022" i="8"/>
  <c r="C1024" i="8"/>
  <c r="C1025" i="8"/>
  <c r="C1027" i="8"/>
  <c r="C1029" i="8"/>
  <c r="C1031" i="8"/>
  <c r="C1032" i="8"/>
  <c r="C1034" i="8"/>
  <c r="C1036" i="8"/>
  <c r="C1038" i="8"/>
  <c r="C1040" i="8"/>
  <c r="C1042" i="8"/>
  <c r="C1045" i="8"/>
  <c r="C1218" i="8"/>
  <c r="C1220" i="8"/>
  <c r="C1223" i="8"/>
  <c r="C1225" i="8"/>
  <c r="C1227" i="8"/>
  <c r="C1229" i="8"/>
  <c r="C1296" i="8"/>
  <c r="C106" i="8"/>
  <c r="C524" i="8"/>
  <c r="C530" i="8"/>
  <c r="C533" i="8"/>
  <c r="C534" i="8"/>
  <c r="C536" i="8"/>
  <c r="C538" i="8"/>
  <c r="C539" i="8"/>
  <c r="C541" i="8"/>
  <c r="C542" i="8"/>
  <c r="C544" i="8"/>
  <c r="C546" i="8"/>
  <c r="C547" i="8"/>
  <c r="C549" i="8"/>
  <c r="C551" i="8"/>
  <c r="C553" i="8"/>
  <c r="C555" i="8"/>
  <c r="C557" i="8"/>
  <c r="C559" i="8"/>
  <c r="C561" i="8"/>
  <c r="C562" i="8"/>
  <c r="C564" i="8"/>
  <c r="C566" i="8"/>
  <c r="C567" i="8"/>
  <c r="C569" i="8"/>
  <c r="C571" i="8"/>
  <c r="C572" i="8"/>
  <c r="C574" i="8"/>
  <c r="C576" i="8"/>
  <c r="C577" i="8"/>
  <c r="C579" i="8"/>
  <c r="C581" i="8"/>
  <c r="C583" i="8"/>
  <c r="C585" i="8"/>
  <c r="C587" i="8"/>
  <c r="C589" i="8"/>
  <c r="C591" i="8"/>
  <c r="C593" i="8"/>
  <c r="C595" i="8"/>
  <c r="C598" i="8"/>
  <c r="C602" i="8"/>
  <c r="C608" i="8"/>
  <c r="C706" i="8"/>
  <c r="C710" i="8"/>
  <c r="C713" i="8"/>
  <c r="C718" i="8"/>
  <c r="C723" i="8"/>
  <c r="C729" i="8"/>
  <c r="C735" i="8"/>
  <c r="C738" i="8"/>
  <c r="C743" i="8"/>
  <c r="C747" i="8"/>
  <c r="C750" i="8"/>
  <c r="C759" i="8"/>
  <c r="C763" i="8"/>
  <c r="C774" i="8"/>
  <c r="C779" i="8"/>
  <c r="C781" i="8"/>
  <c r="C788" i="8"/>
  <c r="C797" i="8"/>
  <c r="C804" i="8"/>
  <c r="C810" i="8"/>
  <c r="C815" i="8"/>
  <c r="C819" i="8"/>
  <c r="C823" i="8"/>
  <c r="C826" i="8"/>
  <c r="C831" i="8"/>
  <c r="C835" i="8"/>
  <c r="C841" i="8"/>
  <c r="C845" i="8"/>
  <c r="C851" i="8"/>
  <c r="C855" i="8"/>
  <c r="C859" i="8"/>
  <c r="C861" i="8"/>
  <c r="C866" i="8"/>
  <c r="C871" i="8"/>
  <c r="C875" i="8"/>
  <c r="C879" i="8"/>
  <c r="C884" i="8"/>
  <c r="C887" i="8"/>
  <c r="C900" i="8"/>
  <c r="C905" i="8"/>
  <c r="C919" i="8"/>
  <c r="C923" i="8"/>
  <c r="C928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448" i="8"/>
  <c r="C450" i="8"/>
  <c r="C453" i="8"/>
  <c r="C455" i="8"/>
  <c r="C586" i="8"/>
  <c r="C592" i="8"/>
  <c r="C596" i="8"/>
  <c r="C597" i="8"/>
  <c r="C600" i="8"/>
  <c r="C603" i="8"/>
  <c r="C604" i="8"/>
  <c r="C606" i="8"/>
  <c r="C705" i="8"/>
  <c r="C708" i="8"/>
  <c r="C711" i="8"/>
  <c r="C714" i="8"/>
  <c r="C719" i="8"/>
  <c r="C722" i="8"/>
  <c r="C725" i="8"/>
  <c r="C730" i="8"/>
  <c r="C732" i="8"/>
  <c r="C867" i="8"/>
  <c r="C873" i="8"/>
  <c r="C876" i="8"/>
  <c r="C880" i="8"/>
  <c r="C886" i="8"/>
  <c r="C893" i="8"/>
  <c r="C898" i="8"/>
  <c r="C901" i="8"/>
  <c r="C904" i="8"/>
  <c r="D23" i="9"/>
  <c r="C28" i="9"/>
  <c r="C27" i="9"/>
  <c r="C29" i="9" s="1"/>
  <c r="C4" i="8" s="1"/>
  <c r="B17" i="10"/>
  <c r="B5" i="10"/>
  <c r="D176" i="6"/>
  <c r="B9" i="8"/>
  <c r="B13" i="10" s="1"/>
  <c r="L15" i="11"/>
  <c r="E23" i="11"/>
  <c r="D23" i="11"/>
  <c r="E17" i="11"/>
  <c r="F17" i="11" s="1"/>
  <c r="I17" i="11" s="1"/>
  <c r="J17" i="11" s="1"/>
  <c r="K17" i="11" s="1"/>
  <c r="L17" i="11" s="1"/>
  <c r="M17" i="11" s="1"/>
  <c r="F23" i="11"/>
  <c r="G13" i="6"/>
  <c r="G14" i="6" s="1"/>
  <c r="C122" i="6" s="1"/>
  <c r="O41" i="6"/>
  <c r="O42" i="6" s="1"/>
  <c r="C128" i="6" s="1"/>
  <c r="G71" i="6"/>
  <c r="G72" i="6" s="1"/>
  <c r="C134" i="6" s="1"/>
  <c r="G85" i="6"/>
  <c r="G86" i="6" s="1"/>
  <c r="C138" i="6" s="1"/>
  <c r="K71" i="6"/>
  <c r="K72" i="6" s="1"/>
  <c r="C135" i="6" s="1"/>
  <c r="K85" i="6"/>
  <c r="K86" i="6" s="1"/>
  <c r="C139" i="6" s="1"/>
  <c r="C27" i="6"/>
  <c r="C28" i="6" s="1"/>
  <c r="C121" i="6" s="1"/>
  <c r="K41" i="6"/>
  <c r="K42" i="6" s="1"/>
  <c r="C131" i="6" s="1"/>
  <c r="K27" i="6"/>
  <c r="K28" i="6" s="1"/>
  <c r="C126" i="6" s="1"/>
  <c r="C99" i="6"/>
  <c r="C100" i="6" s="1"/>
  <c r="C141" i="6" s="1"/>
  <c r="K13" i="6"/>
  <c r="K14" i="6" s="1"/>
  <c r="C124" i="6" s="1"/>
  <c r="G41" i="6"/>
  <c r="G42" i="6" s="1"/>
  <c r="C130" i="6" s="1"/>
  <c r="C113" i="6"/>
  <c r="C114" i="6" s="1"/>
  <c r="C142" i="6" s="1"/>
  <c r="K113" i="6"/>
  <c r="K114" i="6" s="1"/>
  <c r="C144" i="6" s="1"/>
  <c r="G27" i="6"/>
  <c r="G28" i="6" s="1"/>
  <c r="C123" i="6" s="1"/>
  <c r="O13" i="6"/>
  <c r="O14" i="6" s="1"/>
  <c r="C125" i="6" s="1"/>
  <c r="C55" i="6"/>
  <c r="C56" i="6" s="1"/>
  <c r="C132" i="6" s="1"/>
  <c r="O71" i="6"/>
  <c r="O72" i="6" s="1"/>
  <c r="C136" i="6" s="1"/>
  <c r="O85" i="6"/>
  <c r="O86" i="6" s="1"/>
  <c r="C140" i="6" s="1"/>
  <c r="G113" i="6"/>
  <c r="G114" i="6" s="1"/>
  <c r="C143" i="6" s="1"/>
  <c r="C14" i="6"/>
  <c r="C120" i="6" s="1"/>
  <c r="O27" i="6"/>
  <c r="O28" i="6" s="1"/>
  <c r="C71" i="6"/>
  <c r="C72" i="6" s="1"/>
  <c r="C133" i="6" s="1"/>
  <c r="C85" i="6"/>
  <c r="C86" i="6" s="1"/>
  <c r="C137" i="6" s="1"/>
  <c r="C41" i="6"/>
  <c r="C42" i="6" s="1"/>
  <c r="C129" i="6" s="1"/>
  <c r="D84" i="4"/>
  <c r="D85" i="4" s="1"/>
  <c r="D25" i="4"/>
  <c r="D26" i="4" s="1"/>
  <c r="D64" i="4"/>
  <c r="D65" i="4" s="1"/>
  <c r="F71" i="4"/>
  <c r="G71" i="4" s="1"/>
  <c r="E46" i="4"/>
  <c r="E47" i="4" s="1"/>
  <c r="F30" i="4"/>
  <c r="F46" i="4" s="1"/>
  <c r="F47" i="4" s="1"/>
  <c r="E11" i="4"/>
  <c r="E53" i="4"/>
  <c r="E78" i="4"/>
  <c r="F78" i="4" s="1"/>
  <c r="G78" i="4" s="1"/>
  <c r="H78" i="4" s="1"/>
  <c r="I78" i="4" s="1"/>
  <c r="J78" i="4" s="1"/>
  <c r="K78" i="4" s="1"/>
  <c r="L78" i="4" s="1"/>
  <c r="M78" i="4" s="1"/>
  <c r="D46" i="4"/>
  <c r="D47" i="4" s="1"/>
  <c r="G21" i="4"/>
  <c r="H21" i="4" s="1"/>
  <c r="I21" i="4" s="1"/>
  <c r="J21" i="4" s="1"/>
  <c r="K21" i="4" s="1"/>
  <c r="L21" i="4" s="1"/>
  <c r="M21" i="4" s="1"/>
  <c r="L2" i="2"/>
  <c r="K2" i="2"/>
  <c r="E2" i="2"/>
  <c r="I2" i="2"/>
  <c r="F2" i="2"/>
  <c r="H2" i="2"/>
  <c r="E37" i="2"/>
  <c r="G36" i="2"/>
  <c r="F4" i="2"/>
  <c r="F5" i="2" s="1"/>
  <c r="F12" i="2" s="1"/>
  <c r="F13" i="2" s="1"/>
  <c r="F18" i="2" s="1"/>
  <c r="E5" i="2"/>
  <c r="E12" i="2" s="1"/>
  <c r="E13" i="2" s="1"/>
  <c r="E18" i="2" s="1"/>
  <c r="B153" i="6" l="1"/>
  <c r="C153" i="6" s="1"/>
  <c r="C10" i="9"/>
  <c r="C19" i="10"/>
  <c r="D206" i="6"/>
  <c r="B12" i="8"/>
  <c r="B16" i="10" s="1"/>
  <c r="B8" i="9"/>
  <c r="B151" i="6"/>
  <c r="B59" i="8" s="1"/>
  <c r="B60" i="8" s="1"/>
  <c r="D28" i="9"/>
  <c r="D29" i="9" s="1"/>
  <c r="D4" i="8" s="1"/>
  <c r="E23" i="9"/>
  <c r="C6" i="8"/>
  <c r="C13" i="8" s="1"/>
  <c r="C17" i="10" s="1"/>
  <c r="C5" i="10"/>
  <c r="C13" i="10"/>
  <c r="C5" i="9"/>
  <c r="E176" i="6"/>
  <c r="D178" i="6"/>
  <c r="J23" i="11"/>
  <c r="K23" i="11"/>
  <c r="G23" i="11"/>
  <c r="M15" i="11"/>
  <c r="M23" i="11" s="1"/>
  <c r="L23" i="11"/>
  <c r="H23" i="11"/>
  <c r="I23" i="11"/>
  <c r="B154" i="6"/>
  <c r="C127" i="6"/>
  <c r="B152" i="6" s="1"/>
  <c r="G30" i="4"/>
  <c r="F53" i="4"/>
  <c r="E64" i="4"/>
  <c r="E65" i="4" s="1"/>
  <c r="E25" i="4"/>
  <c r="F11" i="4"/>
  <c r="E84" i="4"/>
  <c r="E85" i="4" s="1"/>
  <c r="F84" i="4"/>
  <c r="F85" i="4" s="1"/>
  <c r="G46" i="4"/>
  <c r="G47" i="4" s="1"/>
  <c r="H30" i="4"/>
  <c r="G84" i="4"/>
  <c r="G85" i="4" s="1"/>
  <c r="H71" i="4"/>
  <c r="G4" i="2"/>
  <c r="G5" i="2" s="1"/>
  <c r="G12" i="2" s="1"/>
  <c r="G13" i="2" s="1"/>
  <c r="G18" i="2" s="1"/>
  <c r="H36" i="2"/>
  <c r="D10" i="9" l="1"/>
  <c r="D19" i="10"/>
  <c r="E206" i="6"/>
  <c r="C154" i="6"/>
  <c r="B18" i="10"/>
  <c r="B21" i="8"/>
  <c r="B28" i="8" s="1"/>
  <c r="B9" i="9"/>
  <c r="C145" i="6"/>
  <c r="B213" i="6" s="1"/>
  <c r="B215" i="6" s="1"/>
  <c r="B1" i="7" s="1"/>
  <c r="B6" i="10" s="1"/>
  <c r="D6" i="8"/>
  <c r="D13" i="8" s="1"/>
  <c r="D17" i="10" s="1"/>
  <c r="D5" i="10"/>
  <c r="E28" i="9"/>
  <c r="E29" i="9" s="1"/>
  <c r="E4" i="8" s="1"/>
  <c r="F23" i="9"/>
  <c r="D153" i="6"/>
  <c r="C12" i="8"/>
  <c r="C16" i="10" s="1"/>
  <c r="C8" i="9"/>
  <c r="E178" i="6"/>
  <c r="F176" i="6"/>
  <c r="D9" i="8"/>
  <c r="D13" i="10" s="1"/>
  <c r="D5" i="9"/>
  <c r="C151" i="6"/>
  <c r="B10" i="8"/>
  <c r="B6" i="9"/>
  <c r="G11" i="4"/>
  <c r="F25" i="4"/>
  <c r="E26" i="4"/>
  <c r="F64" i="4"/>
  <c r="F65" i="4" s="1"/>
  <c r="G53" i="4"/>
  <c r="H84" i="4"/>
  <c r="H85" i="4" s="1"/>
  <c r="I71" i="4"/>
  <c r="H46" i="4"/>
  <c r="H47" i="4" s="1"/>
  <c r="I30" i="4"/>
  <c r="H4" i="2"/>
  <c r="H5" i="2" s="1"/>
  <c r="H12" i="2" s="1"/>
  <c r="H13" i="2" s="1"/>
  <c r="H18" i="2" s="1"/>
  <c r="I36" i="2"/>
  <c r="E10" i="9" l="1"/>
  <c r="E19" i="10"/>
  <c r="F206" i="6"/>
  <c r="C21" i="8"/>
  <c r="C28" i="8" s="1"/>
  <c r="C18" i="10"/>
  <c r="C9" i="9"/>
  <c r="D154" i="6"/>
  <c r="C152" i="6"/>
  <c r="B52" i="8"/>
  <c r="B7" i="9"/>
  <c r="B11" i="9" s="1"/>
  <c r="B11" i="8"/>
  <c r="E6" i="8"/>
  <c r="E13" i="8" s="1"/>
  <c r="E17" i="10" s="1"/>
  <c r="E5" i="10"/>
  <c r="F28" i="9"/>
  <c r="F29" i="9" s="1"/>
  <c r="F4" i="8" s="1"/>
  <c r="G23" i="9"/>
  <c r="D12" i="8"/>
  <c r="D16" i="10" s="1"/>
  <c r="D8" i="9"/>
  <c r="E153" i="6"/>
  <c r="E9" i="8"/>
  <c r="E13" i="10" s="1"/>
  <c r="E5" i="9"/>
  <c r="F178" i="6"/>
  <c r="G176" i="6"/>
  <c r="B14" i="10"/>
  <c r="D151" i="6"/>
  <c r="E151" i="6" s="1"/>
  <c r="C6" i="9"/>
  <c r="C10" i="8"/>
  <c r="B7" i="7"/>
  <c r="B6" i="7"/>
  <c r="B5" i="7" s="1"/>
  <c r="G64" i="4"/>
  <c r="G65" i="4" s="1"/>
  <c r="H53" i="4"/>
  <c r="F26" i="4"/>
  <c r="H11" i="4"/>
  <c r="G25" i="4"/>
  <c r="I46" i="4"/>
  <c r="I47" i="4" s="1"/>
  <c r="J30" i="4"/>
  <c r="I84" i="4"/>
  <c r="I85" i="4" s="1"/>
  <c r="J71" i="4"/>
  <c r="I4" i="2"/>
  <c r="I5" i="2" s="1"/>
  <c r="I12" i="2" s="1"/>
  <c r="I13" i="2" s="1"/>
  <c r="I18" i="2" s="1"/>
  <c r="J36" i="2"/>
  <c r="B19" i="9" l="1"/>
  <c r="B20" i="9"/>
  <c r="B21" i="9"/>
  <c r="F10" i="9"/>
  <c r="F19" i="10"/>
  <c r="G206" i="6"/>
  <c r="D9" i="9"/>
  <c r="D18" i="10"/>
  <c r="D21" i="8"/>
  <c r="D28" i="8" s="1"/>
  <c r="E154" i="6"/>
  <c r="C7" i="9"/>
  <c r="C11" i="9" s="1"/>
  <c r="C19" i="9" s="1"/>
  <c r="C11" i="8"/>
  <c r="D152" i="6"/>
  <c r="B15" i="10"/>
  <c r="B17" i="8"/>
  <c r="B19" i="8" s="1"/>
  <c r="B30" i="8" s="1"/>
  <c r="F6" i="8"/>
  <c r="F13" i="8" s="1"/>
  <c r="F17" i="10" s="1"/>
  <c r="F5" i="10"/>
  <c r="G28" i="9"/>
  <c r="G29" i="9" s="1"/>
  <c r="G4" i="8" s="1"/>
  <c r="H23" i="9"/>
  <c r="E8" i="9"/>
  <c r="E12" i="8"/>
  <c r="E16" i="10" s="1"/>
  <c r="F153" i="6"/>
  <c r="F5" i="9"/>
  <c r="F9" i="8"/>
  <c r="F13" i="10" s="1"/>
  <c r="G178" i="6"/>
  <c r="H176" i="6"/>
  <c r="D10" i="8"/>
  <c r="D6" i="9"/>
  <c r="C14" i="10"/>
  <c r="C6" i="7"/>
  <c r="B8" i="7"/>
  <c r="C5" i="7"/>
  <c r="C7" i="7"/>
  <c r="I11" i="4"/>
  <c r="H25" i="4"/>
  <c r="I53" i="4"/>
  <c r="H64" i="4"/>
  <c r="H65" i="4" s="1"/>
  <c r="G26" i="4"/>
  <c r="J46" i="4"/>
  <c r="J47" i="4" s="1"/>
  <c r="K30" i="4"/>
  <c r="J84" i="4"/>
  <c r="J85" i="4" s="1"/>
  <c r="K71" i="4"/>
  <c r="J4" i="2"/>
  <c r="J5" i="2" s="1"/>
  <c r="J12" i="2" s="1"/>
  <c r="J13" i="2" s="1"/>
  <c r="J18" i="2" s="1"/>
  <c r="K36" i="2"/>
  <c r="G10" i="9" l="1"/>
  <c r="G19" i="10"/>
  <c r="H206" i="6"/>
  <c r="E21" i="8"/>
  <c r="E28" i="8" s="1"/>
  <c r="E9" i="9"/>
  <c r="E18" i="10"/>
  <c r="F154" i="6"/>
  <c r="D7" i="9"/>
  <c r="D11" i="9" s="1"/>
  <c r="D11" i="8"/>
  <c r="E152" i="6"/>
  <c r="C21" i="9"/>
  <c r="C20" i="9"/>
  <c r="C15" i="10"/>
  <c r="C17" i="8"/>
  <c r="C19" i="8" s="1"/>
  <c r="C30" i="8" s="1"/>
  <c r="G6" i="8"/>
  <c r="G13" i="8" s="1"/>
  <c r="G17" i="10" s="1"/>
  <c r="G5" i="10"/>
  <c r="H28" i="9"/>
  <c r="H29" i="9" s="1"/>
  <c r="H4" i="8" s="1"/>
  <c r="I23" i="9"/>
  <c r="F8" i="9"/>
  <c r="F12" i="8"/>
  <c r="F16" i="10" s="1"/>
  <c r="G153" i="6"/>
  <c r="G9" i="8"/>
  <c r="G13" i="10" s="1"/>
  <c r="G5" i="9"/>
  <c r="H178" i="6"/>
  <c r="I176" i="6"/>
  <c r="F151" i="6"/>
  <c r="E10" i="8"/>
  <c r="E6" i="9"/>
  <c r="D14" i="10"/>
  <c r="D7" i="7"/>
  <c r="D5" i="7"/>
  <c r="D6" i="7"/>
  <c r="C8" i="7"/>
  <c r="K84" i="4"/>
  <c r="K85" i="4" s="1"/>
  <c r="L71" i="4"/>
  <c r="K46" i="4"/>
  <c r="K47" i="4" s="1"/>
  <c r="L30" i="4"/>
  <c r="I25" i="4"/>
  <c r="J11" i="4"/>
  <c r="H26" i="4"/>
  <c r="J53" i="4"/>
  <c r="I64" i="4"/>
  <c r="I65" i="4" s="1"/>
  <c r="K4" i="2"/>
  <c r="K5" i="2" s="1"/>
  <c r="K12" i="2" s="1"/>
  <c r="K13" i="2" s="1"/>
  <c r="K18" i="2" s="1"/>
  <c r="L36" i="2"/>
  <c r="D19" i="9" l="1"/>
  <c r="D20" i="9"/>
  <c r="D21" i="9"/>
  <c r="D15" i="10"/>
  <c r="D17" i="8"/>
  <c r="D19" i="8" s="1"/>
  <c r="D30" i="8" s="1"/>
  <c r="H10" i="9"/>
  <c r="H19" i="10"/>
  <c r="I206" i="6"/>
  <c r="F9" i="9"/>
  <c r="F21" i="8"/>
  <c r="F28" i="8" s="1"/>
  <c r="F18" i="10"/>
  <c r="G154" i="6"/>
  <c r="E11" i="8"/>
  <c r="F152" i="6"/>
  <c r="E7" i="9"/>
  <c r="E11" i="9" s="1"/>
  <c r="H5" i="10"/>
  <c r="H6" i="8"/>
  <c r="H13" i="8" s="1"/>
  <c r="H17" i="10" s="1"/>
  <c r="I28" i="9"/>
  <c r="I29" i="9" s="1"/>
  <c r="I4" i="8" s="1"/>
  <c r="J23" i="9"/>
  <c r="G8" i="9"/>
  <c r="G12" i="8"/>
  <c r="G16" i="10" s="1"/>
  <c r="H153" i="6"/>
  <c r="H5" i="9"/>
  <c r="H9" i="8"/>
  <c r="H13" i="10" s="1"/>
  <c r="I178" i="6"/>
  <c r="J176" i="6"/>
  <c r="G151" i="6"/>
  <c r="F10" i="8"/>
  <c r="F6" i="9"/>
  <c r="E14" i="10"/>
  <c r="E6" i="7"/>
  <c r="F6" i="7" s="1"/>
  <c r="G6" i="7" s="1"/>
  <c r="D8" i="7"/>
  <c r="E5" i="7"/>
  <c r="E7" i="7"/>
  <c r="M71" i="4"/>
  <c r="M84" i="4" s="1"/>
  <c r="M85" i="4" s="1"/>
  <c r="L84" i="4"/>
  <c r="L85" i="4" s="1"/>
  <c r="L46" i="4"/>
  <c r="L47" i="4" s="1"/>
  <c r="M30" i="4"/>
  <c r="M46" i="4" s="1"/>
  <c r="M47" i="4" s="1"/>
  <c r="I26" i="4"/>
  <c r="K11" i="4"/>
  <c r="J25" i="4"/>
  <c r="K53" i="4"/>
  <c r="J64" i="4"/>
  <c r="J65" i="4" s="1"/>
  <c r="L4" i="2"/>
  <c r="L5" i="2" s="1"/>
  <c r="L12" i="2" s="1"/>
  <c r="L13" i="2" s="1"/>
  <c r="L18" i="2" s="1"/>
  <c r="M36" i="2"/>
  <c r="I10" i="9" l="1"/>
  <c r="I19" i="10"/>
  <c r="J206" i="6"/>
  <c r="G9" i="9"/>
  <c r="G21" i="8"/>
  <c r="G28" i="8" s="1"/>
  <c r="G18" i="10"/>
  <c r="H154" i="6"/>
  <c r="G152" i="6"/>
  <c r="F7" i="9"/>
  <c r="F11" i="9" s="1"/>
  <c r="F21" i="9" s="1"/>
  <c r="F11" i="8"/>
  <c r="E15" i="10"/>
  <c r="E17" i="8"/>
  <c r="E19" i="8" s="1"/>
  <c r="E30" i="8" s="1"/>
  <c r="E20" i="9"/>
  <c r="E19" i="9"/>
  <c r="E21" i="9"/>
  <c r="I5" i="10"/>
  <c r="I6" i="8"/>
  <c r="I13" i="8" s="1"/>
  <c r="I17" i="10" s="1"/>
  <c r="J28" i="9"/>
  <c r="J29" i="9" s="1"/>
  <c r="J4" i="8" s="1"/>
  <c r="K23" i="9"/>
  <c r="H8" i="9"/>
  <c r="H12" i="8"/>
  <c r="H16" i="10" s="1"/>
  <c r="I153" i="6"/>
  <c r="I5" i="9"/>
  <c r="I9" i="8"/>
  <c r="I13" i="10" s="1"/>
  <c r="J178" i="6"/>
  <c r="K176" i="6"/>
  <c r="F14" i="10"/>
  <c r="H151" i="6"/>
  <c r="G10" i="8"/>
  <c r="G6" i="9"/>
  <c r="F7" i="7"/>
  <c r="F8" i="7" s="1"/>
  <c r="F5" i="7"/>
  <c r="E8" i="7"/>
  <c r="H6" i="7"/>
  <c r="K64" i="4"/>
  <c r="K65" i="4" s="1"/>
  <c r="L53" i="4"/>
  <c r="J26" i="4"/>
  <c r="L11" i="4"/>
  <c r="K25" i="4"/>
  <c r="K26" i="4" s="1"/>
  <c r="M4" i="2"/>
  <c r="M5" i="2" s="1"/>
  <c r="M12" i="2" s="1"/>
  <c r="M13" i="2" s="1"/>
  <c r="M18" i="2" s="1"/>
  <c r="N36" i="2"/>
  <c r="F15" i="10" l="1"/>
  <c r="F17" i="8"/>
  <c r="F19" i="8" s="1"/>
  <c r="F30" i="8" s="1"/>
  <c r="J10" i="9"/>
  <c r="J19" i="10"/>
  <c r="K206" i="6"/>
  <c r="H21" i="8"/>
  <c r="H28" i="8" s="1"/>
  <c r="H9" i="9"/>
  <c r="H18" i="10"/>
  <c r="I154" i="6"/>
  <c r="H152" i="6"/>
  <c r="G11" i="8"/>
  <c r="G7" i="9"/>
  <c r="G11" i="9" s="1"/>
  <c r="F20" i="9"/>
  <c r="F19" i="9"/>
  <c r="J5" i="10"/>
  <c r="J6" i="8"/>
  <c r="J13" i="8" s="1"/>
  <c r="J17" i="10" s="1"/>
  <c r="K28" i="9"/>
  <c r="K29" i="9" s="1"/>
  <c r="K4" i="8" s="1"/>
  <c r="L23" i="9"/>
  <c r="L28" i="9" s="1"/>
  <c r="L29" i="9" s="1"/>
  <c r="L4" i="8" s="1"/>
  <c r="I8" i="9"/>
  <c r="I12" i="8"/>
  <c r="I16" i="10" s="1"/>
  <c r="J153" i="6"/>
  <c r="J5" i="9"/>
  <c r="J9" i="8"/>
  <c r="J13" i="10" s="1"/>
  <c r="K178" i="6"/>
  <c r="L176" i="6"/>
  <c r="L178" i="6" s="1"/>
  <c r="I151" i="6"/>
  <c r="H10" i="8"/>
  <c r="H6" i="9"/>
  <c r="G14" i="10"/>
  <c r="I6" i="7"/>
  <c r="J6" i="7" s="1"/>
  <c r="K6" i="7" s="1"/>
  <c r="G7" i="7"/>
  <c r="G8" i="7" s="1"/>
  <c r="G5" i="7"/>
  <c r="L64" i="4"/>
  <c r="L65" i="4" s="1"/>
  <c r="M53" i="4"/>
  <c r="M64" i="4" s="1"/>
  <c r="M65" i="4" s="1"/>
  <c r="M11" i="4"/>
  <c r="M25" i="4" s="1"/>
  <c r="M26" i="4" s="1"/>
  <c r="L25" i="4"/>
  <c r="L26" i="4" s="1"/>
  <c r="O36" i="2"/>
  <c r="O4" i="2" s="1"/>
  <c r="O5" i="2" s="1"/>
  <c r="O12" i="2" s="1"/>
  <c r="O13" i="2" s="1"/>
  <c r="O18" i="2" s="1"/>
  <c r="N4" i="2"/>
  <c r="N5" i="2" s="1"/>
  <c r="N12" i="2" s="1"/>
  <c r="N13" i="2" s="1"/>
  <c r="N18" i="2" s="1"/>
  <c r="G15" i="10" l="1"/>
  <c r="G17" i="8"/>
  <c r="G19" i="8" s="1"/>
  <c r="G30" i="8" s="1"/>
  <c r="G36" i="8" s="1"/>
  <c r="G38" i="8" s="1"/>
  <c r="G28" i="10" s="1"/>
  <c r="K10" i="9"/>
  <c r="K19" i="10"/>
  <c r="L206" i="6"/>
  <c r="I21" i="8"/>
  <c r="I28" i="8" s="1"/>
  <c r="I9" i="9"/>
  <c r="I18" i="10"/>
  <c r="J154" i="6"/>
  <c r="H7" i="9"/>
  <c r="H11" i="9" s="1"/>
  <c r="I152" i="6"/>
  <c r="H11" i="8"/>
  <c r="G16" i="9"/>
  <c r="G21" i="9"/>
  <c r="G20" i="9"/>
  <c r="G19" i="9"/>
  <c r="K5" i="10"/>
  <c r="K6" i="8"/>
  <c r="K13" i="8" s="1"/>
  <c r="K17" i="10" s="1"/>
  <c r="L6" i="8"/>
  <c r="L13" i="8" s="1"/>
  <c r="L17" i="10" s="1"/>
  <c r="L5" i="10"/>
  <c r="J8" i="9"/>
  <c r="J12" i="8"/>
  <c r="J16" i="10" s="1"/>
  <c r="K153" i="6"/>
  <c r="K5" i="9"/>
  <c r="K9" i="8"/>
  <c r="K13" i="10" s="1"/>
  <c r="L9" i="8"/>
  <c r="L13" i="10" s="1"/>
  <c r="L5" i="9"/>
  <c r="H14" i="10"/>
  <c r="J151" i="6"/>
  <c r="I6" i="9"/>
  <c r="I10" i="8"/>
  <c r="H7" i="7"/>
  <c r="H8" i="7" s="1"/>
  <c r="H5" i="7"/>
  <c r="L6" i="7"/>
  <c r="L10" i="9" l="1"/>
  <c r="L19" i="10"/>
  <c r="J21" i="8"/>
  <c r="J28" i="8" s="1"/>
  <c r="J18" i="10"/>
  <c r="J9" i="9"/>
  <c r="K154" i="6"/>
  <c r="J152" i="6"/>
  <c r="I7" i="9"/>
  <c r="I11" i="9" s="1"/>
  <c r="I11" i="8"/>
  <c r="H16" i="9"/>
  <c r="H21" i="9"/>
  <c r="H20" i="9"/>
  <c r="H19" i="9"/>
  <c r="H15" i="10"/>
  <c r="H17" i="8"/>
  <c r="H19" i="8" s="1"/>
  <c r="H30" i="8" s="1"/>
  <c r="H36" i="8" s="1"/>
  <c r="K12" i="8"/>
  <c r="K16" i="10" s="1"/>
  <c r="K8" i="9"/>
  <c r="L153" i="6"/>
  <c r="G40" i="8"/>
  <c r="H49" i="11" s="1"/>
  <c r="I14" i="10"/>
  <c r="K151" i="6"/>
  <c r="J6" i="9"/>
  <c r="J10" i="8"/>
  <c r="I7" i="7"/>
  <c r="I8" i="7" s="1"/>
  <c r="I5" i="7"/>
  <c r="M6" i="7"/>
  <c r="I16" i="9" l="1"/>
  <c r="I21" i="9"/>
  <c r="I19" i="9"/>
  <c r="I20" i="9"/>
  <c r="I15" i="10"/>
  <c r="I17" i="8"/>
  <c r="I19" i="8" s="1"/>
  <c r="I30" i="8" s="1"/>
  <c r="I36" i="8" s="1"/>
  <c r="I38" i="8" s="1"/>
  <c r="I28" i="10" s="1"/>
  <c r="K21" i="8"/>
  <c r="K28" i="8" s="1"/>
  <c r="K18" i="10"/>
  <c r="K9" i="9"/>
  <c r="L154" i="6"/>
  <c r="J7" i="9"/>
  <c r="J11" i="9" s="1"/>
  <c r="J11" i="8"/>
  <c r="K152" i="6"/>
  <c r="H38" i="8"/>
  <c r="L12" i="8"/>
  <c r="L16" i="10" s="1"/>
  <c r="L8" i="9"/>
  <c r="G26" i="12"/>
  <c r="L151" i="6"/>
  <c r="K6" i="9"/>
  <c r="K10" i="8"/>
  <c r="J14" i="10"/>
  <c r="J5" i="7"/>
  <c r="J7" i="7"/>
  <c r="J8" i="7" s="1"/>
  <c r="B12" i="7"/>
  <c r="N6" i="7"/>
  <c r="B219" i="6" s="1"/>
  <c r="H28" i="10" l="1"/>
  <c r="H40" i="8"/>
  <c r="L21" i="8"/>
  <c r="L28" i="8" s="1"/>
  <c r="L18" i="10"/>
  <c r="L9" i="9"/>
  <c r="L152" i="6"/>
  <c r="K11" i="8"/>
  <c r="K7" i="9"/>
  <c r="K11" i="9" s="1"/>
  <c r="J16" i="9"/>
  <c r="J19" i="9"/>
  <c r="J21" i="9"/>
  <c r="J20" i="9"/>
  <c r="J15" i="10"/>
  <c r="J17" i="8"/>
  <c r="J19" i="8" s="1"/>
  <c r="J30" i="8" s="1"/>
  <c r="J36" i="8" s="1"/>
  <c r="I40" i="8"/>
  <c r="J49" i="11" s="1"/>
  <c r="B13" i="9"/>
  <c r="B33" i="8"/>
  <c r="B26" i="10" s="1"/>
  <c r="K14" i="10"/>
  <c r="L6" i="9"/>
  <c r="L10" i="8"/>
  <c r="K5" i="7"/>
  <c r="K7" i="7"/>
  <c r="K8" i="7" s="1"/>
  <c r="B18" i="7"/>
  <c r="C12" i="7"/>
  <c r="I49" i="11" l="1"/>
  <c r="H26" i="12"/>
  <c r="J38" i="8"/>
  <c r="L7" i="9"/>
  <c r="L11" i="9" s="1"/>
  <c r="L11" i="8"/>
  <c r="K15" i="10"/>
  <c r="K17" i="8"/>
  <c r="K19" i="8" s="1"/>
  <c r="K30" i="8" s="1"/>
  <c r="K36" i="8" s="1"/>
  <c r="K16" i="9"/>
  <c r="K19" i="9"/>
  <c r="K21" i="9"/>
  <c r="K20" i="9"/>
  <c r="I26" i="12"/>
  <c r="L14" i="10"/>
  <c r="L7" i="7"/>
  <c r="L8" i="7" s="1"/>
  <c r="L5" i="7"/>
  <c r="D12" i="7"/>
  <c r="C18" i="7"/>
  <c r="B30" i="7"/>
  <c r="B24" i="7"/>
  <c r="I50" i="11" l="1"/>
  <c r="J50" i="11"/>
  <c r="J28" i="10"/>
  <c r="J40" i="8"/>
  <c r="L19" i="9"/>
  <c r="L21" i="9"/>
  <c r="L16" i="9"/>
  <c r="L20" i="9"/>
  <c r="L15" i="10"/>
  <c r="L17" i="8"/>
  <c r="L19" i="8" s="1"/>
  <c r="L30" i="8" s="1"/>
  <c r="L36" i="8" s="1"/>
  <c r="L38" i="8" s="1"/>
  <c r="L28" i="10" s="1"/>
  <c r="K38" i="8"/>
  <c r="M5" i="7"/>
  <c r="M7" i="7"/>
  <c r="C24" i="7"/>
  <c r="D18" i="7"/>
  <c r="E12" i="7"/>
  <c r="K49" i="11" l="1"/>
  <c r="K50" i="11" s="1"/>
  <c r="J26" i="12"/>
  <c r="K28" i="10"/>
  <c r="K40" i="8"/>
  <c r="L40" i="8"/>
  <c r="N7" i="7"/>
  <c r="M8" i="7"/>
  <c r="N8" i="7" s="1"/>
  <c r="N5" i="7"/>
  <c r="B11" i="7"/>
  <c r="B13" i="7"/>
  <c r="B14" i="7" s="1"/>
  <c r="F12" i="7"/>
  <c r="C30" i="7"/>
  <c r="D24" i="7"/>
  <c r="E18" i="7"/>
  <c r="L49" i="11" l="1"/>
  <c r="L50" i="11" s="1"/>
  <c r="K26" i="12"/>
  <c r="O6" i="7"/>
  <c r="C40" i="11"/>
  <c r="B220" i="6"/>
  <c r="C41" i="11"/>
  <c r="L26" i="12"/>
  <c r="M49" i="11"/>
  <c r="C13" i="7"/>
  <c r="C14" i="7" s="1"/>
  <c r="C11" i="7"/>
  <c r="D30" i="7"/>
  <c r="F18" i="7"/>
  <c r="E24" i="7"/>
  <c r="G12" i="7"/>
  <c r="M50" i="11" l="1"/>
  <c r="B53" i="8"/>
  <c r="B51" i="8"/>
  <c r="B14" i="9"/>
  <c r="B16" i="9" s="1"/>
  <c r="B32" i="8"/>
  <c r="C43" i="11"/>
  <c r="C45" i="11" s="1"/>
  <c r="D11" i="7"/>
  <c r="D13" i="7"/>
  <c r="D14" i="7" s="1"/>
  <c r="H12" i="7"/>
  <c r="G18" i="7"/>
  <c r="F24" i="7"/>
  <c r="E30" i="7"/>
  <c r="B54" i="8" l="1"/>
  <c r="B116" i="8" s="1"/>
  <c r="D116" i="8" s="1"/>
  <c r="B27" i="10"/>
  <c r="B36" i="8"/>
  <c r="B38" i="8" s="1"/>
  <c r="E13" i="7"/>
  <c r="E14" i="7" s="1"/>
  <c r="E11" i="7"/>
  <c r="G24" i="7"/>
  <c r="H18" i="7"/>
  <c r="F30" i="7"/>
  <c r="I12" i="7"/>
  <c r="B127" i="8" l="1"/>
  <c r="D127" i="8" s="1"/>
  <c r="B131" i="8"/>
  <c r="D131" i="8" s="1"/>
  <c r="B135" i="8"/>
  <c r="D135" i="8" s="1"/>
  <c r="B139" i="8"/>
  <c r="D139" i="8" s="1"/>
  <c r="B143" i="8"/>
  <c r="D143" i="8" s="1"/>
  <c r="B230" i="8"/>
  <c r="D230" i="8" s="1"/>
  <c r="B238" i="8"/>
  <c r="D238" i="8" s="1"/>
  <c r="B503" i="8"/>
  <c r="D503" i="8" s="1"/>
  <c r="B534" i="8"/>
  <c r="D534" i="8" s="1"/>
  <c r="B112" i="8"/>
  <c r="D112" i="8" s="1"/>
  <c r="B147" i="8"/>
  <c r="D147" i="8" s="1"/>
  <c r="B214" i="8"/>
  <c r="D214" i="8" s="1"/>
  <c r="B218" i="8"/>
  <c r="D218" i="8" s="1"/>
  <c r="B222" i="8"/>
  <c r="D222" i="8" s="1"/>
  <c r="B226" i="8"/>
  <c r="D226" i="8" s="1"/>
  <c r="B234" i="8"/>
  <c r="D234" i="8" s="1"/>
  <c r="B242" i="8"/>
  <c r="D242" i="8" s="1"/>
  <c r="B246" i="8"/>
  <c r="D246" i="8" s="1"/>
  <c r="B507" i="8"/>
  <c r="D507" i="8" s="1"/>
  <c r="B104" i="8"/>
  <c r="D104" i="8" s="1"/>
  <c r="B313" i="8"/>
  <c r="D313" i="8" s="1"/>
  <c r="B317" i="8"/>
  <c r="D317" i="8" s="1"/>
  <c r="B321" i="8"/>
  <c r="D321" i="8" s="1"/>
  <c r="B325" i="8"/>
  <c r="D325" i="8" s="1"/>
  <c r="B329" i="8"/>
  <c r="D329" i="8" s="1"/>
  <c r="B333" i="8"/>
  <c r="D333" i="8" s="1"/>
  <c r="B373" i="8"/>
  <c r="D373" i="8" s="1"/>
  <c r="B495" i="8"/>
  <c r="D495" i="8" s="1"/>
  <c r="B337" i="8"/>
  <c r="D337" i="8" s="1"/>
  <c r="B341" i="8"/>
  <c r="D341" i="8" s="1"/>
  <c r="B345" i="8"/>
  <c r="D345" i="8" s="1"/>
  <c r="B349" i="8"/>
  <c r="D349" i="8" s="1"/>
  <c r="B353" i="8"/>
  <c r="D353" i="8" s="1"/>
  <c r="B357" i="8"/>
  <c r="D357" i="8" s="1"/>
  <c r="B361" i="8"/>
  <c r="D361" i="8" s="1"/>
  <c r="B365" i="8"/>
  <c r="D365" i="8" s="1"/>
  <c r="B369" i="8"/>
  <c r="D369" i="8" s="1"/>
  <c r="B428" i="8"/>
  <c r="D428" i="8" s="1"/>
  <c r="B499" i="8"/>
  <c r="D499" i="8" s="1"/>
  <c r="B100" i="8"/>
  <c r="D100" i="8" s="1"/>
  <c r="B377" i="8"/>
  <c r="D377" i="8" s="1"/>
  <c r="B381" i="8"/>
  <c r="D381" i="8" s="1"/>
  <c r="B385" i="8"/>
  <c r="D385" i="8" s="1"/>
  <c r="B389" i="8"/>
  <c r="D389" i="8" s="1"/>
  <c r="B396" i="8"/>
  <c r="D396" i="8" s="1"/>
  <c r="B412" i="8"/>
  <c r="D412" i="8" s="1"/>
  <c r="B420" i="8"/>
  <c r="D420" i="8" s="1"/>
  <c r="B432" i="8"/>
  <c r="D432" i="8" s="1"/>
  <c r="B530" i="8"/>
  <c r="D530" i="8" s="1"/>
  <c r="B108" i="8"/>
  <c r="D108" i="8" s="1"/>
  <c r="B400" i="8"/>
  <c r="D400" i="8" s="1"/>
  <c r="B404" i="8"/>
  <c r="D404" i="8" s="1"/>
  <c r="B408" i="8"/>
  <c r="D408" i="8" s="1"/>
  <c r="B416" i="8"/>
  <c r="D416" i="8" s="1"/>
  <c r="B424" i="8"/>
  <c r="D424" i="8" s="1"/>
  <c r="B436" i="8"/>
  <c r="D436" i="8" s="1"/>
  <c r="B538" i="8"/>
  <c r="D538" i="8" s="1"/>
  <c r="B542" i="8"/>
  <c r="D542" i="8" s="1"/>
  <c r="B546" i="8"/>
  <c r="D546" i="8" s="1"/>
  <c r="B550" i="8"/>
  <c r="D550" i="8" s="1"/>
  <c r="B554" i="8"/>
  <c r="D554" i="8" s="1"/>
  <c r="B558" i="8"/>
  <c r="D558" i="8" s="1"/>
  <c r="B562" i="8"/>
  <c r="D562" i="8" s="1"/>
  <c r="B566" i="8"/>
  <c r="D566" i="8" s="1"/>
  <c r="B570" i="8"/>
  <c r="D570" i="8" s="1"/>
  <c r="B574" i="8"/>
  <c r="D574" i="8" s="1"/>
  <c r="B69" i="8"/>
  <c r="D69" i="8" s="1"/>
  <c r="B73" i="8"/>
  <c r="D73" i="8" s="1"/>
  <c r="B77" i="8"/>
  <c r="D77" i="8" s="1"/>
  <c r="B81" i="8"/>
  <c r="D81" i="8" s="1"/>
  <c r="B85" i="8"/>
  <c r="D85" i="8" s="1"/>
  <c r="B89" i="8"/>
  <c r="D89" i="8" s="1"/>
  <c r="B93" i="8"/>
  <c r="D93" i="8" s="1"/>
  <c r="B120" i="8"/>
  <c r="D120" i="8" s="1"/>
  <c r="B124" i="8"/>
  <c r="D124" i="8" s="1"/>
  <c r="B429" i="8"/>
  <c r="D429" i="8" s="1"/>
  <c r="B125" i="8"/>
  <c r="D125" i="8" s="1"/>
  <c r="B196" i="8"/>
  <c r="D196" i="8" s="1"/>
  <c r="B258" i="8"/>
  <c r="D258" i="8" s="1"/>
  <c r="B270" i="8"/>
  <c r="D270" i="8" s="1"/>
  <c r="B286" i="8"/>
  <c r="D286" i="8" s="1"/>
  <c r="B298" i="8"/>
  <c r="D298" i="8" s="1"/>
  <c r="B310" i="8"/>
  <c r="D310" i="8" s="1"/>
  <c r="B443" i="8"/>
  <c r="D443" i="8" s="1"/>
  <c r="B151" i="8"/>
  <c r="D151" i="8" s="1"/>
  <c r="B155" i="8"/>
  <c r="D155" i="8" s="1"/>
  <c r="B159" i="8"/>
  <c r="D159" i="8" s="1"/>
  <c r="B163" i="8"/>
  <c r="D163" i="8" s="1"/>
  <c r="B167" i="8"/>
  <c r="D167" i="8" s="1"/>
  <c r="B171" i="8"/>
  <c r="D171" i="8" s="1"/>
  <c r="B175" i="8"/>
  <c r="D175" i="8" s="1"/>
  <c r="B179" i="8"/>
  <c r="D179" i="8" s="1"/>
  <c r="B183" i="8"/>
  <c r="D183" i="8" s="1"/>
  <c r="B187" i="8"/>
  <c r="D187" i="8" s="1"/>
  <c r="B191" i="8"/>
  <c r="D191" i="8" s="1"/>
  <c r="B195" i="8"/>
  <c r="D195" i="8" s="1"/>
  <c r="B199" i="8"/>
  <c r="D199" i="8" s="1"/>
  <c r="B203" i="8"/>
  <c r="D203" i="8" s="1"/>
  <c r="B207" i="8"/>
  <c r="D207" i="8" s="1"/>
  <c r="B211" i="8"/>
  <c r="D211" i="8" s="1"/>
  <c r="B97" i="8"/>
  <c r="D97" i="8" s="1"/>
  <c r="B101" i="8"/>
  <c r="D101" i="8" s="1"/>
  <c r="B105" i="8"/>
  <c r="D105" i="8" s="1"/>
  <c r="B322" i="8"/>
  <c r="D322" i="8" s="1"/>
  <c r="B425" i="8"/>
  <c r="D425" i="8" s="1"/>
  <c r="B437" i="8"/>
  <c r="D437" i="8" s="1"/>
  <c r="B86" i="8"/>
  <c r="D86" i="8" s="1"/>
  <c r="B164" i="8"/>
  <c r="D164" i="8" s="1"/>
  <c r="B182" i="8"/>
  <c r="D182" i="8" s="1"/>
  <c r="B250" i="8"/>
  <c r="D250" i="8" s="1"/>
  <c r="B266" i="8"/>
  <c r="D266" i="8" s="1"/>
  <c r="B282" i="8"/>
  <c r="D282" i="8" s="1"/>
  <c r="B302" i="8"/>
  <c r="D302" i="8" s="1"/>
  <c r="B447" i="8"/>
  <c r="D447" i="8" s="1"/>
  <c r="B109" i="8"/>
  <c r="D109" i="8" s="1"/>
  <c r="B113" i="8"/>
  <c r="D113" i="8" s="1"/>
  <c r="B117" i="8"/>
  <c r="D117" i="8" s="1"/>
  <c r="B128" i="8"/>
  <c r="D128" i="8" s="1"/>
  <c r="B132" i="8"/>
  <c r="D132" i="8" s="1"/>
  <c r="B136" i="8"/>
  <c r="D136" i="8" s="1"/>
  <c r="B140" i="8"/>
  <c r="D140" i="8" s="1"/>
  <c r="B144" i="8"/>
  <c r="D144" i="8" s="1"/>
  <c r="B148" i="8"/>
  <c r="D148" i="8" s="1"/>
  <c r="B215" i="8"/>
  <c r="D215" i="8" s="1"/>
  <c r="B219" i="8"/>
  <c r="D219" i="8" s="1"/>
  <c r="B223" i="8"/>
  <c r="D223" i="8" s="1"/>
  <c r="B227" i="8"/>
  <c r="D227" i="8" s="1"/>
  <c r="B231" i="8"/>
  <c r="D231" i="8" s="1"/>
  <c r="B235" i="8"/>
  <c r="D235" i="8" s="1"/>
  <c r="B239" i="8"/>
  <c r="D239" i="8" s="1"/>
  <c r="B243" i="8"/>
  <c r="D243" i="8" s="1"/>
  <c r="B314" i="8"/>
  <c r="D314" i="8" s="1"/>
  <c r="B318" i="8"/>
  <c r="D318" i="8" s="1"/>
  <c r="B417" i="8"/>
  <c r="D417" i="8" s="1"/>
  <c r="B72" i="8"/>
  <c r="D72" i="8" s="1"/>
  <c r="B150" i="8"/>
  <c r="D150" i="8" s="1"/>
  <c r="B205" i="8"/>
  <c r="D205" i="8" s="1"/>
  <c r="B274" i="8"/>
  <c r="D274" i="8" s="1"/>
  <c r="B290" i="8"/>
  <c r="D290" i="8" s="1"/>
  <c r="B393" i="8"/>
  <c r="D393" i="8" s="1"/>
  <c r="B451" i="8"/>
  <c r="D451" i="8" s="1"/>
  <c r="B96" i="8"/>
  <c r="D96" i="8" s="1"/>
  <c r="B326" i="8"/>
  <c r="D326" i="8" s="1"/>
  <c r="B330" i="8"/>
  <c r="D330" i="8" s="1"/>
  <c r="B334" i="8"/>
  <c r="D334" i="8" s="1"/>
  <c r="B338" i="8"/>
  <c r="D338" i="8" s="1"/>
  <c r="B342" i="8"/>
  <c r="D342" i="8" s="1"/>
  <c r="B346" i="8"/>
  <c r="D346" i="8" s="1"/>
  <c r="B350" i="8"/>
  <c r="D350" i="8" s="1"/>
  <c r="B354" i="8"/>
  <c r="D354" i="8" s="1"/>
  <c r="B358" i="8"/>
  <c r="D358" i="8" s="1"/>
  <c r="B362" i="8"/>
  <c r="D362" i="8" s="1"/>
  <c r="B366" i="8"/>
  <c r="D366" i="8" s="1"/>
  <c r="B370" i="8"/>
  <c r="D370" i="8" s="1"/>
  <c r="B374" i="8"/>
  <c r="D374" i="8" s="1"/>
  <c r="B378" i="8"/>
  <c r="D378" i="8" s="1"/>
  <c r="B382" i="8"/>
  <c r="D382" i="8" s="1"/>
  <c r="B386" i="8"/>
  <c r="D386" i="8" s="1"/>
  <c r="B390" i="8"/>
  <c r="D390" i="8" s="1"/>
  <c r="B397" i="8"/>
  <c r="D397" i="8" s="1"/>
  <c r="B401" i="8"/>
  <c r="D401" i="8" s="1"/>
  <c r="B405" i="8"/>
  <c r="D405" i="8" s="1"/>
  <c r="B409" i="8"/>
  <c r="D409" i="8" s="1"/>
  <c r="B413" i="8"/>
  <c r="D413" i="8" s="1"/>
  <c r="B421" i="8"/>
  <c r="D421" i="8" s="1"/>
  <c r="B433" i="8"/>
  <c r="D433" i="8" s="1"/>
  <c r="B173" i="8"/>
  <c r="D173" i="8" s="1"/>
  <c r="B254" i="8"/>
  <c r="D254" i="8" s="1"/>
  <c r="B262" i="8"/>
  <c r="D262" i="8" s="1"/>
  <c r="B278" i="8"/>
  <c r="D278" i="8" s="1"/>
  <c r="B294" i="8"/>
  <c r="D294" i="8" s="1"/>
  <c r="B306" i="8"/>
  <c r="D306" i="8" s="1"/>
  <c r="B439" i="8"/>
  <c r="D439" i="8" s="1"/>
  <c r="B455" i="8"/>
  <c r="D455" i="8" s="1"/>
  <c r="B459" i="8"/>
  <c r="D459" i="8" s="1"/>
  <c r="B463" i="8"/>
  <c r="D463" i="8" s="1"/>
  <c r="B467" i="8"/>
  <c r="D467" i="8" s="1"/>
  <c r="B471" i="8"/>
  <c r="D471" i="8" s="1"/>
  <c r="B82" i="8"/>
  <c r="D82" i="8" s="1"/>
  <c r="B91" i="8"/>
  <c r="D91" i="8" s="1"/>
  <c r="B95" i="8"/>
  <c r="D95" i="8" s="1"/>
  <c r="B106" i="8"/>
  <c r="D106" i="8" s="1"/>
  <c r="B111" i="8"/>
  <c r="D111" i="8" s="1"/>
  <c r="B121" i="8"/>
  <c r="D121" i="8" s="1"/>
  <c r="B130" i="8"/>
  <c r="D130" i="8" s="1"/>
  <c r="B141" i="8"/>
  <c r="D141" i="8" s="1"/>
  <c r="B146" i="8"/>
  <c r="D146" i="8" s="1"/>
  <c r="B160" i="8"/>
  <c r="D160" i="8" s="1"/>
  <c r="B169" i="8"/>
  <c r="D169" i="8" s="1"/>
  <c r="B178" i="8"/>
  <c r="D178" i="8" s="1"/>
  <c r="B192" i="8"/>
  <c r="D192" i="8" s="1"/>
  <c r="B201" i="8"/>
  <c r="D201" i="8" s="1"/>
  <c r="B78" i="8"/>
  <c r="D78" i="8" s="1"/>
  <c r="B87" i="8"/>
  <c r="D87" i="8" s="1"/>
  <c r="B156" i="8"/>
  <c r="D156" i="8" s="1"/>
  <c r="B165" i="8"/>
  <c r="D165" i="8" s="1"/>
  <c r="B74" i="8"/>
  <c r="D74" i="8" s="1"/>
  <c r="B83" i="8"/>
  <c r="D83" i="8" s="1"/>
  <c r="B92" i="8"/>
  <c r="D92" i="8" s="1"/>
  <c r="B102" i="8"/>
  <c r="D102" i="8" s="1"/>
  <c r="B107" i="8"/>
  <c r="D107" i="8" s="1"/>
  <c r="B118" i="8"/>
  <c r="D118" i="8" s="1"/>
  <c r="B122" i="8"/>
  <c r="D122" i="8" s="1"/>
  <c r="B126" i="8"/>
  <c r="D126" i="8" s="1"/>
  <c r="B137" i="8"/>
  <c r="D137" i="8" s="1"/>
  <c r="B142" i="8"/>
  <c r="D142" i="8" s="1"/>
  <c r="B152" i="8"/>
  <c r="D152" i="8" s="1"/>
  <c r="B161" i="8"/>
  <c r="D161" i="8" s="1"/>
  <c r="B170" i="8"/>
  <c r="D170" i="8" s="1"/>
  <c r="B184" i="8"/>
  <c r="D184" i="8" s="1"/>
  <c r="B193" i="8"/>
  <c r="D193" i="8" s="1"/>
  <c r="B70" i="8"/>
  <c r="D70" i="8" s="1"/>
  <c r="B79" i="8"/>
  <c r="D79" i="8" s="1"/>
  <c r="B88" i="8"/>
  <c r="D88" i="8" s="1"/>
  <c r="B157" i="8"/>
  <c r="D157" i="8" s="1"/>
  <c r="B166" i="8"/>
  <c r="D166" i="8" s="1"/>
  <c r="B75" i="8"/>
  <c r="D75" i="8" s="1"/>
  <c r="B84" i="8"/>
  <c r="D84" i="8" s="1"/>
  <c r="B98" i="8"/>
  <c r="D98" i="8" s="1"/>
  <c r="B103" i="8"/>
  <c r="D103" i="8" s="1"/>
  <c r="B114" i="8"/>
  <c r="D114" i="8" s="1"/>
  <c r="B123" i="8"/>
  <c r="D123" i="8" s="1"/>
  <c r="B133" i="8"/>
  <c r="D133" i="8" s="1"/>
  <c r="B138" i="8"/>
  <c r="D138" i="8" s="1"/>
  <c r="B149" i="8"/>
  <c r="D149" i="8" s="1"/>
  <c r="B153" i="8"/>
  <c r="D153" i="8" s="1"/>
  <c r="B162" i="8"/>
  <c r="D162" i="8" s="1"/>
  <c r="B176" i="8"/>
  <c r="D176" i="8" s="1"/>
  <c r="B185" i="8"/>
  <c r="D185" i="8" s="1"/>
  <c r="B194" i="8"/>
  <c r="D194" i="8" s="1"/>
  <c r="B208" i="8"/>
  <c r="D208" i="8" s="1"/>
  <c r="B217" i="8"/>
  <c r="D217" i="8" s="1"/>
  <c r="B228" i="8"/>
  <c r="D228" i="8" s="1"/>
  <c r="B233" i="8"/>
  <c r="D233" i="8" s="1"/>
  <c r="B244" i="8"/>
  <c r="D244" i="8" s="1"/>
  <c r="B312" i="8"/>
  <c r="D312" i="8" s="1"/>
  <c r="B323" i="8"/>
  <c r="D323" i="8" s="1"/>
  <c r="B328" i="8"/>
  <c r="D328" i="8" s="1"/>
  <c r="B339" i="8"/>
  <c r="D339" i="8" s="1"/>
  <c r="B344" i="8"/>
  <c r="D344" i="8" s="1"/>
  <c r="B355" i="8"/>
  <c r="D355" i="8" s="1"/>
  <c r="B360" i="8"/>
  <c r="D360" i="8" s="1"/>
  <c r="B371" i="8"/>
  <c r="D371" i="8" s="1"/>
  <c r="B376" i="8"/>
  <c r="D376" i="8" s="1"/>
  <c r="B387" i="8"/>
  <c r="D387" i="8" s="1"/>
  <c r="B395" i="8"/>
  <c r="D395" i="8" s="1"/>
  <c r="B406" i="8"/>
  <c r="D406" i="8" s="1"/>
  <c r="B411" i="8"/>
  <c r="D411" i="8" s="1"/>
  <c r="B422" i="8"/>
  <c r="D422" i="8" s="1"/>
  <c r="B427" i="8"/>
  <c r="D427" i="8" s="1"/>
  <c r="B438" i="8"/>
  <c r="D438" i="8" s="1"/>
  <c r="B502" i="8"/>
  <c r="D502" i="8" s="1"/>
  <c r="B511" i="8"/>
  <c r="D511" i="8" s="1"/>
  <c r="B515" i="8"/>
  <c r="D515" i="8" s="1"/>
  <c r="B519" i="8"/>
  <c r="D519" i="8" s="1"/>
  <c r="B523" i="8"/>
  <c r="D523" i="8" s="1"/>
  <c r="B531" i="8"/>
  <c r="D531" i="8" s="1"/>
  <c r="B540" i="8"/>
  <c r="D540" i="8" s="1"/>
  <c r="B549" i="8"/>
  <c r="D549" i="8" s="1"/>
  <c r="B563" i="8"/>
  <c r="D563" i="8" s="1"/>
  <c r="B572" i="8"/>
  <c r="D572" i="8" s="1"/>
  <c r="B616" i="8"/>
  <c r="D616" i="8" s="1"/>
  <c r="B620" i="8"/>
  <c r="D620" i="8" s="1"/>
  <c r="B624" i="8"/>
  <c r="D624" i="8" s="1"/>
  <c r="B628" i="8"/>
  <c r="D628" i="8" s="1"/>
  <c r="B632" i="8"/>
  <c r="D632" i="8" s="1"/>
  <c r="B636" i="8"/>
  <c r="D636" i="8" s="1"/>
  <c r="B691" i="8"/>
  <c r="D691" i="8" s="1"/>
  <c r="B695" i="8"/>
  <c r="D695" i="8" s="1"/>
  <c r="B699" i="8"/>
  <c r="D699" i="8" s="1"/>
  <c r="B718" i="8"/>
  <c r="D718" i="8" s="1"/>
  <c r="B722" i="8"/>
  <c r="D722" i="8" s="1"/>
  <c r="B726" i="8"/>
  <c r="D726" i="8" s="1"/>
  <c r="B730" i="8"/>
  <c r="D730" i="8" s="1"/>
  <c r="B734" i="8"/>
  <c r="D734" i="8" s="1"/>
  <c r="B738" i="8"/>
  <c r="D738" i="8" s="1"/>
  <c r="B742" i="8"/>
  <c r="D742" i="8" s="1"/>
  <c r="B825" i="8"/>
  <c r="D825" i="8" s="1"/>
  <c r="B829" i="8"/>
  <c r="D829" i="8" s="1"/>
  <c r="B833" i="8"/>
  <c r="D833" i="8" s="1"/>
  <c r="B837" i="8"/>
  <c r="D837" i="8" s="1"/>
  <c r="B841" i="8"/>
  <c r="D841" i="8" s="1"/>
  <c r="B845" i="8"/>
  <c r="D845" i="8" s="1"/>
  <c r="B71" i="8"/>
  <c r="D71" i="8" s="1"/>
  <c r="B80" i="8"/>
  <c r="D80" i="8" s="1"/>
  <c r="B119" i="8"/>
  <c r="D119" i="8" s="1"/>
  <c r="B158" i="8"/>
  <c r="D158" i="8" s="1"/>
  <c r="B172" i="8"/>
  <c r="D172" i="8" s="1"/>
  <c r="B181" i="8"/>
  <c r="D181" i="8" s="1"/>
  <c r="B190" i="8"/>
  <c r="D190" i="8" s="1"/>
  <c r="B204" i="8"/>
  <c r="D204" i="8" s="1"/>
  <c r="B213" i="8"/>
  <c r="D213" i="8" s="1"/>
  <c r="B249" i="8"/>
  <c r="D249" i="8" s="1"/>
  <c r="B253" i="8"/>
  <c r="D253" i="8" s="1"/>
  <c r="B257" i="8"/>
  <c r="D257" i="8" s="1"/>
  <c r="B261" i="8"/>
  <c r="D261" i="8" s="1"/>
  <c r="B265" i="8"/>
  <c r="D265" i="8" s="1"/>
  <c r="B269" i="8"/>
  <c r="D269" i="8" s="1"/>
  <c r="B273" i="8"/>
  <c r="D273" i="8" s="1"/>
  <c r="B277" i="8"/>
  <c r="D277" i="8" s="1"/>
  <c r="B281" i="8"/>
  <c r="D281" i="8" s="1"/>
  <c r="B285" i="8"/>
  <c r="D285" i="8" s="1"/>
  <c r="B289" i="8"/>
  <c r="D289" i="8" s="1"/>
  <c r="B293" i="8"/>
  <c r="D293" i="8" s="1"/>
  <c r="B297" i="8"/>
  <c r="D297" i="8" s="1"/>
  <c r="B301" i="8"/>
  <c r="D301" i="8" s="1"/>
  <c r="B305" i="8"/>
  <c r="D305" i="8" s="1"/>
  <c r="B309" i="8"/>
  <c r="D309" i="8" s="1"/>
  <c r="B392" i="8"/>
  <c r="D392" i="8" s="1"/>
  <c r="B442" i="8"/>
  <c r="D442" i="8" s="1"/>
  <c r="B446" i="8"/>
  <c r="D446" i="8" s="1"/>
  <c r="B450" i="8"/>
  <c r="D450" i="8" s="1"/>
  <c r="B454" i="8"/>
  <c r="D454" i="8" s="1"/>
  <c r="B458" i="8"/>
  <c r="D458" i="8" s="1"/>
  <c r="B462" i="8"/>
  <c r="D462" i="8" s="1"/>
  <c r="B466" i="8"/>
  <c r="D466" i="8" s="1"/>
  <c r="B470" i="8"/>
  <c r="D470" i="8" s="1"/>
  <c r="B474" i="8"/>
  <c r="D474" i="8" s="1"/>
  <c r="B478" i="8"/>
  <c r="D478" i="8" s="1"/>
  <c r="B482" i="8"/>
  <c r="D482" i="8" s="1"/>
  <c r="B486" i="8"/>
  <c r="D486" i="8" s="1"/>
  <c r="B490" i="8"/>
  <c r="D490" i="8" s="1"/>
  <c r="B494" i="8"/>
  <c r="D494" i="8" s="1"/>
  <c r="B498" i="8"/>
  <c r="D498" i="8" s="1"/>
  <c r="B527" i="8"/>
  <c r="D527" i="8" s="1"/>
  <c r="B536" i="8"/>
  <c r="D536" i="8" s="1"/>
  <c r="B76" i="8"/>
  <c r="D76" i="8" s="1"/>
  <c r="B90" i="8"/>
  <c r="D90" i="8" s="1"/>
  <c r="B94" i="8"/>
  <c r="D94" i="8" s="1"/>
  <c r="B99" i="8"/>
  <c r="D99" i="8" s="1"/>
  <c r="B110" i="8"/>
  <c r="D110" i="8" s="1"/>
  <c r="B115" i="8"/>
  <c r="D115" i="8" s="1"/>
  <c r="B129" i="8"/>
  <c r="D129" i="8" s="1"/>
  <c r="B134" i="8"/>
  <c r="D134" i="8" s="1"/>
  <c r="B145" i="8"/>
  <c r="D145" i="8" s="1"/>
  <c r="B154" i="8"/>
  <c r="D154" i="8" s="1"/>
  <c r="B168" i="8"/>
  <c r="D168" i="8" s="1"/>
  <c r="B177" i="8"/>
  <c r="D177" i="8" s="1"/>
  <c r="B186" i="8"/>
  <c r="D186" i="8" s="1"/>
  <c r="B200" i="8"/>
  <c r="D200" i="8" s="1"/>
  <c r="B209" i="8"/>
  <c r="D209" i="8" s="1"/>
  <c r="B651" i="8"/>
  <c r="D651" i="8" s="1"/>
  <c r="B468" i="8"/>
  <c r="D468" i="8" s="1"/>
  <c r="B484" i="8"/>
  <c r="D484" i="8" s="1"/>
  <c r="B529" i="8"/>
  <c r="D529" i="8" s="1"/>
  <c r="B535" i="8"/>
  <c r="D535" i="8" s="1"/>
  <c r="B575" i="8"/>
  <c r="D575" i="8" s="1"/>
  <c r="B593" i="8"/>
  <c r="D593" i="8" s="1"/>
  <c r="B622" i="8"/>
  <c r="D622" i="8" s="1"/>
  <c r="B648" i="8"/>
  <c r="D648" i="8" s="1"/>
  <c r="B1198" i="8"/>
  <c r="D1198" i="8" s="1"/>
  <c r="B1231" i="8"/>
  <c r="D1231" i="8" s="1"/>
  <c r="B1262" i="8"/>
  <c r="D1262" i="8" s="1"/>
  <c r="B1285" i="8"/>
  <c r="D1285" i="8" s="1"/>
  <c r="B1312" i="8"/>
  <c r="D1312" i="8" s="1"/>
  <c r="B1762" i="8"/>
  <c r="D1762" i="8" s="1"/>
  <c r="B1793" i="8"/>
  <c r="D1793" i="8" s="1"/>
  <c r="B1813" i="8"/>
  <c r="D1813" i="8" s="1"/>
  <c r="B1821" i="8"/>
  <c r="D1821" i="8" s="1"/>
  <c r="B1833" i="8"/>
  <c r="D1833" i="8" s="1"/>
  <c r="B1871" i="8"/>
  <c r="D1871" i="8" s="1"/>
  <c r="B1883" i="8"/>
  <c r="D1883" i="8" s="1"/>
  <c r="B1899" i="8"/>
  <c r="D1899" i="8" s="1"/>
  <c r="B1915" i="8"/>
  <c r="D1915" i="8" s="1"/>
  <c r="B1934" i="8"/>
  <c r="D1934" i="8" s="1"/>
  <c r="B1985" i="8"/>
  <c r="D1985" i="8" s="1"/>
  <c r="B1989" i="8"/>
  <c r="D1989" i="8" s="1"/>
  <c r="B2008" i="8"/>
  <c r="D2008" i="8" s="1"/>
  <c r="B2016" i="8"/>
  <c r="D2016" i="8" s="1"/>
  <c r="B791" i="8"/>
  <c r="D791" i="8" s="1"/>
  <c r="B805" i="8"/>
  <c r="D805" i="8" s="1"/>
  <c r="B878" i="8"/>
  <c r="D878" i="8" s="1"/>
  <c r="B911" i="8"/>
  <c r="D911" i="8" s="1"/>
  <c r="B934" i="8"/>
  <c r="D934" i="8" s="1"/>
  <c r="B979" i="8"/>
  <c r="D979" i="8" s="1"/>
  <c r="B1007" i="8"/>
  <c r="D1007" i="8" s="1"/>
  <c r="B1150" i="8"/>
  <c r="D1150" i="8" s="1"/>
  <c r="B1200" i="8"/>
  <c r="D1200" i="8" s="1"/>
  <c r="B1241" i="8"/>
  <c r="D1241" i="8" s="1"/>
  <c r="B1277" i="8"/>
  <c r="D1277" i="8" s="1"/>
  <c r="B1336" i="8"/>
  <c r="D1336" i="8" s="1"/>
  <c r="B1359" i="8"/>
  <c r="D1359" i="8" s="1"/>
  <c r="B1409" i="8"/>
  <c r="D1409" i="8" s="1"/>
  <c r="B1450" i="8"/>
  <c r="D1450" i="8" s="1"/>
  <c r="B902" i="8"/>
  <c r="D902" i="8" s="1"/>
  <c r="B966" i="8"/>
  <c r="D966" i="8" s="1"/>
  <c r="B998" i="8"/>
  <c r="D998" i="8" s="1"/>
  <c r="B1038" i="8"/>
  <c r="D1038" i="8" s="1"/>
  <c r="B1108" i="8"/>
  <c r="D1108" i="8" s="1"/>
  <c r="B1196" i="8"/>
  <c r="D1196" i="8" s="1"/>
  <c r="B1259" i="8"/>
  <c r="D1259" i="8" s="1"/>
  <c r="B1314" i="8"/>
  <c r="D1314" i="8" s="1"/>
  <c r="B1346" i="8"/>
  <c r="D1346" i="8" s="1"/>
  <c r="B1387" i="8"/>
  <c r="D1387" i="8" s="1"/>
  <c r="B655" i="8"/>
  <c r="D655" i="8" s="1"/>
  <c r="B659" i="8"/>
  <c r="D659" i="8" s="1"/>
  <c r="B663" i="8"/>
  <c r="D663" i="8" s="1"/>
  <c r="B667" i="8"/>
  <c r="D667" i="8" s="1"/>
  <c r="B671" i="8"/>
  <c r="D671" i="8" s="1"/>
  <c r="B675" i="8"/>
  <c r="D675" i="8" s="1"/>
  <c r="B679" i="8"/>
  <c r="D679" i="8" s="1"/>
  <c r="B683" i="8"/>
  <c r="D683" i="8" s="1"/>
  <c r="B687" i="8"/>
  <c r="D687" i="8" s="1"/>
  <c r="B697" i="8"/>
  <c r="D697" i="8" s="1"/>
  <c r="B702" i="8"/>
  <c r="D702" i="8" s="1"/>
  <c r="B706" i="8"/>
  <c r="D706" i="8" s="1"/>
  <c r="B710" i="8"/>
  <c r="D710" i="8" s="1"/>
  <c r="B714" i="8"/>
  <c r="D714" i="8" s="1"/>
  <c r="B748" i="8"/>
  <c r="D748" i="8" s="1"/>
  <c r="B752" i="8"/>
  <c r="D752" i="8" s="1"/>
  <c r="B756" i="8"/>
  <c r="D756" i="8" s="1"/>
  <c r="B760" i="8"/>
  <c r="D760" i="8" s="1"/>
  <c r="B764" i="8"/>
  <c r="D764" i="8" s="1"/>
  <c r="B768" i="8"/>
  <c r="D768" i="8" s="1"/>
  <c r="B772" i="8"/>
  <c r="D772" i="8" s="1"/>
  <c r="B776" i="8"/>
  <c r="D776" i="8" s="1"/>
  <c r="B780" i="8"/>
  <c r="D780" i="8" s="1"/>
  <c r="B784" i="8"/>
  <c r="D784" i="8" s="1"/>
  <c r="B788" i="8"/>
  <c r="D788" i="8" s="1"/>
  <c r="B792" i="8"/>
  <c r="D792" i="8" s="1"/>
  <c r="B796" i="8"/>
  <c r="D796" i="8" s="1"/>
  <c r="B800" i="8"/>
  <c r="D800" i="8" s="1"/>
  <c r="B804" i="8"/>
  <c r="D804" i="8" s="1"/>
  <c r="B808" i="8"/>
  <c r="D808" i="8" s="1"/>
  <c r="B812" i="8"/>
  <c r="D812" i="8" s="1"/>
  <c r="B816" i="8"/>
  <c r="D816" i="8" s="1"/>
  <c r="B820" i="8"/>
  <c r="D820" i="8" s="1"/>
  <c r="B189" i="8"/>
  <c r="D189" i="8" s="1"/>
  <c r="B202" i="8"/>
  <c r="D202" i="8" s="1"/>
  <c r="B403" i="8"/>
  <c r="D403" i="8" s="1"/>
  <c r="B410" i="8"/>
  <c r="D410" i="8" s="1"/>
  <c r="B197" i="8"/>
  <c r="D197" i="8" s="1"/>
  <c r="B221" i="8"/>
  <c r="D221" i="8" s="1"/>
  <c r="B247" i="8"/>
  <c r="D247" i="8" s="1"/>
  <c r="B252" i="8"/>
  <c r="D252" i="8" s="1"/>
  <c r="B263" i="8"/>
  <c r="D263" i="8" s="1"/>
  <c r="B268" i="8"/>
  <c r="D268" i="8" s="1"/>
  <c r="B279" i="8"/>
  <c r="D279" i="8" s="1"/>
  <c r="B284" i="8"/>
  <c r="D284" i="8" s="1"/>
  <c r="B295" i="8"/>
  <c r="D295" i="8" s="1"/>
  <c r="B300" i="8"/>
  <c r="D300" i="8" s="1"/>
  <c r="B316" i="8"/>
  <c r="D316" i="8" s="1"/>
  <c r="B348" i="8"/>
  <c r="D348" i="8" s="1"/>
  <c r="B380" i="8"/>
  <c r="D380" i="8" s="1"/>
  <c r="B398" i="8"/>
  <c r="D398" i="8" s="1"/>
  <c r="B430" i="8"/>
  <c r="D430" i="8" s="1"/>
  <c r="B483" i="8"/>
  <c r="D483" i="8" s="1"/>
  <c r="B492" i="8"/>
  <c r="D492" i="8" s="1"/>
  <c r="B528" i="8"/>
  <c r="D528" i="8" s="1"/>
  <c r="B539" i="8"/>
  <c r="D539" i="8" s="1"/>
  <c r="B565" i="8"/>
  <c r="D565" i="8" s="1"/>
  <c r="B615" i="8"/>
  <c r="D615" i="8" s="1"/>
  <c r="B626" i="8"/>
  <c r="D626" i="8" s="1"/>
  <c r="B631" i="8"/>
  <c r="D631" i="8" s="1"/>
  <c r="B720" i="8"/>
  <c r="D720" i="8" s="1"/>
  <c r="B725" i="8"/>
  <c r="D725" i="8" s="1"/>
  <c r="B736" i="8"/>
  <c r="D736" i="8" s="1"/>
  <c r="B741" i="8"/>
  <c r="D741" i="8" s="1"/>
  <c r="B831" i="8"/>
  <c r="D831" i="8" s="1"/>
  <c r="B836" i="8"/>
  <c r="D836" i="8" s="1"/>
  <c r="B847" i="8"/>
  <c r="D847" i="8" s="1"/>
  <c r="B851" i="8"/>
  <c r="D851" i="8" s="1"/>
  <c r="B855" i="8"/>
  <c r="D855" i="8" s="1"/>
  <c r="B859" i="8"/>
  <c r="D859" i="8" s="1"/>
  <c r="B863" i="8"/>
  <c r="D863" i="8" s="1"/>
  <c r="B867" i="8"/>
  <c r="D867" i="8" s="1"/>
  <c r="B871" i="8"/>
  <c r="D871" i="8" s="1"/>
  <c r="B875" i="8"/>
  <c r="D875" i="8" s="1"/>
  <c r="B879" i="8"/>
  <c r="D879" i="8" s="1"/>
  <c r="B883" i="8"/>
  <c r="D883" i="8" s="1"/>
  <c r="B887" i="8"/>
  <c r="D887" i="8" s="1"/>
  <c r="B891" i="8"/>
  <c r="D891" i="8" s="1"/>
  <c r="B895" i="8"/>
  <c r="D895" i="8" s="1"/>
  <c r="B899" i="8"/>
  <c r="D899" i="8" s="1"/>
  <c r="B903" i="8"/>
  <c r="D903" i="8" s="1"/>
  <c r="B938" i="8"/>
  <c r="D938" i="8" s="1"/>
  <c r="B942" i="8"/>
  <c r="D942" i="8" s="1"/>
  <c r="B661" i="8"/>
  <c r="D661" i="8" s="1"/>
  <c r="B670" i="8"/>
  <c r="D670" i="8" s="1"/>
  <c r="B684" i="8"/>
  <c r="D684" i="8" s="1"/>
  <c r="B709" i="8"/>
  <c r="D709" i="8" s="1"/>
  <c r="B724" i="8"/>
  <c r="D724" i="8" s="1"/>
  <c r="B746" i="8"/>
  <c r="D746" i="8" s="1"/>
  <c r="B755" i="8"/>
  <c r="D755" i="8" s="1"/>
  <c r="B769" i="8"/>
  <c r="D769" i="8" s="1"/>
  <c r="B778" i="8"/>
  <c r="D778" i="8" s="1"/>
  <c r="B787" i="8"/>
  <c r="D787" i="8" s="1"/>
  <c r="B801" i="8"/>
  <c r="D801" i="8" s="1"/>
  <c r="B210" i="8"/>
  <c r="D210" i="8" s="1"/>
  <c r="B216" i="8"/>
  <c r="D216" i="8" s="1"/>
  <c r="B237" i="8"/>
  <c r="D237" i="8" s="1"/>
  <c r="B256" i="8"/>
  <c r="D256" i="8" s="1"/>
  <c r="B291" i="8"/>
  <c r="D291" i="8" s="1"/>
  <c r="B303" i="8"/>
  <c r="D303" i="8" s="1"/>
  <c r="B308" i="8"/>
  <c r="D308" i="8" s="1"/>
  <c r="B391" i="8"/>
  <c r="D391" i="8" s="1"/>
  <c r="B517" i="8"/>
  <c r="D517" i="8" s="1"/>
  <c r="B569" i="8"/>
  <c r="D569" i="8" s="1"/>
  <c r="B584" i="8"/>
  <c r="D584" i="8" s="1"/>
  <c r="B607" i="8"/>
  <c r="D607" i="8" s="1"/>
  <c r="B634" i="8"/>
  <c r="D634" i="8" s="1"/>
  <c r="B1207" i="8"/>
  <c r="D1207" i="8" s="1"/>
  <c r="B1240" i="8"/>
  <c r="D1240" i="8" s="1"/>
  <c r="B1271" i="8"/>
  <c r="D1271" i="8" s="1"/>
  <c r="B1303" i="8"/>
  <c r="D1303" i="8" s="1"/>
  <c r="B1335" i="8"/>
  <c r="D1335" i="8" s="1"/>
  <c r="B1789" i="8"/>
  <c r="D1789" i="8" s="1"/>
  <c r="B1805" i="8"/>
  <c r="D1805" i="8" s="1"/>
  <c r="B1809" i="8"/>
  <c r="D1809" i="8" s="1"/>
  <c r="B1825" i="8"/>
  <c r="D1825" i="8" s="1"/>
  <c r="B1844" i="8"/>
  <c r="D1844" i="8" s="1"/>
  <c r="B1852" i="8"/>
  <c r="D1852" i="8" s="1"/>
  <c r="B1879" i="8"/>
  <c r="D1879" i="8" s="1"/>
  <c r="B1895" i="8"/>
  <c r="D1895" i="8" s="1"/>
  <c r="B1907" i="8"/>
  <c r="D1907" i="8" s="1"/>
  <c r="B1919" i="8"/>
  <c r="D1919" i="8" s="1"/>
  <c r="B1938" i="8"/>
  <c r="D1938" i="8" s="1"/>
  <c r="B1946" i="8"/>
  <c r="D1946" i="8" s="1"/>
  <c r="B2000" i="8"/>
  <c r="D2000" i="8" s="1"/>
  <c r="B2020" i="8"/>
  <c r="D2020" i="8" s="1"/>
  <c r="B2024" i="8"/>
  <c r="D2024" i="8" s="1"/>
  <c r="B798" i="8"/>
  <c r="D798" i="8" s="1"/>
  <c r="B861" i="8"/>
  <c r="D861" i="8" s="1"/>
  <c r="B956" i="8"/>
  <c r="D956" i="8" s="1"/>
  <c r="B988" i="8"/>
  <c r="D988" i="8" s="1"/>
  <c r="B1050" i="8"/>
  <c r="D1050" i="8" s="1"/>
  <c r="B1134" i="8"/>
  <c r="D1134" i="8" s="1"/>
  <c r="B1223" i="8"/>
  <c r="D1223" i="8" s="1"/>
  <c r="B1254" i="8"/>
  <c r="D1254" i="8" s="1"/>
  <c r="B1304" i="8"/>
  <c r="D1304" i="8" s="1"/>
  <c r="B1327" i="8"/>
  <c r="D1327" i="8" s="1"/>
  <c r="B1400" i="8"/>
  <c r="D1400" i="8" s="1"/>
  <c r="B1441" i="8"/>
  <c r="D1441" i="8" s="1"/>
  <c r="B856" i="8"/>
  <c r="D856" i="8" s="1"/>
  <c r="B930" i="8"/>
  <c r="D930" i="8" s="1"/>
  <c r="B984" i="8"/>
  <c r="D984" i="8" s="1"/>
  <c r="B1102" i="8"/>
  <c r="D1102" i="8" s="1"/>
  <c r="B1140" i="8"/>
  <c r="D1140" i="8" s="1"/>
  <c r="B1169" i="8"/>
  <c r="D1169" i="8" s="1"/>
  <c r="B1219" i="8"/>
  <c r="D1219" i="8" s="1"/>
  <c r="B1250" i="8"/>
  <c r="D1250" i="8" s="1"/>
  <c r="B1291" i="8"/>
  <c r="D1291" i="8" s="1"/>
  <c r="B657" i="8"/>
  <c r="D657" i="8" s="1"/>
  <c r="B666" i="8"/>
  <c r="D666" i="8" s="1"/>
  <c r="B680" i="8"/>
  <c r="D680" i="8" s="1"/>
  <c r="B689" i="8"/>
  <c r="D689" i="8" s="1"/>
  <c r="B694" i="8"/>
  <c r="D694" i="8" s="1"/>
  <c r="B705" i="8"/>
  <c r="D705" i="8" s="1"/>
  <c r="B751" i="8"/>
  <c r="D751" i="8" s="1"/>
  <c r="B765" i="8"/>
  <c r="D765" i="8" s="1"/>
  <c r="B774" i="8"/>
  <c r="D774" i="8" s="1"/>
  <c r="B783" i="8"/>
  <c r="D783" i="8" s="1"/>
  <c r="B797" i="8"/>
  <c r="D797" i="8" s="1"/>
  <c r="B806" i="8"/>
  <c r="D806" i="8" s="1"/>
  <c r="B1284" i="8"/>
  <c r="D1284" i="8" s="1"/>
  <c r="B1391" i="8"/>
  <c r="D1391" i="8" s="1"/>
  <c r="B1395" i="8"/>
  <c r="D1395" i="8" s="1"/>
  <c r="B1399" i="8"/>
  <c r="D1399" i="8" s="1"/>
  <c r="B1403" i="8"/>
  <c r="D1403" i="8" s="1"/>
  <c r="B1407" i="8"/>
  <c r="D1407" i="8" s="1"/>
  <c r="B1411" i="8"/>
  <c r="D1411" i="8" s="1"/>
  <c r="B1415" i="8"/>
  <c r="D1415" i="8" s="1"/>
  <c r="B1419" i="8"/>
  <c r="D1419" i="8" s="1"/>
  <c r="B1423" i="8"/>
  <c r="D1423" i="8" s="1"/>
  <c r="B1427" i="8"/>
  <c r="D1427" i="8" s="1"/>
  <c r="B1470" i="8"/>
  <c r="D1470" i="8" s="1"/>
  <c r="B1474" i="8"/>
  <c r="D1474" i="8" s="1"/>
  <c r="B1493" i="8"/>
  <c r="D1493" i="8" s="1"/>
  <c r="B1497" i="8"/>
  <c r="D1497" i="8" s="1"/>
  <c r="B1501" i="8"/>
  <c r="D1501" i="8" s="1"/>
  <c r="B1505" i="8"/>
  <c r="D1505" i="8" s="1"/>
  <c r="B1509" i="8"/>
  <c r="D1509" i="8" s="1"/>
  <c r="B1513" i="8"/>
  <c r="D1513" i="8" s="1"/>
  <c r="B1517" i="8"/>
  <c r="D1517" i="8" s="1"/>
  <c r="B1521" i="8"/>
  <c r="D1521" i="8" s="1"/>
  <c r="B1525" i="8"/>
  <c r="D1525" i="8" s="1"/>
  <c r="B1529" i="8"/>
  <c r="D1529" i="8" s="1"/>
  <c r="B1533" i="8"/>
  <c r="D1533" i="8" s="1"/>
  <c r="B1537" i="8"/>
  <c r="D1537" i="8" s="1"/>
  <c r="B1541" i="8"/>
  <c r="D1541" i="8" s="1"/>
  <c r="B1545" i="8"/>
  <c r="D1545" i="8" s="1"/>
  <c r="B1549" i="8"/>
  <c r="D1549" i="8" s="1"/>
  <c r="B1553" i="8"/>
  <c r="D1553" i="8" s="1"/>
  <c r="B1557" i="8"/>
  <c r="D1557" i="8" s="1"/>
  <c r="B1561" i="8"/>
  <c r="D1561" i="8" s="1"/>
  <c r="B1565" i="8"/>
  <c r="D1565" i="8" s="1"/>
  <c r="B1569" i="8"/>
  <c r="D1569" i="8" s="1"/>
  <c r="B1573" i="8"/>
  <c r="D1573" i="8" s="1"/>
  <c r="B1577" i="8"/>
  <c r="D1577" i="8" s="1"/>
  <c r="B1581" i="8"/>
  <c r="D1581" i="8" s="1"/>
  <c r="B198" i="8"/>
  <c r="D198" i="8" s="1"/>
  <c r="B275" i="8"/>
  <c r="D275" i="8" s="1"/>
  <c r="B287" i="8"/>
  <c r="D287" i="8" s="1"/>
  <c r="B292" i="8"/>
  <c r="D292" i="8" s="1"/>
  <c r="B304" i="8"/>
  <c r="D304" i="8" s="1"/>
  <c r="B331" i="8"/>
  <c r="D331" i="8" s="1"/>
  <c r="B452" i="8"/>
  <c r="D452" i="8" s="1"/>
  <c r="B464" i="8"/>
  <c r="D464" i="8" s="1"/>
  <c r="B469" i="8"/>
  <c r="D469" i="8" s="1"/>
  <c r="B475" i="8"/>
  <c r="D475" i="8" s="1"/>
  <c r="B485" i="8"/>
  <c r="D485" i="8" s="1"/>
  <c r="B501" i="8"/>
  <c r="D501" i="8" s="1"/>
  <c r="B513" i="8"/>
  <c r="D513" i="8" s="1"/>
  <c r="B518" i="8"/>
  <c r="D518" i="8" s="1"/>
  <c r="B544" i="8"/>
  <c r="D544" i="8" s="1"/>
  <c r="B559" i="8"/>
  <c r="D559" i="8" s="1"/>
  <c r="B576" i="8"/>
  <c r="D576" i="8" s="1"/>
  <c r="B585" i="8"/>
  <c r="D585" i="8" s="1"/>
  <c r="B599" i="8"/>
  <c r="D599" i="8" s="1"/>
  <c r="B608" i="8"/>
  <c r="D608" i="8" s="1"/>
  <c r="B618" i="8"/>
  <c r="D618" i="8" s="1"/>
  <c r="B623" i="8"/>
  <c r="D623" i="8" s="1"/>
  <c r="B635" i="8"/>
  <c r="D635" i="8" s="1"/>
  <c r="B640" i="8"/>
  <c r="D640" i="8" s="1"/>
  <c r="B649" i="8"/>
  <c r="D649" i="8" s="1"/>
  <c r="B658" i="8"/>
  <c r="D658" i="8" s="1"/>
  <c r="B672" i="8"/>
  <c r="D672" i="8" s="1"/>
  <c r="B681" i="8"/>
  <c r="D681" i="8" s="1"/>
  <c r="B690" i="8"/>
  <c r="D690" i="8" s="1"/>
  <c r="B711" i="8"/>
  <c r="D711" i="8" s="1"/>
  <c r="B206" i="8"/>
  <c r="D206" i="8" s="1"/>
  <c r="B212" i="8"/>
  <c r="D212" i="8" s="1"/>
  <c r="B264" i="8"/>
  <c r="D264" i="8" s="1"/>
  <c r="B299" i="8"/>
  <c r="D299" i="8" s="1"/>
  <c r="B379" i="8"/>
  <c r="D379" i="8" s="1"/>
  <c r="B399" i="8"/>
  <c r="D399" i="8" s="1"/>
  <c r="B414" i="8"/>
  <c r="D414" i="8" s="1"/>
  <c r="B441" i="8"/>
  <c r="D441" i="8" s="1"/>
  <c r="B480" i="8"/>
  <c r="D480" i="8" s="1"/>
  <c r="B496" i="8"/>
  <c r="D496" i="8" s="1"/>
  <c r="B525" i="8"/>
  <c r="D525" i="8" s="1"/>
  <c r="B571" i="8"/>
  <c r="D571" i="8" s="1"/>
  <c r="B581" i="8"/>
  <c r="D581" i="8" s="1"/>
  <c r="B595" i="8"/>
  <c r="D595" i="8" s="1"/>
  <c r="B1483" i="8"/>
  <c r="D1483" i="8" s="1"/>
  <c r="B1487" i="8"/>
  <c r="D1487" i="8" s="1"/>
  <c r="B1491" i="8"/>
  <c r="D1491" i="8" s="1"/>
  <c r="B954" i="8"/>
  <c r="D954" i="8" s="1"/>
  <c r="B963" i="8"/>
  <c r="D963" i="8" s="1"/>
  <c r="B972" i="8"/>
  <c r="D972" i="8" s="1"/>
  <c r="B986" i="8"/>
  <c r="D986" i="8" s="1"/>
  <c r="B995" i="8"/>
  <c r="D995" i="8" s="1"/>
  <c r="B1004" i="8"/>
  <c r="D1004" i="8" s="1"/>
  <c r="B1016" i="8"/>
  <c r="D1016" i="8" s="1"/>
  <c r="B1034" i="8"/>
  <c r="D1034" i="8" s="1"/>
  <c r="B1066" i="8"/>
  <c r="D1066" i="8" s="1"/>
  <c r="B1098" i="8"/>
  <c r="D1098" i="8" s="1"/>
  <c r="B1110" i="8"/>
  <c r="D1110" i="8" s="1"/>
  <c r="B1126" i="8"/>
  <c r="D1126" i="8" s="1"/>
  <c r="B1142" i="8"/>
  <c r="D1142" i="8" s="1"/>
  <c r="B1157" i="8"/>
  <c r="D1157" i="8" s="1"/>
  <c r="B1161" i="8"/>
  <c r="D1161" i="8" s="1"/>
  <c r="B1171" i="8"/>
  <c r="D1171" i="8" s="1"/>
  <c r="B1180" i="8"/>
  <c r="D1180" i="8" s="1"/>
  <c r="B1189" i="8"/>
  <c r="D1189" i="8" s="1"/>
  <c r="B1217" i="8"/>
  <c r="D1217" i="8" s="1"/>
  <c r="B1253" i="8"/>
  <c r="D1253" i="8" s="1"/>
  <c r="B1294" i="8"/>
  <c r="D1294" i="8" s="1"/>
  <c r="B1326" i="8"/>
  <c r="D1326" i="8" s="1"/>
  <c r="B1785" i="8"/>
  <c r="D1785" i="8" s="1"/>
  <c r="B1797" i="8"/>
  <c r="D1797" i="8" s="1"/>
  <c r="B1801" i="8"/>
  <c r="D1801" i="8" s="1"/>
  <c r="B1817" i="8"/>
  <c r="D1817" i="8" s="1"/>
  <c r="B1829" i="8"/>
  <c r="D1829" i="8" s="1"/>
  <c r="B1848" i="8"/>
  <c r="D1848" i="8" s="1"/>
  <c r="B1867" i="8"/>
  <c r="D1867" i="8" s="1"/>
  <c r="B1875" i="8"/>
  <c r="D1875" i="8" s="1"/>
  <c r="B1887" i="8"/>
  <c r="D1887" i="8" s="1"/>
  <c r="B1891" i="8"/>
  <c r="D1891" i="8" s="1"/>
  <c r="B1903" i="8"/>
  <c r="D1903" i="8" s="1"/>
  <c r="B1911" i="8"/>
  <c r="D1911" i="8" s="1"/>
  <c r="B1923" i="8"/>
  <c r="D1923" i="8" s="1"/>
  <c r="B1942" i="8"/>
  <c r="D1942" i="8" s="1"/>
  <c r="B2004" i="8"/>
  <c r="D2004" i="8" s="1"/>
  <c r="B2012" i="8"/>
  <c r="D2012" i="8" s="1"/>
  <c r="B757" i="8"/>
  <c r="D757" i="8" s="1"/>
  <c r="B823" i="8"/>
  <c r="D823" i="8" s="1"/>
  <c r="B939" i="8"/>
  <c r="D939" i="8" s="1"/>
  <c r="B970" i="8"/>
  <c r="D970" i="8" s="1"/>
  <c r="B1002" i="8"/>
  <c r="D1002" i="8" s="1"/>
  <c r="B1082" i="8"/>
  <c r="D1082" i="8" s="1"/>
  <c r="B1173" i="8"/>
  <c r="D1173" i="8" s="1"/>
  <c r="B1232" i="8"/>
  <c r="D1232" i="8" s="1"/>
  <c r="B1263" i="8"/>
  <c r="D1263" i="8" s="1"/>
  <c r="B1295" i="8"/>
  <c r="D1295" i="8" s="1"/>
  <c r="B1382" i="8"/>
  <c r="D1382" i="8" s="1"/>
  <c r="B1418" i="8"/>
  <c r="D1418" i="8" s="1"/>
  <c r="B1459" i="8"/>
  <c r="D1459" i="8" s="1"/>
  <c r="B885" i="8"/>
  <c r="D885" i="8" s="1"/>
  <c r="B921" i="8"/>
  <c r="D921" i="8" s="1"/>
  <c r="B1070" i="8"/>
  <c r="D1070" i="8" s="1"/>
  <c r="B1155" i="8"/>
  <c r="D1155" i="8" s="1"/>
  <c r="B1192" i="8"/>
  <c r="D1192" i="8" s="1"/>
  <c r="B1237" i="8"/>
  <c r="D1237" i="8" s="1"/>
  <c r="B1282" i="8"/>
  <c r="D1282" i="8" s="1"/>
  <c r="B1323" i="8"/>
  <c r="D1323" i="8" s="1"/>
  <c r="B1355" i="8"/>
  <c r="D1355" i="8" s="1"/>
  <c r="B1378" i="8"/>
  <c r="D1378" i="8" s="1"/>
  <c r="B1216" i="8"/>
  <c r="D1216" i="8" s="1"/>
  <c r="B1225" i="8"/>
  <c r="D1225" i="8" s="1"/>
  <c r="B1239" i="8"/>
  <c r="D1239" i="8" s="1"/>
  <c r="B1248" i="8"/>
  <c r="D1248" i="8" s="1"/>
  <c r="B1261" i="8"/>
  <c r="D1261" i="8" s="1"/>
  <c r="B1270" i="8"/>
  <c r="D1270" i="8" s="1"/>
  <c r="B1279" i="8"/>
  <c r="D1279" i="8" s="1"/>
  <c r="B1288" i="8"/>
  <c r="D1288" i="8" s="1"/>
  <c r="B1302" i="8"/>
  <c r="D1302" i="8" s="1"/>
  <c r="B1311" i="8"/>
  <c r="D1311" i="8" s="1"/>
  <c r="B1320" i="8"/>
  <c r="D1320" i="8" s="1"/>
  <c r="B1334" i="8"/>
  <c r="D1334" i="8" s="1"/>
  <c r="B1343" i="8"/>
  <c r="D1343" i="8" s="1"/>
  <c r="B1352" i="8"/>
  <c r="D1352" i="8" s="1"/>
  <c r="B1366" i="8"/>
  <c r="D1366" i="8" s="1"/>
  <c r="B1375" i="8"/>
  <c r="D1375" i="8" s="1"/>
  <c r="B1384" i="8"/>
  <c r="D1384" i="8" s="1"/>
  <c r="B1393" i="8"/>
  <c r="D1393" i="8" s="1"/>
  <c r="B1402" i="8"/>
  <c r="D1402" i="8" s="1"/>
  <c r="B1416" i="8"/>
  <c r="D1416" i="8" s="1"/>
  <c r="B1425" i="8"/>
  <c r="D1425" i="8" s="1"/>
  <c r="B1434" i="8"/>
  <c r="D1434" i="8" s="1"/>
  <c r="B1443" i="8"/>
  <c r="D1443" i="8" s="1"/>
  <c r="B1457" i="8"/>
  <c r="D1457" i="8" s="1"/>
  <c r="B732" i="8"/>
  <c r="D732" i="8" s="1"/>
  <c r="B775" i="8"/>
  <c r="D775" i="8" s="1"/>
  <c r="B782" i="8"/>
  <c r="D782" i="8" s="1"/>
  <c r="B789" i="8"/>
  <c r="D789" i="8" s="1"/>
  <c r="B821" i="8"/>
  <c r="D821" i="8" s="1"/>
  <c r="B840" i="8"/>
  <c r="D840" i="8" s="1"/>
  <c r="B853" i="8"/>
  <c r="D853" i="8" s="1"/>
  <c r="B870" i="8"/>
  <c r="D870" i="8" s="1"/>
  <c r="B876" i="8"/>
  <c r="D876" i="8" s="1"/>
  <c r="B888" i="8"/>
  <c r="D888" i="8" s="1"/>
  <c r="B905" i="8"/>
  <c r="D905" i="8" s="1"/>
  <c r="B914" i="8"/>
  <c r="D914" i="8" s="1"/>
  <c r="B923" i="8"/>
  <c r="D923" i="8" s="1"/>
  <c r="B937" i="8"/>
  <c r="D937" i="8" s="1"/>
  <c r="B959" i="8"/>
  <c r="D959" i="8" s="1"/>
  <c r="B968" i="8"/>
  <c r="D968" i="8" s="1"/>
  <c r="B982" i="8"/>
  <c r="D982" i="8" s="1"/>
  <c r="B991" i="8"/>
  <c r="D991" i="8" s="1"/>
  <c r="B1011" i="8"/>
  <c r="D1011" i="8" s="1"/>
  <c r="B1054" i="8"/>
  <c r="D1054" i="8" s="1"/>
  <c r="B1086" i="8"/>
  <c r="D1086" i="8" s="1"/>
  <c r="B1116" i="8"/>
  <c r="D1116" i="8" s="1"/>
  <c r="B1132" i="8"/>
  <c r="D1132" i="8" s="1"/>
  <c r="B1148" i="8"/>
  <c r="D1148" i="8" s="1"/>
  <c r="B1153" i="8"/>
  <c r="D1153" i="8" s="1"/>
  <c r="B1167" i="8"/>
  <c r="D1167" i="8" s="1"/>
  <c r="B1176" i="8"/>
  <c r="D1176" i="8" s="1"/>
  <c r="B1185" i="8"/>
  <c r="D1185" i="8" s="1"/>
  <c r="B1194" i="8"/>
  <c r="D1194" i="8" s="1"/>
  <c r="B1203" i="8"/>
  <c r="D1203" i="8" s="1"/>
  <c r="B1212" i="8"/>
  <c r="D1212" i="8" s="1"/>
  <c r="B1221" i="8"/>
  <c r="D1221" i="8" s="1"/>
  <c r="B1235" i="8"/>
  <c r="D1235" i="8" s="1"/>
  <c r="B1244" i="8"/>
  <c r="D1244" i="8" s="1"/>
  <c r="B1257" i="8"/>
  <c r="D1257" i="8" s="1"/>
  <c r="B1266" i="8"/>
  <c r="D1266" i="8" s="1"/>
  <c r="B1275" i="8"/>
  <c r="D1275" i="8" s="1"/>
  <c r="B1298" i="8"/>
  <c r="D1298" i="8" s="1"/>
  <c r="B1307" i="8"/>
  <c r="D1307" i="8" s="1"/>
  <c r="B1316" i="8"/>
  <c r="D1316" i="8" s="1"/>
  <c r="B860" i="8"/>
  <c r="D860" i="8" s="1"/>
  <c r="B865" i="8"/>
  <c r="D865" i="8" s="1"/>
  <c r="B894" i="8"/>
  <c r="D894" i="8" s="1"/>
  <c r="B910" i="8"/>
  <c r="D910" i="8" s="1"/>
  <c r="B919" i="8"/>
  <c r="D919" i="8" s="1"/>
  <c r="B933" i="8"/>
  <c r="D933" i="8" s="1"/>
  <c r="B955" i="8"/>
  <c r="D955" i="8" s="1"/>
  <c r="B964" i="8"/>
  <c r="D964" i="8" s="1"/>
  <c r="B978" i="8"/>
  <c r="D978" i="8" s="1"/>
  <c r="B987" i="8"/>
  <c r="D987" i="8" s="1"/>
  <c r="B996" i="8"/>
  <c r="D996" i="8" s="1"/>
  <c r="B1042" i="8"/>
  <c r="D1042" i="8" s="1"/>
  <c r="B1074" i="8"/>
  <c r="D1074" i="8" s="1"/>
  <c r="B1106" i="8"/>
  <c r="D1106" i="8" s="1"/>
  <c r="B1122" i="8"/>
  <c r="D1122" i="8" s="1"/>
  <c r="B1138" i="8"/>
  <c r="D1138" i="8" s="1"/>
  <c r="B1158" i="8"/>
  <c r="D1158" i="8" s="1"/>
  <c r="B1172" i="8"/>
  <c r="D1172" i="8" s="1"/>
  <c r="B1181" i="8"/>
  <c r="D1181" i="8" s="1"/>
  <c r="B1190" i="8"/>
  <c r="D1190" i="8" s="1"/>
  <c r="B1199" i="8"/>
  <c r="D1199" i="8" s="1"/>
  <c r="B1208" i="8"/>
  <c r="D1208" i="8" s="1"/>
  <c r="B925" i="8"/>
  <c r="D925" i="8" s="1"/>
  <c r="B951" i="8"/>
  <c r="D951" i="8" s="1"/>
  <c r="B1118" i="8"/>
  <c r="D1118" i="8" s="1"/>
  <c r="B1209" i="8"/>
  <c r="D1209" i="8" s="1"/>
  <c r="B1286" i="8"/>
  <c r="D1286" i="8" s="1"/>
  <c r="B1318" i="8"/>
  <c r="D1318" i="8" s="1"/>
  <c r="B1350" i="8"/>
  <c r="D1350" i="8" s="1"/>
  <c r="B1368" i="8"/>
  <c r="D1368" i="8" s="1"/>
  <c r="B843" i="8"/>
  <c r="D843" i="8" s="1"/>
  <c r="B907" i="8"/>
  <c r="D907" i="8" s="1"/>
  <c r="B975" i="8"/>
  <c r="D975" i="8" s="1"/>
  <c r="B1026" i="8"/>
  <c r="D1026" i="8" s="1"/>
  <c r="B1124" i="8"/>
  <c r="D1124" i="8" s="1"/>
  <c r="B1159" i="8"/>
  <c r="D1159" i="8" s="1"/>
  <c r="B1228" i="8"/>
  <c r="D1228" i="8" s="1"/>
  <c r="B1273" i="8"/>
  <c r="D1273" i="8" s="1"/>
  <c r="B1300" i="8"/>
  <c r="D1300" i="8" s="1"/>
  <c r="B1332" i="8"/>
  <c r="D1332" i="8" s="1"/>
  <c r="B1364" i="8"/>
  <c r="D1364" i="8" s="1"/>
  <c r="B1396" i="8"/>
  <c r="D1396" i="8" s="1"/>
  <c r="B1405" i="8"/>
  <c r="D1405" i="8" s="1"/>
  <c r="B1414" i="8"/>
  <c r="D1414" i="8" s="1"/>
  <c r="B744" i="8"/>
  <c r="D744" i="8" s="1"/>
  <c r="B766" i="8"/>
  <c r="D766" i="8" s="1"/>
  <c r="B773" i="8"/>
  <c r="D773" i="8" s="1"/>
  <c r="B819" i="8"/>
  <c r="D819" i="8" s="1"/>
  <c r="B824" i="8"/>
  <c r="D824" i="8" s="1"/>
  <c r="B862" i="8"/>
  <c r="D862" i="8" s="1"/>
  <c r="B874" i="8"/>
  <c r="D874" i="8" s="1"/>
  <c r="B892" i="8"/>
  <c r="D892" i="8" s="1"/>
  <c r="B897" i="8"/>
  <c r="D897" i="8" s="1"/>
  <c r="B917" i="8"/>
  <c r="D917" i="8" s="1"/>
  <c r="B926" i="8"/>
  <c r="D926" i="8" s="1"/>
  <c r="B935" i="8"/>
  <c r="D935" i="8" s="1"/>
  <c r="B947" i="8"/>
  <c r="D947" i="8" s="1"/>
  <c r="B962" i="8"/>
  <c r="D962" i="8" s="1"/>
  <c r="B971" i="8"/>
  <c r="D971" i="8" s="1"/>
  <c r="B980" i="8"/>
  <c r="D980" i="8" s="1"/>
  <c r="B994" i="8"/>
  <c r="D994" i="8" s="1"/>
  <c r="B1003" i="8"/>
  <c r="D1003" i="8" s="1"/>
  <c r="B1020" i="8"/>
  <c r="D1020" i="8" s="1"/>
  <c r="B1058" i="8"/>
  <c r="D1058" i="8" s="1"/>
  <c r="B1090" i="8"/>
  <c r="D1090" i="8" s="1"/>
  <c r="B1114" i="8"/>
  <c r="D1114" i="8" s="1"/>
  <c r="B1130" i="8"/>
  <c r="D1130" i="8" s="1"/>
  <c r="B1146" i="8"/>
  <c r="D1146" i="8" s="1"/>
  <c r="B1165" i="8"/>
  <c r="D1165" i="8" s="1"/>
  <c r="B1179" i="8"/>
  <c r="D1179" i="8" s="1"/>
  <c r="B1188" i="8"/>
  <c r="D1188" i="8" s="1"/>
  <c r="B1206" i="8"/>
  <c r="D1206" i="8" s="1"/>
  <c r="B1215" i="8"/>
  <c r="D1215" i="8" s="1"/>
  <c r="B1224" i="8"/>
  <c r="D1224" i="8" s="1"/>
  <c r="B1233" i="8"/>
  <c r="D1233" i="8" s="1"/>
  <c r="B1247" i="8"/>
  <c r="D1247" i="8" s="1"/>
  <c r="B1255" i="8"/>
  <c r="D1255" i="8" s="1"/>
  <c r="B1269" i="8"/>
  <c r="D1269" i="8" s="1"/>
  <c r="B1278" i="8"/>
  <c r="D1278" i="8" s="1"/>
  <c r="B1287" i="8"/>
  <c r="D1287" i="8" s="1"/>
  <c r="B1296" i="8"/>
  <c r="D1296" i="8" s="1"/>
  <c r="B1310" i="8"/>
  <c r="D1310" i="8" s="1"/>
  <c r="B1319" i="8"/>
  <c r="D1319" i="8" s="1"/>
  <c r="B1328" i="8"/>
  <c r="D1328" i="8" s="1"/>
  <c r="B1342" i="8"/>
  <c r="D1342" i="8" s="1"/>
  <c r="B1351" i="8"/>
  <c r="D1351" i="8" s="1"/>
  <c r="B1360" i="8"/>
  <c r="D1360" i="8" s="1"/>
  <c r="B1374" i="8"/>
  <c r="D1374" i="8" s="1"/>
  <c r="B1383" i="8"/>
  <c r="D1383" i="8" s="1"/>
  <c r="B1392" i="8"/>
  <c r="D1392" i="8" s="1"/>
  <c r="B1401" i="8"/>
  <c r="D1401" i="8" s="1"/>
  <c r="B1410" i="8"/>
  <c r="D1410" i="8" s="1"/>
  <c r="B1424" i="8"/>
  <c r="D1424" i="8" s="1"/>
  <c r="B1433" i="8"/>
  <c r="D1433" i="8" s="1"/>
  <c r="B1442" i="8"/>
  <c r="D1442" i="8" s="1"/>
  <c r="B1451" i="8"/>
  <c r="D1451" i="8" s="1"/>
  <c r="B1465" i="8"/>
  <c r="D1465" i="8" s="1"/>
  <c r="B1469" i="8"/>
  <c r="D1469" i="8" s="1"/>
  <c r="B1482" i="8"/>
  <c r="D1482" i="8" s="1"/>
  <c r="B1500" i="8"/>
  <c r="D1500" i="8" s="1"/>
  <c r="B1514" i="8"/>
  <c r="D1514" i="8" s="1"/>
  <c r="B1523" i="8"/>
  <c r="D1523" i="8" s="1"/>
  <c r="B1532" i="8"/>
  <c r="D1532" i="8" s="1"/>
  <c r="B1546" i="8"/>
  <c r="D1546" i="8" s="1"/>
  <c r="B1555" i="8"/>
  <c r="D1555" i="8" s="1"/>
  <c r="B1564" i="8"/>
  <c r="D1564" i="8" s="1"/>
  <c r="B1578" i="8"/>
  <c r="D1578" i="8" s="1"/>
  <c r="B1603" i="8"/>
  <c r="D1603" i="8" s="1"/>
  <c r="B1607" i="8"/>
  <c r="D1607" i="8" s="1"/>
  <c r="B1611" i="8"/>
  <c r="D1611" i="8" s="1"/>
  <c r="B1615" i="8"/>
  <c r="D1615" i="8" s="1"/>
  <c r="B1619" i="8"/>
  <c r="D1619" i="8" s="1"/>
  <c r="B1630" i="8"/>
  <c r="D1630" i="8" s="1"/>
  <c r="B1634" i="8"/>
  <c r="D1634" i="8" s="1"/>
  <c r="B1645" i="8"/>
  <c r="D1645" i="8" s="1"/>
  <c r="B1649" i="8"/>
  <c r="D1649" i="8" s="1"/>
  <c r="B1653" i="8"/>
  <c r="D1653" i="8" s="1"/>
  <c r="B1657" i="8"/>
  <c r="D1657" i="8" s="1"/>
  <c r="B1661" i="8"/>
  <c r="D1661" i="8" s="1"/>
  <c r="B1665" i="8"/>
  <c r="D1665" i="8" s="1"/>
  <c r="B1669" i="8"/>
  <c r="D1669" i="8" s="1"/>
  <c r="B1673" i="8"/>
  <c r="D1673" i="8" s="1"/>
  <c r="B1677" i="8"/>
  <c r="D1677" i="8" s="1"/>
  <c r="B1681" i="8"/>
  <c r="D1681" i="8" s="1"/>
  <c r="B1685" i="8"/>
  <c r="D1685" i="8" s="1"/>
  <c r="B1689" i="8"/>
  <c r="D1689" i="8" s="1"/>
  <c r="B1693" i="8"/>
  <c r="D1693" i="8" s="1"/>
  <c r="B1697" i="8"/>
  <c r="D1697" i="8" s="1"/>
  <c r="B1733" i="8"/>
  <c r="D1733" i="8" s="1"/>
  <c r="B1737" i="8"/>
  <c r="D1737" i="8" s="1"/>
  <c r="B1741" i="8"/>
  <c r="D1741" i="8" s="1"/>
  <c r="B1745" i="8"/>
  <c r="D1745" i="8" s="1"/>
  <c r="B1749" i="8"/>
  <c r="D1749" i="8" s="1"/>
  <c r="B1753" i="8"/>
  <c r="D1753" i="8" s="1"/>
  <c r="B1760" i="8"/>
  <c r="D1760" i="8" s="1"/>
  <c r="B1763" i="8"/>
  <c r="D1763" i="8" s="1"/>
  <c r="B1767" i="8"/>
  <c r="D1767" i="8" s="1"/>
  <c r="B1771" i="8"/>
  <c r="D1771" i="8" s="1"/>
  <c r="B1775" i="8"/>
  <c r="D1775" i="8" s="1"/>
  <c r="B1779" i="8"/>
  <c r="D1779" i="8" s="1"/>
  <c r="B1838" i="8"/>
  <c r="D1838" i="8" s="1"/>
  <c r="B1857" i="8"/>
  <c r="D1857" i="8" s="1"/>
  <c r="B1861" i="8"/>
  <c r="D1861" i="8" s="1"/>
  <c r="B1924" i="8"/>
  <c r="D1924" i="8" s="1"/>
  <c r="B1928" i="8"/>
  <c r="D1928" i="8" s="1"/>
  <c r="B1951" i="8"/>
  <c r="D1951" i="8" s="1"/>
  <c r="B1955" i="8"/>
  <c r="D1955" i="8" s="1"/>
  <c r="B1959" i="8"/>
  <c r="D1959" i="8" s="1"/>
  <c r="B1963" i="8"/>
  <c r="D1963" i="8" s="1"/>
  <c r="B1967" i="8"/>
  <c r="D1967" i="8" s="1"/>
  <c r="B1971" i="8"/>
  <c r="D1971" i="8" s="1"/>
  <c r="B1975" i="8"/>
  <c r="D1975" i="8" s="1"/>
  <c r="B1979" i="8"/>
  <c r="D1979" i="8" s="1"/>
  <c r="B1983" i="8"/>
  <c r="D1983" i="8" s="1"/>
  <c r="B1994" i="8"/>
  <c r="D1994" i="8" s="1"/>
  <c r="B1998" i="8"/>
  <c r="D1998" i="8" s="1"/>
  <c r="B1921" i="8"/>
  <c r="D1921" i="8" s="1"/>
  <c r="B1939" i="8"/>
  <c r="D1939" i="8" s="1"/>
  <c r="B1961" i="8"/>
  <c r="D1961" i="8" s="1"/>
  <c r="B1692" i="8"/>
  <c r="D1692" i="8" s="1"/>
  <c r="B1738" i="8"/>
  <c r="D1738" i="8" s="1"/>
  <c r="B1778" i="8"/>
  <c r="D1778" i="8" s="1"/>
  <c r="B1819" i="8"/>
  <c r="D1819" i="8" s="1"/>
  <c r="B1850" i="8"/>
  <c r="D1850" i="8" s="1"/>
  <c r="B1890" i="8"/>
  <c r="D1890" i="8" s="1"/>
  <c r="B1922" i="8"/>
  <c r="D1922" i="8" s="1"/>
  <c r="B1976" i="8"/>
  <c r="D1976" i="8" s="1"/>
  <c r="B1538" i="8"/>
  <c r="D1538" i="8" s="1"/>
  <c r="B1612" i="8"/>
  <c r="D1612" i="8" s="1"/>
  <c r="B1734" i="8"/>
  <c r="D1734" i="8" s="1"/>
  <c r="B1824" i="8"/>
  <c r="D1824" i="8" s="1"/>
  <c r="B1900" i="8"/>
  <c r="D1900" i="8" s="1"/>
  <c r="B1945" i="8"/>
  <c r="D1945" i="8" s="1"/>
  <c r="B2003" i="8"/>
  <c r="D2003" i="8" s="1"/>
  <c r="B2042" i="8"/>
  <c r="D2042" i="8" s="1"/>
  <c r="B2094" i="8"/>
  <c r="D2094" i="8" s="1"/>
  <c r="B2095" i="8"/>
  <c r="D2095" i="8" s="1"/>
  <c r="B2129" i="8"/>
  <c r="D2129" i="8" s="1"/>
  <c r="B2091" i="8"/>
  <c r="D2091" i="8" s="1"/>
  <c r="B2125" i="8"/>
  <c r="D2125" i="8" s="1"/>
  <c r="H58" i="8"/>
  <c r="B66" i="8"/>
  <c r="D66" i="8" s="1"/>
  <c r="B68" i="8"/>
  <c r="D68" i="8" s="1"/>
  <c r="B2089" i="8"/>
  <c r="D2089" i="8" s="1"/>
  <c r="B1330" i="8"/>
  <c r="D1330" i="8" s="1"/>
  <c r="B1417" i="8"/>
  <c r="D1417" i="8" s="1"/>
  <c r="B1481" i="8"/>
  <c r="D1481" i="8" s="1"/>
  <c r="B1518" i="8"/>
  <c r="D1518" i="8" s="1"/>
  <c r="B1528" i="8"/>
  <c r="D1528" i="8" s="1"/>
  <c r="B1543" i="8"/>
  <c r="D1543" i="8" s="1"/>
  <c r="B1559" i="8"/>
  <c r="D1559" i="8" s="1"/>
  <c r="B1574" i="8"/>
  <c r="D1574" i="8" s="1"/>
  <c r="B1584" i="8"/>
  <c r="D1584" i="8" s="1"/>
  <c r="B1608" i="8"/>
  <c r="D1608" i="8" s="1"/>
  <c r="B1617" i="8"/>
  <c r="D1617" i="8" s="1"/>
  <c r="B1626" i="8"/>
  <c r="D1626" i="8" s="1"/>
  <c r="B1534" i="8"/>
  <c r="D1534" i="8" s="1"/>
  <c r="B1539" i="8"/>
  <c r="D1539" i="8" s="1"/>
  <c r="B1554" i="8"/>
  <c r="D1554" i="8" s="1"/>
  <c r="B1570" i="8"/>
  <c r="D1570" i="8" s="1"/>
  <c r="B1580" i="8"/>
  <c r="D1580" i="8" s="1"/>
  <c r="B1594" i="8"/>
  <c r="D1594" i="8" s="1"/>
  <c r="B1604" i="8"/>
  <c r="D1604" i="8" s="1"/>
  <c r="B1613" i="8"/>
  <c r="D1613" i="8" s="1"/>
  <c r="B1622" i="8"/>
  <c r="D1622" i="8" s="1"/>
  <c r="B1631" i="8"/>
  <c r="D1631" i="8" s="1"/>
  <c r="B1639" i="8"/>
  <c r="D1639" i="8" s="1"/>
  <c r="B1648" i="8"/>
  <c r="D1648" i="8" s="1"/>
  <c r="B1662" i="8"/>
  <c r="D1662" i="8" s="1"/>
  <c r="B1671" i="8"/>
  <c r="D1671" i="8" s="1"/>
  <c r="B1680" i="8"/>
  <c r="D1680" i="8" s="1"/>
  <c r="B1694" i="8"/>
  <c r="D1694" i="8" s="1"/>
  <c r="B1705" i="8"/>
  <c r="D1705" i="8" s="1"/>
  <c r="B1718" i="8"/>
  <c r="D1718" i="8" s="1"/>
  <c r="B1726" i="8"/>
  <c r="D1726" i="8" s="1"/>
  <c r="B1735" i="8"/>
  <c r="D1735" i="8" s="1"/>
  <c r="B1744" i="8"/>
  <c r="D1744" i="8" s="1"/>
  <c r="B1766" i="8"/>
  <c r="D1766" i="8" s="1"/>
  <c r="B1780" i="8"/>
  <c r="D1780" i="8" s="1"/>
  <c r="B1784" i="8"/>
  <c r="D1784" i="8" s="1"/>
  <c r="B1798" i="8"/>
  <c r="D1798" i="8" s="1"/>
  <c r="B1807" i="8"/>
  <c r="D1807" i="8" s="1"/>
  <c r="B1816" i="8"/>
  <c r="D1816" i="8" s="1"/>
  <c r="B1830" i="8"/>
  <c r="D1830" i="8" s="1"/>
  <c r="B1839" i="8"/>
  <c r="D1839" i="8" s="1"/>
  <c r="B1847" i="8"/>
  <c r="D1847" i="8" s="1"/>
  <c r="B1860" i="8"/>
  <c r="D1860" i="8" s="1"/>
  <c r="B1869" i="8"/>
  <c r="D1869" i="8" s="1"/>
  <c r="B1878" i="8"/>
  <c r="D1878" i="8" s="1"/>
  <c r="B1892" i="8"/>
  <c r="D1892" i="8" s="1"/>
  <c r="B1901" i="8"/>
  <c r="D1901" i="8" s="1"/>
  <c r="B1910" i="8"/>
  <c r="D1910" i="8" s="1"/>
  <c r="B1937" i="8"/>
  <c r="D1937" i="8" s="1"/>
  <c r="B1950" i="8"/>
  <c r="D1950" i="8" s="1"/>
  <c r="B1964" i="8"/>
  <c r="D1964" i="8" s="1"/>
  <c r="B1973" i="8"/>
  <c r="D1973" i="8" s="1"/>
  <c r="B1982" i="8"/>
  <c r="D1982" i="8" s="1"/>
  <c r="B1991" i="8"/>
  <c r="D1991" i="8" s="1"/>
  <c r="B2009" i="8"/>
  <c r="D2009" i="8" s="1"/>
  <c r="B2018" i="8"/>
  <c r="D2018" i="8" s="1"/>
  <c r="B2027" i="8"/>
  <c r="D2027" i="8" s="1"/>
  <c r="B2031" i="8"/>
  <c r="D2031" i="8" s="1"/>
  <c r="B2035" i="8"/>
  <c r="D2035" i="8" s="1"/>
  <c r="B2039" i="8"/>
  <c r="D2039" i="8" s="1"/>
  <c r="B2043" i="8"/>
  <c r="D2043" i="8" s="1"/>
  <c r="B2047" i="8"/>
  <c r="D2047" i="8" s="1"/>
  <c r="B2051" i="8"/>
  <c r="D2051" i="8" s="1"/>
  <c r="B2055" i="8"/>
  <c r="D2055" i="8" s="1"/>
  <c r="B2059" i="8"/>
  <c r="D2059" i="8" s="1"/>
  <c r="B2063" i="8"/>
  <c r="D2063" i="8" s="1"/>
  <c r="B2067" i="8"/>
  <c r="D2067" i="8" s="1"/>
  <c r="B2071" i="8"/>
  <c r="D2071" i="8" s="1"/>
  <c r="B2075" i="8"/>
  <c r="D2075" i="8" s="1"/>
  <c r="B1339" i="8"/>
  <c r="D1339" i="8" s="1"/>
  <c r="B1412" i="8"/>
  <c r="D1412" i="8" s="1"/>
  <c r="B1437" i="8"/>
  <c r="D1437" i="8" s="1"/>
  <c r="B1462" i="8"/>
  <c r="D1462" i="8" s="1"/>
  <c r="B1473" i="8"/>
  <c r="D1473" i="8" s="1"/>
  <c r="B1477" i="8"/>
  <c r="D1477" i="8" s="1"/>
  <c r="B1488" i="8"/>
  <c r="D1488" i="8" s="1"/>
  <c r="B1504" i="8"/>
  <c r="D1504" i="8" s="1"/>
  <c r="B1519" i="8"/>
  <c r="D1519" i="8" s="1"/>
  <c r="B1524" i="8"/>
  <c r="D1524" i="8" s="1"/>
  <c r="B1550" i="8"/>
  <c r="D1550" i="8" s="1"/>
  <c r="B1560" i="8"/>
  <c r="D1560" i="8" s="1"/>
  <c r="B1575" i="8"/>
  <c r="D1575" i="8" s="1"/>
  <c r="B1590" i="8"/>
  <c r="D1590" i="8" s="1"/>
  <c r="B1599" i="8"/>
  <c r="D1599" i="8" s="1"/>
  <c r="B1609" i="8"/>
  <c r="D1609" i="8" s="1"/>
  <c r="B1618" i="8"/>
  <c r="D1618" i="8" s="1"/>
  <c r="B1627" i="8"/>
  <c r="D1627" i="8" s="1"/>
  <c r="B1636" i="8"/>
  <c r="D1636" i="8" s="1"/>
  <c r="B1644" i="8"/>
  <c r="D1644" i="8" s="1"/>
  <c r="B1658" i="8"/>
  <c r="D1658" i="8" s="1"/>
  <c r="B1667" i="8"/>
  <c r="D1667" i="8" s="1"/>
  <c r="B1676" i="8"/>
  <c r="D1676" i="8" s="1"/>
  <c r="B1690" i="8"/>
  <c r="D1690" i="8" s="1"/>
  <c r="B1699" i="8"/>
  <c r="D1699" i="8" s="1"/>
  <c r="B1702" i="8"/>
  <c r="D1702" i="8" s="1"/>
  <c r="B1715" i="8"/>
  <c r="D1715" i="8" s="1"/>
  <c r="B1722" i="8"/>
  <c r="D1722" i="8" s="1"/>
  <c r="B1731" i="8"/>
  <c r="D1731" i="8" s="1"/>
  <c r="B1740" i="8"/>
  <c r="D1740" i="8" s="1"/>
  <c r="B1754" i="8"/>
  <c r="D1754" i="8" s="1"/>
  <c r="B1758" i="8"/>
  <c r="D1758" i="8" s="1"/>
  <c r="B1776" i="8"/>
  <c r="D1776" i="8" s="1"/>
  <c r="B1794" i="8"/>
  <c r="D1794" i="8" s="1"/>
  <c r="B1803" i="8"/>
  <c r="D1803" i="8" s="1"/>
  <c r="B1812" i="8"/>
  <c r="D1812" i="8" s="1"/>
  <c r="B1826" i="8"/>
  <c r="D1826" i="8" s="1"/>
  <c r="B1835" i="8"/>
  <c r="D1835" i="8" s="1"/>
  <c r="B1843" i="8"/>
  <c r="D1843" i="8" s="1"/>
  <c r="B1856" i="8"/>
  <c r="D1856" i="8" s="1"/>
  <c r="B1865" i="8"/>
  <c r="D1865" i="8" s="1"/>
  <c r="B1874" i="8"/>
  <c r="D1874" i="8" s="1"/>
  <c r="B1888" i="8"/>
  <c r="D1888" i="8" s="1"/>
  <c r="B1897" i="8"/>
  <c r="D1897" i="8" s="1"/>
  <c r="B1906" i="8"/>
  <c r="D1906" i="8" s="1"/>
  <c r="B1920" i="8"/>
  <c r="D1920" i="8" s="1"/>
  <c r="B1952" i="8"/>
  <c r="D1952" i="8" s="1"/>
  <c r="B1970" i="8"/>
  <c r="D1970" i="8" s="1"/>
  <c r="B1729" i="8"/>
  <c r="D1729" i="8" s="1"/>
  <c r="B1756" i="8"/>
  <c r="D1756" i="8" s="1"/>
  <c r="B1787" i="8"/>
  <c r="D1787" i="8" s="1"/>
  <c r="B1828" i="8"/>
  <c r="D1828" i="8" s="1"/>
  <c r="B1872" i="8"/>
  <c r="D1872" i="8" s="1"/>
  <c r="B1913" i="8"/>
  <c r="D1913" i="8" s="1"/>
  <c r="B1940" i="8"/>
  <c r="D1940" i="8" s="1"/>
  <c r="B1962" i="8"/>
  <c r="D1962" i="8" s="1"/>
  <c r="B1507" i="8"/>
  <c r="D1507" i="8" s="1"/>
  <c r="B1563" i="8"/>
  <c r="D1563" i="8" s="1"/>
  <c r="B1638" i="8"/>
  <c r="D1638" i="8" s="1"/>
  <c r="B1670" i="8"/>
  <c r="D1670" i="8" s="1"/>
  <c r="B1713" i="8"/>
  <c r="D1713" i="8" s="1"/>
  <c r="B1765" i="8"/>
  <c r="D1765" i="8" s="1"/>
  <c r="B1846" i="8"/>
  <c r="D1846" i="8" s="1"/>
  <c r="B1936" i="8"/>
  <c r="D1936" i="8" s="1"/>
  <c r="B1958" i="8"/>
  <c r="D1958" i="8" s="1"/>
  <c r="B1981" i="8"/>
  <c r="D1981" i="8" s="1"/>
  <c r="B2026" i="8"/>
  <c r="D2026" i="8" s="1"/>
  <c r="B2034" i="8"/>
  <c r="D2034" i="8" s="1"/>
  <c r="B2046" i="8"/>
  <c r="D2046" i="8" s="1"/>
  <c r="B2058" i="8"/>
  <c r="D2058" i="8" s="1"/>
  <c r="B2074" i="8"/>
  <c r="D2074" i="8" s="1"/>
  <c r="B2086" i="8"/>
  <c r="D2086" i="8" s="1"/>
  <c r="B2098" i="8"/>
  <c r="D2098" i="8" s="1"/>
  <c r="H52" i="8"/>
  <c r="B2079" i="8"/>
  <c r="D2079" i="8" s="1"/>
  <c r="B2080" i="8"/>
  <c r="D2080" i="8" s="1"/>
  <c r="B2119" i="8"/>
  <c r="D2119" i="8" s="1"/>
  <c r="B2084" i="8"/>
  <c r="D2084" i="8" s="1"/>
  <c r="B2092" i="8"/>
  <c r="D2092" i="8" s="1"/>
  <c r="B2115" i="8"/>
  <c r="D2115" i="8" s="1"/>
  <c r="B2104" i="8"/>
  <c r="D2104" i="8" s="1"/>
  <c r="B1929" i="8"/>
  <c r="D1929" i="8" s="1"/>
  <c r="B1933" i="8"/>
  <c r="D1933" i="8" s="1"/>
  <c r="B1947" i="8"/>
  <c r="D1947" i="8" s="1"/>
  <c r="B1960" i="8"/>
  <c r="D1960" i="8" s="1"/>
  <c r="B1969" i="8"/>
  <c r="D1969" i="8" s="1"/>
  <c r="B1978" i="8"/>
  <c r="D1978" i="8" s="1"/>
  <c r="B1987" i="8"/>
  <c r="D1987" i="8" s="1"/>
  <c r="B1996" i="8"/>
  <c r="D1996" i="8" s="1"/>
  <c r="B2005" i="8"/>
  <c r="D2005" i="8" s="1"/>
  <c r="B2014" i="8"/>
  <c r="D2014" i="8" s="1"/>
  <c r="B2023" i="8"/>
  <c r="D2023" i="8" s="1"/>
  <c r="B1362" i="8"/>
  <c r="D1362" i="8" s="1"/>
  <c r="B1398" i="8"/>
  <c r="D1398" i="8" s="1"/>
  <c r="B1426" i="8"/>
  <c r="D1426" i="8" s="1"/>
  <c r="B1499" i="8"/>
  <c r="D1499" i="8" s="1"/>
  <c r="B1515" i="8"/>
  <c r="D1515" i="8" s="1"/>
  <c r="B1530" i="8"/>
  <c r="D1530" i="8" s="1"/>
  <c r="B1540" i="8"/>
  <c r="D1540" i="8" s="1"/>
  <c r="B1566" i="8"/>
  <c r="D1566" i="8" s="1"/>
  <c r="B1571" i="8"/>
  <c r="D1571" i="8" s="1"/>
  <c r="B1586" i="8"/>
  <c r="D1586" i="8" s="1"/>
  <c r="B1595" i="8"/>
  <c r="D1595" i="8" s="1"/>
  <c r="B1605" i="8"/>
  <c r="D1605" i="8" s="1"/>
  <c r="B1614" i="8"/>
  <c r="D1614" i="8" s="1"/>
  <c r="B1623" i="8"/>
  <c r="D1623" i="8" s="1"/>
  <c r="B1632" i="8"/>
  <c r="D1632" i="8" s="1"/>
  <c r="B1654" i="8"/>
  <c r="D1654" i="8" s="1"/>
  <c r="B1663" i="8"/>
  <c r="D1663" i="8" s="1"/>
  <c r="B1672" i="8"/>
  <c r="D1672" i="8" s="1"/>
  <c r="B1686" i="8"/>
  <c r="D1686" i="8" s="1"/>
  <c r="B1695" i="8"/>
  <c r="D1695" i="8" s="1"/>
  <c r="B1711" i="8"/>
  <c r="D1711" i="8" s="1"/>
  <c r="B1727" i="8"/>
  <c r="D1727" i="8" s="1"/>
  <c r="B1736" i="8"/>
  <c r="D1736" i="8" s="1"/>
  <c r="B1750" i="8"/>
  <c r="D1750" i="8" s="1"/>
  <c r="B1772" i="8"/>
  <c r="D1772" i="8" s="1"/>
  <c r="B1781" i="8"/>
  <c r="D1781" i="8" s="1"/>
  <c r="B1790" i="8"/>
  <c r="D1790" i="8" s="1"/>
  <c r="B1799" i="8"/>
  <c r="D1799" i="8" s="1"/>
  <c r="B1808" i="8"/>
  <c r="D1808" i="8" s="1"/>
  <c r="B1822" i="8"/>
  <c r="D1822" i="8" s="1"/>
  <c r="B1831" i="8"/>
  <c r="D1831" i="8" s="1"/>
  <c r="B1840" i="8"/>
  <c r="D1840" i="8" s="1"/>
  <c r="B1853" i="8"/>
  <c r="D1853" i="8" s="1"/>
  <c r="B1870" i="8"/>
  <c r="D1870" i="8" s="1"/>
  <c r="B1884" i="8"/>
  <c r="D1884" i="8" s="1"/>
  <c r="B1893" i="8"/>
  <c r="D1893" i="8" s="1"/>
  <c r="B1902" i="8"/>
  <c r="D1902" i="8" s="1"/>
  <c r="B1916" i="8"/>
  <c r="D1916" i="8" s="1"/>
  <c r="B1925" i="8"/>
  <c r="D1925" i="8" s="1"/>
  <c r="B1943" i="8"/>
  <c r="D1943" i="8" s="1"/>
  <c r="B1956" i="8"/>
  <c r="D1956" i="8" s="1"/>
  <c r="B1965" i="8"/>
  <c r="D1965" i="8" s="1"/>
  <c r="B1974" i="8"/>
  <c r="D1974" i="8" s="1"/>
  <c r="B1992" i="8"/>
  <c r="D1992" i="8" s="1"/>
  <c r="B2001" i="8"/>
  <c r="D2001" i="8" s="1"/>
  <c r="B2010" i="8"/>
  <c r="D2010" i="8" s="1"/>
  <c r="B2019" i="8"/>
  <c r="D2019" i="8" s="1"/>
  <c r="B2028" i="8"/>
  <c r="D2028" i="8" s="1"/>
  <c r="B2032" i="8"/>
  <c r="D2032" i="8" s="1"/>
  <c r="B2036" i="8"/>
  <c r="D2036" i="8" s="1"/>
  <c r="B2040" i="8"/>
  <c r="D2040" i="8" s="1"/>
  <c r="B2044" i="8"/>
  <c r="D2044" i="8" s="1"/>
  <c r="B2048" i="8"/>
  <c r="D2048" i="8" s="1"/>
  <c r="B2052" i="8"/>
  <c r="D2052" i="8" s="1"/>
  <c r="B2056" i="8"/>
  <c r="D2056" i="8" s="1"/>
  <c r="B2060" i="8"/>
  <c r="D2060" i="8" s="1"/>
  <c r="B2064" i="8"/>
  <c r="D2064" i="8" s="1"/>
  <c r="B1348" i="8"/>
  <c r="D1348" i="8" s="1"/>
  <c r="B1484" i="8"/>
  <c r="D1484" i="8" s="1"/>
  <c r="B1489" i="8"/>
  <c r="D1489" i="8" s="1"/>
  <c r="B1510" i="8"/>
  <c r="D1510" i="8" s="1"/>
  <c r="B1520" i="8"/>
  <c r="D1520" i="8" s="1"/>
  <c r="B1536" i="8"/>
  <c r="D1536" i="8" s="1"/>
  <c r="B1551" i="8"/>
  <c r="D1551" i="8" s="1"/>
  <c r="B1556" i="8"/>
  <c r="D1556" i="8" s="1"/>
  <c r="B1582" i="8"/>
  <c r="D1582" i="8" s="1"/>
  <c r="B1591" i="8"/>
  <c r="D1591" i="8" s="1"/>
  <c r="B1600" i="8"/>
  <c r="D1600" i="8" s="1"/>
  <c r="B1610" i="8"/>
  <c r="D1610" i="8" s="1"/>
  <c r="B1628" i="8"/>
  <c r="D1628" i="8" s="1"/>
  <c r="B1641" i="8"/>
  <c r="D1641" i="8" s="1"/>
  <c r="B1650" i="8"/>
  <c r="D1650" i="8" s="1"/>
  <c r="B1659" i="8"/>
  <c r="D1659" i="8" s="1"/>
  <c r="B1668" i="8"/>
  <c r="D1668" i="8" s="1"/>
  <c r="B1682" i="8"/>
  <c r="D1682" i="8" s="1"/>
  <c r="B1691" i="8"/>
  <c r="D1691" i="8" s="1"/>
  <c r="B1707" i="8"/>
  <c r="D1707" i="8" s="1"/>
  <c r="B1719" i="8"/>
  <c r="D1719" i="8" s="1"/>
  <c r="B1723" i="8"/>
  <c r="D1723" i="8" s="1"/>
  <c r="B1732" i="8"/>
  <c r="D1732" i="8" s="1"/>
  <c r="B1746" i="8"/>
  <c r="D1746" i="8" s="1"/>
  <c r="B1755" i="8"/>
  <c r="D1755" i="8" s="1"/>
  <c r="B1768" i="8"/>
  <c r="D1768" i="8" s="1"/>
  <c r="B1777" i="8"/>
  <c r="D1777" i="8" s="1"/>
  <c r="B1786" i="8"/>
  <c r="D1786" i="8" s="1"/>
  <c r="B1795" i="8"/>
  <c r="D1795" i="8" s="1"/>
  <c r="B1804" i="8"/>
  <c r="D1804" i="8" s="1"/>
  <c r="B1818" i="8"/>
  <c r="D1818" i="8" s="1"/>
  <c r="B1827" i="8"/>
  <c r="D1827" i="8" s="1"/>
  <c r="B1836" i="8"/>
  <c r="D1836" i="8" s="1"/>
  <c r="B1849" i="8"/>
  <c r="D1849" i="8" s="1"/>
  <c r="B1862" i="8"/>
  <c r="D1862" i="8" s="1"/>
  <c r="B1866" i="8"/>
  <c r="D1866" i="8" s="1"/>
  <c r="B1880" i="8"/>
  <c r="D1880" i="8" s="1"/>
  <c r="B1889" i="8"/>
  <c r="D1889" i="8" s="1"/>
  <c r="B1898" i="8"/>
  <c r="D1898" i="8" s="1"/>
  <c r="B1912" i="8"/>
  <c r="D1912" i="8" s="1"/>
  <c r="B1930" i="8"/>
  <c r="D1930" i="8" s="1"/>
  <c r="B1984" i="8"/>
  <c r="D1984" i="8" s="1"/>
  <c r="B1708" i="8"/>
  <c r="D1708" i="8" s="1"/>
  <c r="B1747" i="8"/>
  <c r="D1747" i="8" s="1"/>
  <c r="B1810" i="8"/>
  <c r="D1810" i="8" s="1"/>
  <c r="B1837" i="8"/>
  <c r="D1837" i="8" s="1"/>
  <c r="B1863" i="8"/>
  <c r="D1863" i="8" s="1"/>
  <c r="B1881" i="8"/>
  <c r="D1881" i="8" s="1"/>
  <c r="B1931" i="8"/>
  <c r="D1931" i="8" s="1"/>
  <c r="B1522" i="8"/>
  <c r="D1522" i="8" s="1"/>
  <c r="B1597" i="8"/>
  <c r="D1597" i="8" s="1"/>
  <c r="B1679" i="8"/>
  <c r="D1679" i="8" s="1"/>
  <c r="B1725" i="8"/>
  <c r="D1725" i="8" s="1"/>
  <c r="B1743" i="8"/>
  <c r="D1743" i="8" s="1"/>
  <c r="B1774" i="8"/>
  <c r="D1774" i="8" s="1"/>
  <c r="B1859" i="8"/>
  <c r="D1859" i="8" s="1"/>
  <c r="B1927" i="8"/>
  <c r="D1927" i="8" s="1"/>
  <c r="B1949" i="8"/>
  <c r="D1949" i="8" s="1"/>
  <c r="B2038" i="8"/>
  <c r="D2038" i="8" s="1"/>
  <c r="B2066" i="8"/>
  <c r="D2066" i="8" s="1"/>
  <c r="B2090" i="8"/>
  <c r="D2090" i="8" s="1"/>
  <c r="B2110" i="8"/>
  <c r="D2110" i="8" s="1"/>
  <c r="B2100" i="8"/>
  <c r="D2100" i="8" s="1"/>
  <c r="B2107" i="8"/>
  <c r="D2107" i="8" s="1"/>
  <c r="B2127" i="8"/>
  <c r="D2127" i="8" s="1"/>
  <c r="B67" i="8"/>
  <c r="D67" i="8" s="1"/>
  <c r="B1988" i="8"/>
  <c r="D1988" i="8" s="1"/>
  <c r="B1997" i="8"/>
  <c r="D1997" i="8" s="1"/>
  <c r="B2006" i="8"/>
  <c r="D2006" i="8" s="1"/>
  <c r="B2015" i="8"/>
  <c r="D2015" i="8" s="1"/>
  <c r="B2088" i="8"/>
  <c r="D2088" i="8" s="1"/>
  <c r="B2108" i="8"/>
  <c r="D2108" i="8" s="1"/>
  <c r="B2112" i="8"/>
  <c r="D2112" i="8" s="1"/>
  <c r="B2116" i="8"/>
  <c r="D2116" i="8" s="1"/>
  <c r="B2120" i="8"/>
  <c r="D2120" i="8" s="1"/>
  <c r="B2124" i="8"/>
  <c r="D2124" i="8" s="1"/>
  <c r="B2128" i="8"/>
  <c r="D2128" i="8" s="1"/>
  <c r="B2041" i="8"/>
  <c r="D2041" i="8" s="1"/>
  <c r="B2057" i="8"/>
  <c r="D2057" i="8" s="1"/>
  <c r="B2065" i="8"/>
  <c r="D2065" i="8" s="1"/>
  <c r="B2073" i="8"/>
  <c r="D2073" i="8" s="1"/>
  <c r="B2081" i="8"/>
  <c r="D2081" i="8" s="1"/>
  <c r="B2093" i="8"/>
  <c r="D2093" i="8" s="1"/>
  <c r="B2101" i="8"/>
  <c r="D2101" i="8" s="1"/>
  <c r="B65" i="8"/>
  <c r="D65" i="8" s="1"/>
  <c r="B1371" i="8"/>
  <c r="D1371" i="8" s="1"/>
  <c r="B1421" i="8"/>
  <c r="D1421" i="8" s="1"/>
  <c r="B1439" i="8"/>
  <c r="D1439" i="8" s="1"/>
  <c r="B1446" i="8"/>
  <c r="D1446" i="8" s="1"/>
  <c r="B1458" i="8"/>
  <c r="D1458" i="8" s="1"/>
  <c r="B1475" i="8"/>
  <c r="D1475" i="8" s="1"/>
  <c r="B1495" i="8"/>
  <c r="D1495" i="8" s="1"/>
  <c r="B1506" i="8"/>
  <c r="D1506" i="8" s="1"/>
  <c r="B1516" i="8"/>
  <c r="D1516" i="8" s="1"/>
  <c r="B1531" i="8"/>
  <c r="D1531" i="8" s="1"/>
  <c r="B1547" i="8"/>
  <c r="D1547" i="8" s="1"/>
  <c r="B1562" i="8"/>
  <c r="D1562" i="8" s="1"/>
  <c r="B1572" i="8"/>
  <c r="D1572" i="8" s="1"/>
  <c r="B1587" i="8"/>
  <c r="D1587" i="8" s="1"/>
  <c r="B1596" i="8"/>
  <c r="D1596" i="8" s="1"/>
  <c r="B1606" i="8"/>
  <c r="D1606" i="8" s="1"/>
  <c r="B1624" i="8"/>
  <c r="D1624" i="8" s="1"/>
  <c r="B1633" i="8"/>
  <c r="D1633" i="8" s="1"/>
  <c r="B1637" i="8"/>
  <c r="D1637" i="8" s="1"/>
  <c r="B1646" i="8"/>
  <c r="D1646" i="8" s="1"/>
  <c r="B1655" i="8"/>
  <c r="D1655" i="8" s="1"/>
  <c r="B1664" i="8"/>
  <c r="D1664" i="8" s="1"/>
  <c r="B1678" i="8"/>
  <c r="D1678" i="8" s="1"/>
  <c r="B1687" i="8"/>
  <c r="D1687" i="8" s="1"/>
  <c r="B1696" i="8"/>
  <c r="D1696" i="8" s="1"/>
  <c r="B1700" i="8"/>
  <c r="D1700" i="8" s="1"/>
  <c r="B1703" i="8"/>
  <c r="D1703" i="8" s="1"/>
  <c r="B1712" i="8"/>
  <c r="D1712" i="8" s="1"/>
  <c r="B1716" i="8"/>
  <c r="D1716" i="8" s="1"/>
  <c r="B1742" i="8"/>
  <c r="D1742" i="8" s="1"/>
  <c r="B1751" i="8"/>
  <c r="D1751" i="8" s="1"/>
  <c r="B1764" i="8"/>
  <c r="D1764" i="8" s="1"/>
  <c r="B1773" i="8"/>
  <c r="D1773" i="8" s="1"/>
  <c r="B1782" i="8"/>
  <c r="D1782" i="8" s="1"/>
  <c r="B1791" i="8"/>
  <c r="D1791" i="8" s="1"/>
  <c r="B1800" i="8"/>
  <c r="D1800" i="8" s="1"/>
  <c r="B1814" i="8"/>
  <c r="D1814" i="8" s="1"/>
  <c r="B1823" i="8"/>
  <c r="D1823" i="8" s="1"/>
  <c r="B1832" i="8"/>
  <c r="D1832" i="8" s="1"/>
  <c r="B1845" i="8"/>
  <c r="D1845" i="8" s="1"/>
  <c r="B1854" i="8"/>
  <c r="D1854" i="8" s="1"/>
  <c r="B1858" i="8"/>
  <c r="D1858" i="8" s="1"/>
  <c r="B1876" i="8"/>
  <c r="D1876" i="8" s="1"/>
  <c r="B1885" i="8"/>
  <c r="D1885" i="8" s="1"/>
  <c r="B1894" i="8"/>
  <c r="D1894" i="8" s="1"/>
  <c r="B1908" i="8"/>
  <c r="D1908" i="8" s="1"/>
  <c r="B1917" i="8"/>
  <c r="D1917" i="8" s="1"/>
  <c r="B1926" i="8"/>
  <c r="D1926" i="8" s="1"/>
  <c r="B1935" i="8"/>
  <c r="D1935" i="8" s="1"/>
  <c r="B1944" i="8"/>
  <c r="D1944" i="8" s="1"/>
  <c r="B1948" i="8"/>
  <c r="D1948" i="8" s="1"/>
  <c r="B1957" i="8"/>
  <c r="D1957" i="8" s="1"/>
  <c r="B1966" i="8"/>
  <c r="D1966" i="8" s="1"/>
  <c r="B1980" i="8"/>
  <c r="D1980" i="8" s="1"/>
  <c r="B1993" i="8"/>
  <c r="D1993" i="8" s="1"/>
  <c r="B2002" i="8"/>
  <c r="D2002" i="8" s="1"/>
  <c r="B2011" i="8"/>
  <c r="D2011" i="8" s="1"/>
  <c r="B2025" i="8"/>
  <c r="D2025" i="8" s="1"/>
  <c r="B2029" i="8"/>
  <c r="D2029" i="8" s="1"/>
  <c r="B2033" i="8"/>
  <c r="D2033" i="8" s="1"/>
  <c r="B1620" i="8"/>
  <c r="D1620" i="8" s="1"/>
  <c r="B1629" i="8"/>
  <c r="D1629" i="8" s="1"/>
  <c r="B1642" i="8"/>
  <c r="D1642" i="8" s="1"/>
  <c r="B1651" i="8"/>
  <c r="D1651" i="8" s="1"/>
  <c r="B1660" i="8"/>
  <c r="D1660" i="8" s="1"/>
  <c r="B1674" i="8"/>
  <c r="D1674" i="8" s="1"/>
  <c r="B1683" i="8"/>
  <c r="D1683" i="8" s="1"/>
  <c r="B1769" i="8"/>
  <c r="D1769" i="8" s="1"/>
  <c r="B1796" i="8"/>
  <c r="D1796" i="8" s="1"/>
  <c r="B1841" i="8"/>
  <c r="D1841" i="8" s="1"/>
  <c r="B1904" i="8"/>
  <c r="D1904" i="8" s="1"/>
  <c r="B1953" i="8"/>
  <c r="D1953" i="8" s="1"/>
  <c r="B2007" i="8"/>
  <c r="D2007" i="8" s="1"/>
  <c r="B1548" i="8"/>
  <c r="D1548" i="8" s="1"/>
  <c r="B1579" i="8"/>
  <c r="D1579" i="8" s="1"/>
  <c r="B1647" i="8"/>
  <c r="D1647" i="8" s="1"/>
  <c r="B1704" i="8"/>
  <c r="D1704" i="8" s="1"/>
  <c r="B1761" i="8"/>
  <c r="D1761" i="8" s="1"/>
  <c r="B1783" i="8"/>
  <c r="D1783" i="8" s="1"/>
  <c r="B1806" i="8"/>
  <c r="D1806" i="8" s="1"/>
  <c r="B1868" i="8"/>
  <c r="D1868" i="8" s="1"/>
  <c r="B1886" i="8"/>
  <c r="D1886" i="8" s="1"/>
  <c r="B1909" i="8"/>
  <c r="D1909" i="8" s="1"/>
  <c r="B1999" i="8"/>
  <c r="D1999" i="8" s="1"/>
  <c r="B2017" i="8"/>
  <c r="D2017" i="8" s="1"/>
  <c r="B2030" i="8"/>
  <c r="D2030" i="8" s="1"/>
  <c r="B2050" i="8"/>
  <c r="D2050" i="8" s="1"/>
  <c r="B2070" i="8"/>
  <c r="D2070" i="8" s="1"/>
  <c r="B2082" i="8"/>
  <c r="D2082" i="8" s="1"/>
  <c r="B2106" i="8"/>
  <c r="D2106" i="8" s="1"/>
  <c r="B2126" i="8"/>
  <c r="D2126" i="8" s="1"/>
  <c r="B2076" i="8"/>
  <c r="D2076" i="8" s="1"/>
  <c r="B2083" i="8"/>
  <c r="D2083" i="8" s="1"/>
  <c r="B2123" i="8"/>
  <c r="D2123" i="8" s="1"/>
  <c r="B2021" i="8"/>
  <c r="D2021" i="8" s="1"/>
  <c r="B2109" i="8"/>
  <c r="D2109" i="8" s="1"/>
  <c r="B2113" i="8"/>
  <c r="D2113" i="8" s="1"/>
  <c r="B2117" i="8"/>
  <c r="D2117" i="8" s="1"/>
  <c r="B2121" i="8"/>
  <c r="D2121" i="8" s="1"/>
  <c r="B1380" i="8"/>
  <c r="D1380" i="8" s="1"/>
  <c r="B1435" i="8"/>
  <c r="D1435" i="8" s="1"/>
  <c r="B1466" i="8"/>
  <c r="D1466" i="8" s="1"/>
  <c r="B1471" i="8"/>
  <c r="D1471" i="8" s="1"/>
  <c r="B1476" i="8"/>
  <c r="D1476" i="8" s="1"/>
  <c r="B1486" i="8"/>
  <c r="D1486" i="8" s="1"/>
  <c r="B1502" i="8"/>
  <c r="D1502" i="8" s="1"/>
  <c r="B1588" i="8"/>
  <c r="D1588" i="8" s="1"/>
  <c r="B1656" i="8"/>
  <c r="D1656" i="8" s="1"/>
  <c r="B1688" i="8"/>
  <c r="D1688" i="8" s="1"/>
  <c r="B1752" i="8"/>
  <c r="D1752" i="8" s="1"/>
  <c r="B1792" i="8"/>
  <c r="D1792" i="8" s="1"/>
  <c r="B1815" i="8"/>
  <c r="D1815" i="8" s="1"/>
  <c r="B1877" i="8"/>
  <c r="D1877" i="8" s="1"/>
  <c r="B1918" i="8"/>
  <c r="D1918" i="8" s="1"/>
  <c r="B1972" i="8"/>
  <c r="D1972" i="8" s="1"/>
  <c r="B1990" i="8"/>
  <c r="D1990" i="8" s="1"/>
  <c r="B2054" i="8"/>
  <c r="D2054" i="8" s="1"/>
  <c r="B2062" i="8"/>
  <c r="D2062" i="8" s="1"/>
  <c r="B2078" i="8"/>
  <c r="D2078" i="8" s="1"/>
  <c r="B2102" i="8"/>
  <c r="D2102" i="8" s="1"/>
  <c r="B2118" i="8"/>
  <c r="D2118" i="8" s="1"/>
  <c r="E58" i="8"/>
  <c r="B2111" i="8"/>
  <c r="D2111" i="8" s="1"/>
  <c r="B2068" i="8"/>
  <c r="D2068" i="8" s="1"/>
  <c r="B2096" i="8"/>
  <c r="D2096" i="8" s="1"/>
  <c r="B2131" i="8"/>
  <c r="D2131" i="8" s="1"/>
  <c r="B2087" i="8"/>
  <c r="D2087" i="8" s="1"/>
  <c r="B2103" i="8"/>
  <c r="D2103" i="8" s="1"/>
  <c r="B2099" i="8"/>
  <c r="D2099" i="8" s="1"/>
  <c r="B2072" i="8"/>
  <c r="D2072" i="8" s="1"/>
  <c r="E52" i="8"/>
  <c r="B224" i="8"/>
  <c r="D224" i="8" s="1"/>
  <c r="B229" i="8"/>
  <c r="D229" i="8" s="1"/>
  <c r="B240" i="8"/>
  <c r="D240" i="8" s="1"/>
  <c r="B245" i="8"/>
  <c r="D245" i="8" s="1"/>
  <c r="B319" i="8"/>
  <c r="D319" i="8" s="1"/>
  <c r="B324" i="8"/>
  <c r="D324" i="8" s="1"/>
  <c r="B335" i="8"/>
  <c r="D335" i="8" s="1"/>
  <c r="B340" i="8"/>
  <c r="D340" i="8" s="1"/>
  <c r="B351" i="8"/>
  <c r="D351" i="8" s="1"/>
  <c r="B356" i="8"/>
  <c r="D356" i="8" s="1"/>
  <c r="B367" i="8"/>
  <c r="D367" i="8" s="1"/>
  <c r="B372" i="8"/>
  <c r="D372" i="8" s="1"/>
  <c r="B383" i="8"/>
  <c r="D383" i="8" s="1"/>
  <c r="B388" i="8"/>
  <c r="D388" i="8" s="1"/>
  <c r="B402" i="8"/>
  <c r="D402" i="8" s="1"/>
  <c r="B407" i="8"/>
  <c r="D407" i="8" s="1"/>
  <c r="B418" i="8"/>
  <c r="D418" i="8" s="1"/>
  <c r="B423" i="8"/>
  <c r="D423" i="8" s="1"/>
  <c r="B434" i="8"/>
  <c r="D434" i="8" s="1"/>
  <c r="B508" i="8"/>
  <c r="D508" i="8" s="1"/>
  <c r="B512" i="8"/>
  <c r="D512" i="8" s="1"/>
  <c r="B516" i="8"/>
  <c r="D516" i="8" s="1"/>
  <c r="B520" i="8"/>
  <c r="D520" i="8" s="1"/>
  <c r="B524" i="8"/>
  <c r="D524" i="8" s="1"/>
  <c r="B532" i="8"/>
  <c r="D532" i="8" s="1"/>
  <c r="B541" i="8"/>
  <c r="D541" i="8" s="1"/>
  <c r="B555" i="8"/>
  <c r="D555" i="8" s="1"/>
  <c r="B564" i="8"/>
  <c r="D564" i="8" s="1"/>
  <c r="B573" i="8"/>
  <c r="D573" i="8" s="1"/>
  <c r="B617" i="8"/>
  <c r="D617" i="8" s="1"/>
  <c r="B621" i="8"/>
  <c r="D621" i="8" s="1"/>
  <c r="B625" i="8"/>
  <c r="D625" i="8" s="1"/>
  <c r="B629" i="8"/>
  <c r="D629" i="8" s="1"/>
  <c r="B633" i="8"/>
  <c r="D633" i="8" s="1"/>
  <c r="B637" i="8"/>
  <c r="D637" i="8" s="1"/>
  <c r="B688" i="8"/>
  <c r="D688" i="8" s="1"/>
  <c r="B692" i="8"/>
  <c r="D692" i="8" s="1"/>
  <c r="B696" i="8"/>
  <c r="D696" i="8" s="1"/>
  <c r="B700" i="8"/>
  <c r="D700" i="8" s="1"/>
  <c r="B719" i="8"/>
  <c r="D719" i="8" s="1"/>
  <c r="B723" i="8"/>
  <c r="D723" i="8" s="1"/>
  <c r="B727" i="8"/>
  <c r="D727" i="8" s="1"/>
  <c r="B731" i="8"/>
  <c r="D731" i="8" s="1"/>
  <c r="B735" i="8"/>
  <c r="D735" i="8" s="1"/>
  <c r="B739" i="8"/>
  <c r="D739" i="8" s="1"/>
  <c r="B743" i="8"/>
  <c r="D743" i="8" s="1"/>
  <c r="B826" i="8"/>
  <c r="D826" i="8" s="1"/>
  <c r="B830" i="8"/>
  <c r="D830" i="8" s="1"/>
  <c r="B834" i="8"/>
  <c r="D834" i="8" s="1"/>
  <c r="B838" i="8"/>
  <c r="D838" i="8" s="1"/>
  <c r="B842" i="8"/>
  <c r="D842" i="8" s="1"/>
  <c r="B846" i="8"/>
  <c r="D846" i="8" s="1"/>
  <c r="B419" i="8"/>
  <c r="D419" i="8" s="1"/>
  <c r="B174" i="8"/>
  <c r="D174" i="8" s="1"/>
  <c r="B188" i="8"/>
  <c r="D188" i="8" s="1"/>
  <c r="B225" i="8"/>
  <c r="D225" i="8" s="1"/>
  <c r="B232" i="8"/>
  <c r="D232" i="8" s="1"/>
  <c r="B320" i="8"/>
  <c r="D320" i="8" s="1"/>
  <c r="B327" i="8"/>
  <c r="D327" i="8" s="1"/>
  <c r="B352" i="8"/>
  <c r="D352" i="8" s="1"/>
  <c r="B359" i="8"/>
  <c r="D359" i="8" s="1"/>
  <c r="B384" i="8"/>
  <c r="D384" i="8" s="1"/>
  <c r="B440" i="8"/>
  <c r="D440" i="8" s="1"/>
  <c r="B445" i="8"/>
  <c r="D445" i="8" s="1"/>
  <c r="B456" i="8"/>
  <c r="D456" i="8" s="1"/>
  <c r="B461" i="8"/>
  <c r="D461" i="8" s="1"/>
  <c r="B472" i="8"/>
  <c r="D472" i="8" s="1"/>
  <c r="B481" i="8"/>
  <c r="D481" i="8" s="1"/>
  <c r="B500" i="8"/>
  <c r="D500" i="8" s="1"/>
  <c r="B505" i="8"/>
  <c r="D505" i="8" s="1"/>
  <c r="B510" i="8"/>
  <c r="D510" i="8" s="1"/>
  <c r="B521" i="8"/>
  <c r="D521" i="8" s="1"/>
  <c r="B526" i="8"/>
  <c r="D526" i="8" s="1"/>
  <c r="B537" i="8"/>
  <c r="D537" i="8" s="1"/>
  <c r="B543" i="8"/>
  <c r="D543" i="8" s="1"/>
  <c r="B568" i="8"/>
  <c r="D568" i="8" s="1"/>
  <c r="B578" i="8"/>
  <c r="D578" i="8" s="1"/>
  <c r="B582" i="8"/>
  <c r="D582" i="8" s="1"/>
  <c r="B586" i="8"/>
  <c r="D586" i="8" s="1"/>
  <c r="B590" i="8"/>
  <c r="D590" i="8" s="1"/>
  <c r="B594" i="8"/>
  <c r="D594" i="8" s="1"/>
  <c r="B598" i="8"/>
  <c r="D598" i="8" s="1"/>
  <c r="B602" i="8"/>
  <c r="D602" i="8" s="1"/>
  <c r="B606" i="8"/>
  <c r="D606" i="8" s="1"/>
  <c r="B610" i="8"/>
  <c r="D610" i="8" s="1"/>
  <c r="B614" i="8"/>
  <c r="D614" i="8" s="1"/>
  <c r="B639" i="8"/>
  <c r="D639" i="8" s="1"/>
  <c r="B643" i="8"/>
  <c r="D643" i="8" s="1"/>
  <c r="B647" i="8"/>
  <c r="D647" i="8" s="1"/>
  <c r="B946" i="8"/>
  <c r="D946" i="8" s="1"/>
  <c r="B950" i="8"/>
  <c r="D950" i="8" s="1"/>
  <c r="B1001" i="8"/>
  <c r="D1001" i="8" s="1"/>
  <c r="B1005" i="8"/>
  <c r="D1005" i="8" s="1"/>
  <c r="B1009" i="8"/>
  <c r="D1009" i="8" s="1"/>
  <c r="B1013" i="8"/>
  <c r="D1013" i="8" s="1"/>
  <c r="B1017" i="8"/>
  <c r="D1017" i="8" s="1"/>
  <c r="B1021" i="8"/>
  <c r="D1021" i="8" s="1"/>
  <c r="B1025" i="8"/>
  <c r="D1025" i="8" s="1"/>
  <c r="B1029" i="8"/>
  <c r="D1029" i="8" s="1"/>
  <c r="B220" i="8"/>
  <c r="D220" i="8" s="1"/>
  <c r="B241" i="8"/>
  <c r="D241" i="8" s="1"/>
  <c r="B248" i="8"/>
  <c r="D248" i="8" s="1"/>
  <c r="B283" i="8"/>
  <c r="D283" i="8" s="1"/>
  <c r="B415" i="8"/>
  <c r="D415" i="8" s="1"/>
  <c r="B460" i="8"/>
  <c r="D460" i="8" s="1"/>
  <c r="B487" i="8"/>
  <c r="D487" i="8" s="1"/>
  <c r="B497" i="8"/>
  <c r="D497" i="8" s="1"/>
  <c r="B509" i="8"/>
  <c r="D509" i="8" s="1"/>
  <c r="B533" i="8"/>
  <c r="D533" i="8" s="1"/>
  <c r="B551" i="8"/>
  <c r="D551" i="8" s="1"/>
  <c r="B556" i="8"/>
  <c r="D556" i="8" s="1"/>
  <c r="B567" i="8"/>
  <c r="D567" i="8" s="1"/>
  <c r="B587" i="8"/>
  <c r="D587" i="8" s="1"/>
  <c r="B596" i="8"/>
  <c r="D596" i="8" s="1"/>
  <c r="B605" i="8"/>
  <c r="D605" i="8" s="1"/>
  <c r="B646" i="8"/>
  <c r="D646" i="8" s="1"/>
  <c r="B660" i="8"/>
  <c r="D660" i="8" s="1"/>
  <c r="B669" i="8"/>
  <c r="D669" i="8" s="1"/>
  <c r="B678" i="8"/>
  <c r="D678" i="8" s="1"/>
  <c r="B698" i="8"/>
  <c r="D698" i="8" s="1"/>
  <c r="B708" i="8"/>
  <c r="D708" i="8" s="1"/>
  <c r="B740" i="8"/>
  <c r="D740" i="8" s="1"/>
  <c r="B745" i="8"/>
  <c r="D745" i="8" s="1"/>
  <c r="B754" i="8"/>
  <c r="D754" i="8" s="1"/>
  <c r="B763" i="8"/>
  <c r="D763" i="8" s="1"/>
  <c r="B777" i="8"/>
  <c r="D777" i="8" s="1"/>
  <c r="B786" i="8"/>
  <c r="D786" i="8" s="1"/>
  <c r="B795" i="8"/>
  <c r="D795" i="8" s="1"/>
  <c r="B809" i="8"/>
  <c r="D809" i="8" s="1"/>
  <c r="B818" i="8"/>
  <c r="D818" i="8" s="1"/>
  <c r="B850" i="8"/>
  <c r="D850" i="8" s="1"/>
  <c r="B864" i="8"/>
  <c r="D864" i="8" s="1"/>
  <c r="B873" i="8"/>
  <c r="D873" i="8" s="1"/>
  <c r="B882" i="8"/>
  <c r="D882" i="8" s="1"/>
  <c r="B896" i="8"/>
  <c r="D896" i="8" s="1"/>
  <c r="B936" i="8"/>
  <c r="D936" i="8" s="1"/>
  <c r="B945" i="8"/>
  <c r="D945" i="8" s="1"/>
  <c r="B1006" i="8"/>
  <c r="D1006" i="8" s="1"/>
  <c r="B1015" i="8"/>
  <c r="D1015" i="8" s="1"/>
  <c r="B1024" i="8"/>
  <c r="D1024" i="8" s="1"/>
  <c r="B1033" i="8"/>
  <c r="D1033" i="8" s="1"/>
  <c r="B1037" i="8"/>
  <c r="D1037" i="8" s="1"/>
  <c r="B1041" i="8"/>
  <c r="D1041" i="8" s="1"/>
  <c r="B1045" i="8"/>
  <c r="D1045" i="8" s="1"/>
  <c r="B1049" i="8"/>
  <c r="D1049" i="8" s="1"/>
  <c r="B1053" i="8"/>
  <c r="D1053" i="8" s="1"/>
  <c r="B1057" i="8"/>
  <c r="D1057" i="8" s="1"/>
  <c r="B1061" i="8"/>
  <c r="D1061" i="8" s="1"/>
  <c r="B1065" i="8"/>
  <c r="D1065" i="8" s="1"/>
  <c r="B1069" i="8"/>
  <c r="D1069" i="8" s="1"/>
  <c r="B1073" i="8"/>
  <c r="D1073" i="8" s="1"/>
  <c r="B1077" i="8"/>
  <c r="D1077" i="8" s="1"/>
  <c r="B1081" i="8"/>
  <c r="D1081" i="8" s="1"/>
  <c r="B1085" i="8"/>
  <c r="D1085" i="8" s="1"/>
  <c r="B1089" i="8"/>
  <c r="D1089" i="8" s="1"/>
  <c r="B1093" i="8"/>
  <c r="D1093" i="8" s="1"/>
  <c r="B1097" i="8"/>
  <c r="D1097" i="8" s="1"/>
  <c r="B1101" i="8"/>
  <c r="D1101" i="8" s="1"/>
  <c r="B1105" i="8"/>
  <c r="D1105" i="8" s="1"/>
  <c r="B1109" i="8"/>
  <c r="D1109" i="8" s="1"/>
  <c r="B1113" i="8"/>
  <c r="D1113" i="8" s="1"/>
  <c r="B1117" i="8"/>
  <c r="D1117" i="8" s="1"/>
  <c r="B1121" i="8"/>
  <c r="D1121" i="8" s="1"/>
  <c r="B1125" i="8"/>
  <c r="D1125" i="8" s="1"/>
  <c r="B1129" i="8"/>
  <c r="D1129" i="8" s="1"/>
  <c r="B1133" i="8"/>
  <c r="D1133" i="8" s="1"/>
  <c r="B1137" i="8"/>
  <c r="D1137" i="8" s="1"/>
  <c r="B1141" i="8"/>
  <c r="D1141" i="8" s="1"/>
  <c r="B1145" i="8"/>
  <c r="D1145" i="8" s="1"/>
  <c r="B1149" i="8"/>
  <c r="D1149" i="8" s="1"/>
  <c r="B1160" i="8"/>
  <c r="D1160" i="8" s="1"/>
  <c r="B1164" i="8"/>
  <c r="D1164" i="8" s="1"/>
  <c r="B236" i="8"/>
  <c r="D236" i="8" s="1"/>
  <c r="B255" i="8"/>
  <c r="D255" i="8" s="1"/>
  <c r="B260" i="8"/>
  <c r="D260" i="8" s="1"/>
  <c r="B272" i="8"/>
  <c r="D272" i="8" s="1"/>
  <c r="B307" i="8"/>
  <c r="D307" i="8" s="1"/>
  <c r="B347" i="8"/>
  <c r="D347" i="8" s="1"/>
  <c r="B368" i="8"/>
  <c r="D368" i="8" s="1"/>
  <c r="B375" i="8"/>
  <c r="D375" i="8" s="1"/>
  <c r="B449" i="8"/>
  <c r="D449" i="8" s="1"/>
  <c r="B477" i="8"/>
  <c r="D477" i="8" s="1"/>
  <c r="B504" i="8"/>
  <c r="D504" i="8" s="1"/>
  <c r="B561" i="8"/>
  <c r="D561" i="8" s="1"/>
  <c r="B583" i="8"/>
  <c r="D583" i="8" s="1"/>
  <c r="B592" i="8"/>
  <c r="D592" i="8" s="1"/>
  <c r="B601" i="8"/>
  <c r="D601" i="8" s="1"/>
  <c r="B638" i="8"/>
  <c r="D638" i="8" s="1"/>
  <c r="B642" i="8"/>
  <c r="D642" i="8" s="1"/>
  <c r="B656" i="8"/>
  <c r="D656" i="8" s="1"/>
  <c r="B665" i="8"/>
  <c r="D665" i="8" s="1"/>
  <c r="B674" i="8"/>
  <c r="D674" i="8" s="1"/>
  <c r="B693" i="8"/>
  <c r="D693" i="8" s="1"/>
  <c r="B704" i="8"/>
  <c r="D704" i="8" s="1"/>
  <c r="B713" i="8"/>
  <c r="D713" i="8" s="1"/>
  <c r="B717" i="8"/>
  <c r="D717" i="8" s="1"/>
  <c r="B729" i="8"/>
  <c r="D729" i="8" s="1"/>
  <c r="B750" i="8"/>
  <c r="D750" i="8" s="1"/>
  <c r="B759" i="8"/>
  <c r="D759" i="8" s="1"/>
  <c r="B180" i="8"/>
  <c r="D180" i="8" s="1"/>
  <c r="B267" i="8"/>
  <c r="D267" i="8" s="1"/>
  <c r="B296" i="8"/>
  <c r="D296" i="8" s="1"/>
  <c r="B363" i="8"/>
  <c r="D363" i="8" s="1"/>
  <c r="B431" i="8"/>
  <c r="D431" i="8" s="1"/>
  <c r="B444" i="8"/>
  <c r="D444" i="8" s="1"/>
  <c r="B473" i="8"/>
  <c r="D473" i="8" s="1"/>
  <c r="B488" i="8"/>
  <c r="D488" i="8" s="1"/>
  <c r="B493" i="8"/>
  <c r="D493" i="8" s="1"/>
  <c r="B522" i="8"/>
  <c r="D522" i="8" s="1"/>
  <c r="B547" i="8"/>
  <c r="D547" i="8" s="1"/>
  <c r="B552" i="8"/>
  <c r="D552" i="8" s="1"/>
  <c r="B557" i="8"/>
  <c r="D557" i="8" s="1"/>
  <c r="B579" i="8"/>
  <c r="D579" i="8" s="1"/>
  <c r="B588" i="8"/>
  <c r="D588" i="8" s="1"/>
  <c r="B597" i="8"/>
  <c r="D597" i="8" s="1"/>
  <c r="B611" i="8"/>
  <c r="D611" i="8" s="1"/>
  <c r="B627" i="8"/>
  <c r="D627" i="8" s="1"/>
  <c r="B652" i="8"/>
  <c r="D652" i="8" s="1"/>
  <c r="B815" i="8"/>
  <c r="D815" i="8" s="1"/>
  <c r="B251" i="8"/>
  <c r="D251" i="8" s="1"/>
  <c r="B280" i="8"/>
  <c r="D280" i="8" s="1"/>
  <c r="B315" i="8"/>
  <c r="D315" i="8" s="1"/>
  <c r="B336" i="8"/>
  <c r="D336" i="8" s="1"/>
  <c r="B343" i="8"/>
  <c r="D343" i="8" s="1"/>
  <c r="B364" i="8"/>
  <c r="D364" i="8" s="1"/>
  <c r="B426" i="8"/>
  <c r="D426" i="8" s="1"/>
  <c r="B457" i="8"/>
  <c r="D457" i="8" s="1"/>
  <c r="B479" i="8"/>
  <c r="D479" i="8" s="1"/>
  <c r="B489" i="8"/>
  <c r="D489" i="8" s="1"/>
  <c r="B506" i="8"/>
  <c r="D506" i="8" s="1"/>
  <c r="B548" i="8"/>
  <c r="D548" i="8" s="1"/>
  <c r="B553" i="8"/>
  <c r="D553" i="8" s="1"/>
  <c r="B580" i="8"/>
  <c r="D580" i="8" s="1"/>
  <c r="B589" i="8"/>
  <c r="D589" i="8" s="1"/>
  <c r="B603" i="8"/>
  <c r="D603" i="8" s="1"/>
  <c r="B612" i="8"/>
  <c r="D612" i="8" s="1"/>
  <c r="B644" i="8"/>
  <c r="D644" i="8" s="1"/>
  <c r="B653" i="8"/>
  <c r="D653" i="8" s="1"/>
  <c r="B662" i="8"/>
  <c r="D662" i="8" s="1"/>
  <c r="B676" i="8"/>
  <c r="D676" i="8" s="1"/>
  <c r="B685" i="8"/>
  <c r="D685" i="8" s="1"/>
  <c r="B701" i="8"/>
  <c r="D701" i="8" s="1"/>
  <c r="B715" i="8"/>
  <c r="D715" i="8" s="1"/>
  <c r="B737" i="8"/>
  <c r="D737" i="8" s="1"/>
  <c r="B747" i="8"/>
  <c r="D747" i="8" s="1"/>
  <c r="B761" i="8"/>
  <c r="D761" i="8" s="1"/>
  <c r="B770" i="8"/>
  <c r="D770" i="8" s="1"/>
  <c r="B779" i="8"/>
  <c r="D779" i="8" s="1"/>
  <c r="B793" i="8"/>
  <c r="D793" i="8" s="1"/>
  <c r="B802" i="8"/>
  <c r="D802" i="8" s="1"/>
  <c r="B811" i="8"/>
  <c r="D811" i="8" s="1"/>
  <c r="B848" i="8"/>
  <c r="D848" i="8" s="1"/>
  <c r="B857" i="8"/>
  <c r="D857" i="8" s="1"/>
  <c r="B866" i="8"/>
  <c r="D866" i="8" s="1"/>
  <c r="B880" i="8"/>
  <c r="D880" i="8" s="1"/>
  <c r="B889" i="8"/>
  <c r="D889" i="8" s="1"/>
  <c r="B898" i="8"/>
  <c r="D898" i="8" s="1"/>
  <c r="B943" i="8"/>
  <c r="D943" i="8" s="1"/>
  <c r="B952" i="8"/>
  <c r="D952" i="8" s="1"/>
  <c r="B1008" i="8"/>
  <c r="D1008" i="8" s="1"/>
  <c r="B1022" i="8"/>
  <c r="D1022" i="8" s="1"/>
  <c r="B1031" i="8"/>
  <c r="D1031" i="8" s="1"/>
  <c r="B1035" i="8"/>
  <c r="D1035" i="8" s="1"/>
  <c r="B1039" i="8"/>
  <c r="D1039" i="8" s="1"/>
  <c r="B1043" i="8"/>
  <c r="D1043" i="8" s="1"/>
  <c r="B1047" i="8"/>
  <c r="D1047" i="8" s="1"/>
  <c r="B1051" i="8"/>
  <c r="D1051" i="8" s="1"/>
  <c r="B1055" i="8"/>
  <c r="D1055" i="8" s="1"/>
  <c r="B1059" i="8"/>
  <c r="D1059" i="8" s="1"/>
  <c r="B1063" i="8"/>
  <c r="D1063" i="8" s="1"/>
  <c r="B1067" i="8"/>
  <c r="D1067" i="8" s="1"/>
  <c r="B1071" i="8"/>
  <c r="D1071" i="8" s="1"/>
  <c r="B1075" i="8"/>
  <c r="D1075" i="8" s="1"/>
  <c r="B1079" i="8"/>
  <c r="D1079" i="8" s="1"/>
  <c r="B1083" i="8"/>
  <c r="D1083" i="8" s="1"/>
  <c r="B1087" i="8"/>
  <c r="D1087" i="8" s="1"/>
  <c r="B1091" i="8"/>
  <c r="D1091" i="8" s="1"/>
  <c r="B1095" i="8"/>
  <c r="D1095" i="8" s="1"/>
  <c r="B1099" i="8"/>
  <c r="D1099" i="8" s="1"/>
  <c r="B1103" i="8"/>
  <c r="D1103" i="8" s="1"/>
  <c r="B1107" i="8"/>
  <c r="D1107" i="8" s="1"/>
  <c r="B1111" i="8"/>
  <c r="D1111" i="8" s="1"/>
  <c r="B1115" i="8"/>
  <c r="D1115" i="8" s="1"/>
  <c r="B1119" i="8"/>
  <c r="D1119" i="8" s="1"/>
  <c r="B1123" i="8"/>
  <c r="D1123" i="8" s="1"/>
  <c r="B1127" i="8"/>
  <c r="D1127" i="8" s="1"/>
  <c r="B1131" i="8"/>
  <c r="D1131" i="8" s="1"/>
  <c r="B1135" i="8"/>
  <c r="D1135" i="8" s="1"/>
  <c r="B1139" i="8"/>
  <c r="D1139" i="8" s="1"/>
  <c r="B1143" i="8"/>
  <c r="D1143" i="8" s="1"/>
  <c r="B1147" i="8"/>
  <c r="D1147" i="8" s="1"/>
  <c r="B1151" i="8"/>
  <c r="D1151" i="8" s="1"/>
  <c r="B1162" i="8"/>
  <c r="D1162" i="8" s="1"/>
  <c r="B1166" i="8"/>
  <c r="D1166" i="8" s="1"/>
  <c r="B1170" i="8"/>
  <c r="D1170" i="8" s="1"/>
  <c r="B1174" i="8"/>
  <c r="D1174" i="8" s="1"/>
  <c r="B1178" i="8"/>
  <c r="D1178" i="8" s="1"/>
  <c r="B1182" i="8"/>
  <c r="D1182" i="8" s="1"/>
  <c r="B1193" i="8"/>
  <c r="D1193" i="8" s="1"/>
  <c r="B1197" i="8"/>
  <c r="D1197" i="8" s="1"/>
  <c r="B1201" i="8"/>
  <c r="D1201" i="8" s="1"/>
  <c r="B1205" i="8"/>
  <c r="D1205" i="8" s="1"/>
  <c r="B1252" i="8"/>
  <c r="D1252" i="8" s="1"/>
  <c r="B1256" i="8"/>
  <c r="D1256" i="8" s="1"/>
  <c r="B1260" i="8"/>
  <c r="D1260" i="8" s="1"/>
  <c r="B1264" i="8"/>
  <c r="D1264" i="8" s="1"/>
  <c r="B1268" i="8"/>
  <c r="D1268" i="8" s="1"/>
  <c r="B1272" i="8"/>
  <c r="D1272" i="8" s="1"/>
  <c r="B1276" i="8"/>
  <c r="D1276" i="8" s="1"/>
  <c r="B1280" i="8"/>
  <c r="D1280" i="8" s="1"/>
  <c r="B604" i="8"/>
  <c r="D604" i="8" s="1"/>
  <c r="B613" i="8"/>
  <c r="D613" i="8" s="1"/>
  <c r="B630" i="8"/>
  <c r="D630" i="8" s="1"/>
  <c r="B645" i="8"/>
  <c r="D645" i="8" s="1"/>
  <c r="B654" i="8"/>
  <c r="D654" i="8" s="1"/>
  <c r="B668" i="8"/>
  <c r="D668" i="8" s="1"/>
  <c r="B677" i="8"/>
  <c r="D677" i="8" s="1"/>
  <c r="B686" i="8"/>
  <c r="D686" i="8" s="1"/>
  <c r="B707" i="8"/>
  <c r="D707" i="8" s="1"/>
  <c r="B716" i="8"/>
  <c r="D716" i="8" s="1"/>
  <c r="B721" i="8"/>
  <c r="D721" i="8" s="1"/>
  <c r="B753" i="8"/>
  <c r="D753" i="8" s="1"/>
  <c r="B762" i="8"/>
  <c r="D762" i="8" s="1"/>
  <c r="B771" i="8"/>
  <c r="D771" i="8" s="1"/>
  <c r="B785" i="8"/>
  <c r="D785" i="8" s="1"/>
  <c r="B794" i="8"/>
  <c r="D794" i="8" s="1"/>
  <c r="B803" i="8"/>
  <c r="D803" i="8" s="1"/>
  <c r="B817" i="8"/>
  <c r="D817" i="8" s="1"/>
  <c r="B832" i="8"/>
  <c r="D832" i="8" s="1"/>
  <c r="B849" i="8"/>
  <c r="D849" i="8" s="1"/>
  <c r="B858" i="8"/>
  <c r="D858" i="8" s="1"/>
  <c r="B872" i="8"/>
  <c r="D872" i="8" s="1"/>
  <c r="B881" i="8"/>
  <c r="D881" i="8" s="1"/>
  <c r="B890" i="8"/>
  <c r="D890" i="8" s="1"/>
  <c r="B904" i="8"/>
  <c r="D904" i="8" s="1"/>
  <c r="B944" i="8"/>
  <c r="D944" i="8" s="1"/>
  <c r="B1000" i="8"/>
  <c r="D1000" i="8" s="1"/>
  <c r="B1014" i="8"/>
  <c r="D1014" i="8" s="1"/>
  <c r="B1023" i="8"/>
  <c r="D1023" i="8" s="1"/>
  <c r="B1032" i="8"/>
  <c r="D1032" i="8" s="1"/>
  <c r="B1036" i="8"/>
  <c r="D1036" i="8" s="1"/>
  <c r="B1040" i="8"/>
  <c r="D1040" i="8" s="1"/>
  <c r="B1044" i="8"/>
  <c r="D1044" i="8" s="1"/>
  <c r="B1048" i="8"/>
  <c r="D1048" i="8" s="1"/>
  <c r="B1052" i="8"/>
  <c r="D1052" i="8" s="1"/>
  <c r="B1056" i="8"/>
  <c r="D1056" i="8" s="1"/>
  <c r="B1060" i="8"/>
  <c r="D1060" i="8" s="1"/>
  <c r="B1064" i="8"/>
  <c r="D1064" i="8" s="1"/>
  <c r="B1068" i="8"/>
  <c r="D1068" i="8" s="1"/>
  <c r="B1072" i="8"/>
  <c r="D1072" i="8" s="1"/>
  <c r="B1076" i="8"/>
  <c r="D1076" i="8" s="1"/>
  <c r="B1080" i="8"/>
  <c r="D1080" i="8" s="1"/>
  <c r="B1084" i="8"/>
  <c r="D1084" i="8" s="1"/>
  <c r="B1088" i="8"/>
  <c r="D1088" i="8" s="1"/>
  <c r="B1092" i="8"/>
  <c r="D1092" i="8" s="1"/>
  <c r="B1096" i="8"/>
  <c r="D1096" i="8" s="1"/>
  <c r="B1100" i="8"/>
  <c r="D1100" i="8" s="1"/>
  <c r="B1104" i="8"/>
  <c r="D1104" i="8" s="1"/>
  <c r="B259" i="8"/>
  <c r="D259" i="8" s="1"/>
  <c r="B271" i="8"/>
  <c r="D271" i="8" s="1"/>
  <c r="B276" i="8"/>
  <c r="D276" i="8" s="1"/>
  <c r="B288" i="8"/>
  <c r="D288" i="8" s="1"/>
  <c r="B311" i="8"/>
  <c r="D311" i="8" s="1"/>
  <c r="B332" i="8"/>
  <c r="D332" i="8" s="1"/>
  <c r="B394" i="8"/>
  <c r="D394" i="8" s="1"/>
  <c r="B435" i="8"/>
  <c r="D435" i="8" s="1"/>
  <c r="B448" i="8"/>
  <c r="D448" i="8" s="1"/>
  <c r="B453" i="8"/>
  <c r="D453" i="8" s="1"/>
  <c r="B465" i="8"/>
  <c r="D465" i="8" s="1"/>
  <c r="B476" i="8"/>
  <c r="D476" i="8" s="1"/>
  <c r="B491" i="8"/>
  <c r="D491" i="8" s="1"/>
  <c r="B514" i="8"/>
  <c r="D514" i="8" s="1"/>
  <c r="B545" i="8"/>
  <c r="D545" i="8" s="1"/>
  <c r="B560" i="8"/>
  <c r="D560" i="8" s="1"/>
  <c r="B577" i="8"/>
  <c r="D577" i="8" s="1"/>
  <c r="B591" i="8"/>
  <c r="D591" i="8" s="1"/>
  <c r="B600" i="8"/>
  <c r="D600" i="8" s="1"/>
  <c r="B609" i="8"/>
  <c r="D609" i="8" s="1"/>
  <c r="B619" i="8"/>
  <c r="D619" i="8" s="1"/>
  <c r="B641" i="8"/>
  <c r="D641" i="8" s="1"/>
  <c r="B650" i="8"/>
  <c r="D650" i="8" s="1"/>
  <c r="B664" i="8"/>
  <c r="D664" i="8" s="1"/>
  <c r="B673" i="8"/>
  <c r="D673" i="8" s="1"/>
  <c r="B682" i="8"/>
  <c r="D682" i="8" s="1"/>
  <c r="B703" i="8"/>
  <c r="D703" i="8" s="1"/>
  <c r="B712" i="8"/>
  <c r="D712" i="8" s="1"/>
  <c r="B728" i="8"/>
  <c r="D728" i="8" s="1"/>
  <c r="B733" i="8"/>
  <c r="D733" i="8" s="1"/>
  <c r="B749" i="8"/>
  <c r="D749" i="8" s="1"/>
  <c r="B758" i="8"/>
  <c r="D758" i="8" s="1"/>
  <c r="B767" i="8"/>
  <c r="D767" i="8" s="1"/>
  <c r="B781" i="8"/>
  <c r="D781" i="8" s="1"/>
  <c r="B790" i="8"/>
  <c r="D790" i="8" s="1"/>
  <c r="B799" i="8"/>
  <c r="D799" i="8" s="1"/>
  <c r="B813" i="8"/>
  <c r="D813" i="8" s="1"/>
  <c r="B822" i="8"/>
  <c r="D822" i="8" s="1"/>
  <c r="B827" i="8"/>
  <c r="D827" i="8" s="1"/>
  <c r="B839" i="8"/>
  <c r="D839" i="8" s="1"/>
  <c r="B844" i="8"/>
  <c r="D844" i="8" s="1"/>
  <c r="B854" i="8"/>
  <c r="D854" i="8" s="1"/>
  <c r="B868" i="8"/>
  <c r="D868" i="8" s="1"/>
  <c r="B877" i="8"/>
  <c r="D877" i="8" s="1"/>
  <c r="B886" i="8"/>
  <c r="D886" i="8" s="1"/>
  <c r="B900" i="8"/>
  <c r="D900" i="8" s="1"/>
  <c r="B908" i="8"/>
  <c r="D908" i="8" s="1"/>
  <c r="B912" i="8"/>
  <c r="D912" i="8" s="1"/>
  <c r="B916" i="8"/>
  <c r="D916" i="8" s="1"/>
  <c r="B920" i="8"/>
  <c r="D920" i="8" s="1"/>
  <c r="B924" i="8"/>
  <c r="D924" i="8" s="1"/>
  <c r="B928" i="8"/>
  <c r="D928" i="8" s="1"/>
  <c r="B932" i="8"/>
  <c r="D932" i="8" s="1"/>
  <c r="B940" i="8"/>
  <c r="D940" i="8" s="1"/>
  <c r="B949" i="8"/>
  <c r="D949" i="8" s="1"/>
  <c r="B953" i="8"/>
  <c r="D953" i="8" s="1"/>
  <c r="B957" i="8"/>
  <c r="D957" i="8" s="1"/>
  <c r="B961" i="8"/>
  <c r="D961" i="8" s="1"/>
  <c r="B965" i="8"/>
  <c r="D965" i="8" s="1"/>
  <c r="B969" i="8"/>
  <c r="D969" i="8" s="1"/>
  <c r="B973" i="8"/>
  <c r="D973" i="8" s="1"/>
  <c r="B977" i="8"/>
  <c r="D977" i="8" s="1"/>
  <c r="B981" i="8"/>
  <c r="D981" i="8" s="1"/>
  <c r="B985" i="8"/>
  <c r="D985" i="8" s="1"/>
  <c r="B989" i="8"/>
  <c r="D989" i="8" s="1"/>
  <c r="B993" i="8"/>
  <c r="D993" i="8" s="1"/>
  <c r="B997" i="8"/>
  <c r="D997" i="8" s="1"/>
  <c r="B1010" i="8"/>
  <c r="D1010" i="8" s="1"/>
  <c r="B1019" i="8"/>
  <c r="D1019" i="8" s="1"/>
  <c r="B1028" i="8"/>
  <c r="D1028" i="8" s="1"/>
  <c r="B1152" i="8"/>
  <c r="D1152" i="8" s="1"/>
  <c r="B1156" i="8"/>
  <c r="D1156" i="8" s="1"/>
  <c r="B1183" i="8"/>
  <c r="D1183" i="8" s="1"/>
  <c r="B1187" i="8"/>
  <c r="D1187" i="8" s="1"/>
  <c r="B1191" i="8"/>
  <c r="D1191" i="8" s="1"/>
  <c r="B1210" i="8"/>
  <c r="D1210" i="8" s="1"/>
  <c r="B1214" i="8"/>
  <c r="D1214" i="8" s="1"/>
  <c r="B1218" i="8"/>
  <c r="D1218" i="8" s="1"/>
  <c r="B1222" i="8"/>
  <c r="D1222" i="8" s="1"/>
  <c r="B1226" i="8"/>
  <c r="D1226" i="8" s="1"/>
  <c r="B1230" i="8"/>
  <c r="D1230" i="8" s="1"/>
  <c r="B1234" i="8"/>
  <c r="D1234" i="8" s="1"/>
  <c r="B1238" i="8"/>
  <c r="D1238" i="8" s="1"/>
  <c r="B1242" i="8"/>
  <c r="D1242" i="8" s="1"/>
  <c r="B1246" i="8"/>
  <c r="D1246" i="8" s="1"/>
  <c r="B1289" i="8"/>
  <c r="D1289" i="8" s="1"/>
  <c r="B1293" i="8"/>
  <c r="D1293" i="8" s="1"/>
  <c r="B1297" i="8"/>
  <c r="D1297" i="8" s="1"/>
  <c r="B1301" i="8"/>
  <c r="D1301" i="8" s="1"/>
  <c r="B1305" i="8"/>
  <c r="D1305" i="8" s="1"/>
  <c r="B1309" i="8"/>
  <c r="D1309" i="8" s="1"/>
  <c r="B1313" i="8"/>
  <c r="D1313" i="8" s="1"/>
  <c r="B1317" i="8"/>
  <c r="D1317" i="8" s="1"/>
  <c r="B1321" i="8"/>
  <c r="D1321" i="8" s="1"/>
  <c r="B1325" i="8"/>
  <c r="D1325" i="8" s="1"/>
  <c r="B1329" i="8"/>
  <c r="D1329" i="8" s="1"/>
  <c r="B1333" i="8"/>
  <c r="D1333" i="8" s="1"/>
  <c r="B1337" i="8"/>
  <c r="D1337" i="8" s="1"/>
  <c r="B1341" i="8"/>
  <c r="D1341" i="8" s="1"/>
  <c r="B1345" i="8"/>
  <c r="D1345" i="8" s="1"/>
  <c r="B1349" i="8"/>
  <c r="D1349" i="8" s="1"/>
  <c r="B1353" i="8"/>
  <c r="D1353" i="8" s="1"/>
  <c r="B1357" i="8"/>
  <c r="D1357" i="8" s="1"/>
  <c r="B1361" i="8"/>
  <c r="D1361" i="8" s="1"/>
  <c r="B1365" i="8"/>
  <c r="D1365" i="8" s="1"/>
  <c r="B1369" i="8"/>
  <c r="D1369" i="8" s="1"/>
  <c r="B1373" i="8"/>
  <c r="D1373" i="8" s="1"/>
  <c r="B1377" i="8"/>
  <c r="D1377" i="8" s="1"/>
  <c r="B1381" i="8"/>
  <c r="D1381" i="8" s="1"/>
  <c r="B1385" i="8"/>
  <c r="D1385" i="8" s="1"/>
  <c r="B1428" i="8"/>
  <c r="D1428" i="8" s="1"/>
  <c r="B1432" i="8"/>
  <c r="D1432" i="8" s="1"/>
  <c r="B1436" i="8"/>
  <c r="D1436" i="8" s="1"/>
  <c r="B1440" i="8"/>
  <c r="D1440" i="8" s="1"/>
  <c r="B1444" i="8"/>
  <c r="D1444" i="8" s="1"/>
  <c r="B1448" i="8"/>
  <c r="D1448" i="8" s="1"/>
  <c r="B1452" i="8"/>
  <c r="D1452" i="8" s="1"/>
  <c r="B1456" i="8"/>
  <c r="D1456" i="8" s="1"/>
  <c r="B1460" i="8"/>
  <c r="D1460" i="8" s="1"/>
  <c r="B1464" i="8"/>
  <c r="D1464" i="8" s="1"/>
  <c r="B1468" i="8"/>
  <c r="D1468" i="8" s="1"/>
  <c r="B1479" i="8"/>
  <c r="D1479" i="8" s="1"/>
  <c r="B1598" i="8"/>
  <c r="D1598" i="8" s="1"/>
  <c r="B1602" i="8"/>
  <c r="D1602" i="8" s="1"/>
  <c r="B807" i="8"/>
  <c r="D807" i="8" s="1"/>
  <c r="B852" i="8"/>
  <c r="D852" i="8" s="1"/>
  <c r="B869" i="8"/>
  <c r="D869" i="8" s="1"/>
  <c r="B913" i="8"/>
  <c r="D913" i="8" s="1"/>
  <c r="B922" i="8"/>
  <c r="D922" i="8" s="1"/>
  <c r="B931" i="8"/>
  <c r="D931" i="8" s="1"/>
  <c r="B941" i="8"/>
  <c r="D941" i="8" s="1"/>
  <c r="B958" i="8"/>
  <c r="D958" i="8" s="1"/>
  <c r="B967" i="8"/>
  <c r="D967" i="8" s="1"/>
  <c r="B976" i="8"/>
  <c r="D976" i="8" s="1"/>
  <c r="B990" i="8"/>
  <c r="D990" i="8" s="1"/>
  <c r="B999" i="8"/>
  <c r="D999" i="8" s="1"/>
  <c r="B1027" i="8"/>
  <c r="D1027" i="8" s="1"/>
  <c r="B1046" i="8"/>
  <c r="D1046" i="8" s="1"/>
  <c r="B1078" i="8"/>
  <c r="D1078" i="8" s="1"/>
  <c r="B1120" i="8"/>
  <c r="D1120" i="8" s="1"/>
  <c r="B1136" i="8"/>
  <c r="D1136" i="8" s="1"/>
  <c r="B1175" i="8"/>
  <c r="D1175" i="8" s="1"/>
  <c r="B1184" i="8"/>
  <c r="D1184" i="8" s="1"/>
  <c r="B1202" i="8"/>
  <c r="D1202" i="8" s="1"/>
  <c r="B1211" i="8"/>
  <c r="D1211" i="8" s="1"/>
  <c r="B1220" i="8"/>
  <c r="D1220" i="8" s="1"/>
  <c r="B1229" i="8"/>
  <c r="D1229" i="8" s="1"/>
  <c r="B1243" i="8"/>
  <c r="D1243" i="8" s="1"/>
  <c r="B1251" i="8"/>
  <c r="D1251" i="8" s="1"/>
  <c r="B1265" i="8"/>
  <c r="D1265" i="8" s="1"/>
  <c r="B1274" i="8"/>
  <c r="D1274" i="8" s="1"/>
  <c r="B1283" i="8"/>
  <c r="D1283" i="8" s="1"/>
  <c r="B1292" i="8"/>
  <c r="D1292" i="8" s="1"/>
  <c r="B1306" i="8"/>
  <c r="D1306" i="8" s="1"/>
  <c r="B1315" i="8"/>
  <c r="D1315" i="8" s="1"/>
  <c r="B1324" i="8"/>
  <c r="D1324" i="8" s="1"/>
  <c r="B1338" i="8"/>
  <c r="D1338" i="8" s="1"/>
  <c r="B1347" i="8"/>
  <c r="D1347" i="8" s="1"/>
  <c r="B1356" i="8"/>
  <c r="D1356" i="8" s="1"/>
  <c r="B1370" i="8"/>
  <c r="D1370" i="8" s="1"/>
  <c r="B1379" i="8"/>
  <c r="D1379" i="8" s="1"/>
  <c r="B1388" i="8"/>
  <c r="D1388" i="8" s="1"/>
  <c r="B1397" i="8"/>
  <c r="D1397" i="8" s="1"/>
  <c r="B1406" i="8"/>
  <c r="D1406" i="8" s="1"/>
  <c r="B1420" i="8"/>
  <c r="D1420" i="8" s="1"/>
  <c r="B1429" i="8"/>
  <c r="D1429" i="8" s="1"/>
  <c r="B1438" i="8"/>
  <c r="D1438" i="8" s="1"/>
  <c r="B1447" i="8"/>
  <c r="D1447" i="8" s="1"/>
  <c r="B1461" i="8"/>
  <c r="D1461" i="8" s="1"/>
  <c r="B1478" i="8"/>
  <c r="D1478" i="8" s="1"/>
  <c r="B1496" i="8"/>
  <c r="D1496" i="8" s="1"/>
  <c r="B814" i="8"/>
  <c r="D814" i="8" s="1"/>
  <c r="B893" i="8"/>
  <c r="D893" i="8" s="1"/>
  <c r="B909" i="8"/>
  <c r="D909" i="8" s="1"/>
  <c r="B918" i="8"/>
  <c r="D918" i="8" s="1"/>
  <c r="B927" i="8"/>
  <c r="D927" i="8" s="1"/>
  <c r="B948" i="8"/>
  <c r="D948" i="8" s="1"/>
  <c r="B1344" i="8"/>
  <c r="D1344" i="8" s="1"/>
  <c r="B1358" i="8"/>
  <c r="D1358" i="8" s="1"/>
  <c r="B1367" i="8"/>
  <c r="D1367" i="8" s="1"/>
  <c r="B1376" i="8"/>
  <c r="D1376" i="8" s="1"/>
  <c r="B1394" i="8"/>
  <c r="D1394" i="8" s="1"/>
  <c r="B1408" i="8"/>
  <c r="D1408" i="8" s="1"/>
  <c r="B810" i="8"/>
  <c r="D810" i="8" s="1"/>
  <c r="B828" i="8"/>
  <c r="D828" i="8" s="1"/>
  <c r="B835" i="8"/>
  <c r="D835" i="8" s="1"/>
  <c r="B884" i="8"/>
  <c r="D884" i="8" s="1"/>
  <c r="B901" i="8"/>
  <c r="D901" i="8" s="1"/>
  <c r="B906" i="8"/>
  <c r="D906" i="8" s="1"/>
  <c r="B915" i="8"/>
  <c r="D915" i="8" s="1"/>
  <c r="B929" i="8"/>
  <c r="D929" i="8" s="1"/>
  <c r="B960" i="8"/>
  <c r="D960" i="8" s="1"/>
  <c r="B974" i="8"/>
  <c r="D974" i="8" s="1"/>
  <c r="B983" i="8"/>
  <c r="D983" i="8" s="1"/>
  <c r="B992" i="8"/>
  <c r="D992" i="8" s="1"/>
  <c r="B1012" i="8"/>
  <c r="D1012" i="8" s="1"/>
  <c r="B1018" i="8"/>
  <c r="D1018" i="8" s="1"/>
  <c r="B1030" i="8"/>
  <c r="D1030" i="8" s="1"/>
  <c r="B1062" i="8"/>
  <c r="D1062" i="8" s="1"/>
  <c r="B1094" i="8"/>
  <c r="D1094" i="8" s="1"/>
  <c r="B1112" i="8"/>
  <c r="D1112" i="8" s="1"/>
  <c r="B1128" i="8"/>
  <c r="D1128" i="8" s="1"/>
  <c r="B1144" i="8"/>
  <c r="D1144" i="8" s="1"/>
  <c r="B1154" i="8"/>
  <c r="D1154" i="8" s="1"/>
  <c r="B1163" i="8"/>
  <c r="D1163" i="8" s="1"/>
  <c r="B1168" i="8"/>
  <c r="D1168" i="8" s="1"/>
  <c r="B1177" i="8"/>
  <c r="D1177" i="8" s="1"/>
  <c r="B1186" i="8"/>
  <c r="D1186" i="8" s="1"/>
  <c r="B1195" i="8"/>
  <c r="D1195" i="8" s="1"/>
  <c r="B1204" i="8"/>
  <c r="D1204" i="8" s="1"/>
  <c r="B1213" i="8"/>
  <c r="D1213" i="8" s="1"/>
  <c r="B1227" i="8"/>
  <c r="D1227" i="8" s="1"/>
  <c r="B1236" i="8"/>
  <c r="D1236" i="8" s="1"/>
  <c r="B1245" i="8"/>
  <c r="D1245" i="8" s="1"/>
  <c r="B1249" i="8"/>
  <c r="D1249" i="8" s="1"/>
  <c r="B1258" i="8"/>
  <c r="D1258" i="8" s="1"/>
  <c r="B1267" i="8"/>
  <c r="D1267" i="8" s="1"/>
  <c r="B1281" i="8"/>
  <c r="D1281" i="8" s="1"/>
  <c r="B1290" i="8"/>
  <c r="D1290" i="8" s="1"/>
  <c r="B1299" i="8"/>
  <c r="D1299" i="8" s="1"/>
  <c r="B1308" i="8"/>
  <c r="D1308" i="8" s="1"/>
  <c r="B1322" i="8"/>
  <c r="D1322" i="8" s="1"/>
  <c r="B1331" i="8"/>
  <c r="D1331" i="8" s="1"/>
  <c r="B1340" i="8"/>
  <c r="D1340" i="8" s="1"/>
  <c r="B1354" i="8"/>
  <c r="D1354" i="8" s="1"/>
  <c r="B1363" i="8"/>
  <c r="D1363" i="8" s="1"/>
  <c r="B1372" i="8"/>
  <c r="D1372" i="8" s="1"/>
  <c r="B1386" i="8"/>
  <c r="D1386" i="8" s="1"/>
  <c r="B1390" i="8"/>
  <c r="D1390" i="8" s="1"/>
  <c r="B1404" i="8"/>
  <c r="D1404" i="8" s="1"/>
  <c r="B1413" i="8"/>
  <c r="D1413" i="8" s="1"/>
  <c r="B1422" i="8"/>
  <c r="D1422" i="8" s="1"/>
  <c r="B1431" i="8"/>
  <c r="D1431" i="8" s="1"/>
  <c r="B1445" i="8"/>
  <c r="D1445" i="8" s="1"/>
  <c r="B1454" i="8"/>
  <c r="D1454" i="8" s="1"/>
  <c r="B1463" i="8"/>
  <c r="D1463" i="8" s="1"/>
  <c r="B1472" i="8"/>
  <c r="D1472" i="8" s="1"/>
  <c r="B1485" i="8"/>
  <c r="D1485" i="8" s="1"/>
  <c r="B1494" i="8"/>
  <c r="D1494" i="8" s="1"/>
  <c r="B1503" i="8"/>
  <c r="D1503" i="8" s="1"/>
  <c r="B1512" i="8"/>
  <c r="D1512" i="8" s="1"/>
  <c r="B1526" i="8"/>
  <c r="D1526" i="8" s="1"/>
  <c r="B1535" i="8"/>
  <c r="D1535" i="8" s="1"/>
  <c r="B1544" i="8"/>
  <c r="D1544" i="8" s="1"/>
  <c r="B1558" i="8"/>
  <c r="D1558" i="8" s="1"/>
  <c r="B1567" i="8"/>
  <c r="D1567" i="8" s="1"/>
  <c r="B1576" i="8"/>
  <c r="D1576" i="8" s="1"/>
  <c r="B1585" i="8"/>
  <c r="D1585" i="8" s="1"/>
  <c r="B1589" i="8"/>
  <c r="D1589" i="8" s="1"/>
  <c r="B1593" i="8"/>
  <c r="D1593" i="8" s="1"/>
  <c r="B1601" i="8"/>
  <c r="D1601" i="8" s="1"/>
  <c r="B1621" i="8"/>
  <c r="D1621" i="8" s="1"/>
  <c r="B1625" i="8"/>
  <c r="D1625" i="8" s="1"/>
  <c r="B1640" i="8"/>
  <c r="D1640" i="8" s="1"/>
  <c r="B1706" i="8"/>
  <c r="D1706" i="8" s="1"/>
  <c r="B1710" i="8"/>
  <c r="D1710" i="8" s="1"/>
  <c r="B1714" i="8"/>
  <c r="D1714" i="8" s="1"/>
  <c r="B1717" i="8"/>
  <c r="D1717" i="8" s="1"/>
  <c r="B1720" i="8"/>
  <c r="D1720" i="8" s="1"/>
  <c r="B1724" i="8"/>
  <c r="D1724" i="8" s="1"/>
  <c r="B1728" i="8"/>
  <c r="D1728" i="8" s="1"/>
  <c r="B1759" i="8"/>
  <c r="D1759" i="8" s="1"/>
  <c r="B1635" i="8"/>
  <c r="D1635" i="8" s="1"/>
  <c r="B1643" i="8"/>
  <c r="D1643" i="8" s="1"/>
  <c r="B1652" i="8"/>
  <c r="D1652" i="8" s="1"/>
  <c r="B1666" i="8"/>
  <c r="D1666" i="8" s="1"/>
  <c r="B1675" i="8"/>
  <c r="D1675" i="8" s="1"/>
  <c r="B1684" i="8"/>
  <c r="D1684" i="8" s="1"/>
  <c r="B1698" i="8"/>
  <c r="D1698" i="8" s="1"/>
  <c r="B1701" i="8"/>
  <c r="D1701" i="8" s="1"/>
  <c r="B1709" i="8"/>
  <c r="D1709" i="8" s="1"/>
  <c r="B1721" i="8"/>
  <c r="D1721" i="8" s="1"/>
  <c r="B1730" i="8"/>
  <c r="D1730" i="8" s="1"/>
  <c r="B1739" i="8"/>
  <c r="D1739" i="8" s="1"/>
  <c r="B1748" i="8"/>
  <c r="D1748" i="8" s="1"/>
  <c r="B1757" i="8"/>
  <c r="D1757" i="8" s="1"/>
  <c r="B1770" i="8"/>
  <c r="D1770" i="8" s="1"/>
  <c r="B1788" i="8"/>
  <c r="D1788" i="8" s="1"/>
  <c r="B1802" i="8"/>
  <c r="D1802" i="8" s="1"/>
  <c r="B1811" i="8"/>
  <c r="D1811" i="8" s="1"/>
  <c r="B1820" i="8"/>
  <c r="D1820" i="8" s="1"/>
  <c r="B1834" i="8"/>
  <c r="D1834" i="8" s="1"/>
  <c r="B1842" i="8"/>
  <c r="D1842" i="8" s="1"/>
  <c r="B1851" i="8"/>
  <c r="D1851" i="8" s="1"/>
  <c r="B1855" i="8"/>
  <c r="D1855" i="8" s="1"/>
  <c r="B1864" i="8"/>
  <c r="D1864" i="8" s="1"/>
  <c r="B1873" i="8"/>
  <c r="D1873" i="8" s="1"/>
  <c r="B1882" i="8"/>
  <c r="D1882" i="8" s="1"/>
  <c r="B1896" i="8"/>
  <c r="D1896" i="8" s="1"/>
  <c r="B1905" i="8"/>
  <c r="D1905" i="8" s="1"/>
  <c r="B1914" i="8"/>
  <c r="D1914" i="8" s="1"/>
  <c r="B1932" i="8"/>
  <c r="D1932" i="8" s="1"/>
  <c r="B1941" i="8"/>
  <c r="D1941" i="8" s="1"/>
  <c r="B1954" i="8"/>
  <c r="D1954" i="8" s="1"/>
  <c r="B1968" i="8"/>
  <c r="D1968" i="8" s="1"/>
  <c r="B1977" i="8"/>
  <c r="D1977" i="8" s="1"/>
  <c r="B1986" i="8"/>
  <c r="D1986" i="8" s="1"/>
  <c r="B1995" i="8"/>
  <c r="D1995" i="8" s="1"/>
  <c r="B2013" i="8"/>
  <c r="D2013" i="8" s="1"/>
  <c r="B2022" i="8"/>
  <c r="D2022" i="8" s="1"/>
  <c r="B2114" i="8"/>
  <c r="D2114" i="8" s="1"/>
  <c r="B2122" i="8"/>
  <c r="D2122" i="8" s="1"/>
  <c r="B2130" i="8"/>
  <c r="D2130" i="8" s="1"/>
  <c r="B1389" i="8"/>
  <c r="D1389" i="8" s="1"/>
  <c r="B1430" i="8"/>
  <c r="D1430" i="8" s="1"/>
  <c r="B1449" i="8"/>
  <c r="D1449" i="8" s="1"/>
  <c r="B1455" i="8"/>
  <c r="D1455" i="8" s="1"/>
  <c r="B1467" i="8"/>
  <c r="D1467" i="8" s="1"/>
  <c r="B1492" i="8"/>
  <c r="D1492" i="8" s="1"/>
  <c r="B1498" i="8"/>
  <c r="D1498" i="8" s="1"/>
  <c r="B1508" i="8"/>
  <c r="D1508" i="8" s="1"/>
  <c r="B2037" i="8"/>
  <c r="D2037" i="8" s="1"/>
  <c r="B2045" i="8"/>
  <c r="D2045" i="8" s="1"/>
  <c r="B2049" i="8"/>
  <c r="D2049" i="8" s="1"/>
  <c r="B2053" i="8"/>
  <c r="D2053" i="8" s="1"/>
  <c r="B2061" i="8"/>
  <c r="D2061" i="8" s="1"/>
  <c r="B2069" i="8"/>
  <c r="D2069" i="8" s="1"/>
  <c r="B2077" i="8"/>
  <c r="D2077" i="8" s="1"/>
  <c r="B2085" i="8"/>
  <c r="D2085" i="8" s="1"/>
  <c r="B2097" i="8"/>
  <c r="D2097" i="8" s="1"/>
  <c r="B2105" i="8"/>
  <c r="D2105" i="8" s="1"/>
  <c r="B1453" i="8"/>
  <c r="D1453" i="8" s="1"/>
  <c r="B1480" i="8"/>
  <c r="D1480" i="8" s="1"/>
  <c r="B1490" i="8"/>
  <c r="D1490" i="8" s="1"/>
  <c r="B1511" i="8"/>
  <c r="D1511" i="8" s="1"/>
  <c r="B1527" i="8"/>
  <c r="D1527" i="8" s="1"/>
  <c r="B1542" i="8"/>
  <c r="D1542" i="8" s="1"/>
  <c r="B1552" i="8"/>
  <c r="D1552" i="8" s="1"/>
  <c r="B1568" i="8"/>
  <c r="D1568" i="8" s="1"/>
  <c r="B1583" i="8"/>
  <c r="D1583" i="8" s="1"/>
  <c r="B1592" i="8"/>
  <c r="D1592" i="8" s="1"/>
  <c r="B1616" i="8"/>
  <c r="D1616" i="8" s="1"/>
  <c r="B40" i="8"/>
  <c r="B28" i="10"/>
  <c r="F11" i="7"/>
  <c r="F13" i="7"/>
  <c r="F14" i="7" s="1"/>
  <c r="H24" i="7"/>
  <c r="I18" i="7"/>
  <c r="G30" i="7"/>
  <c r="J12" i="7"/>
  <c r="C5" i="11" l="1"/>
  <c r="C11" i="11" s="1"/>
  <c r="C3" i="10"/>
  <c r="C10" i="10" s="1"/>
  <c r="B26" i="12"/>
  <c r="C49" i="11"/>
  <c r="G11" i="7"/>
  <c r="G13" i="7"/>
  <c r="G14" i="7" s="1"/>
  <c r="H30" i="7"/>
  <c r="J18" i="7"/>
  <c r="I24" i="7"/>
  <c r="K12" i="7"/>
  <c r="C31" i="11" l="1"/>
  <c r="B6" i="12"/>
  <c r="B9" i="12"/>
  <c r="B4" i="12"/>
  <c r="H11" i="7"/>
  <c r="H13" i="7"/>
  <c r="H14" i="7" s="1"/>
  <c r="J24" i="7"/>
  <c r="K18" i="7"/>
  <c r="I30" i="7"/>
  <c r="L12" i="7"/>
  <c r="B18" i="12" l="1"/>
  <c r="C48" i="11"/>
  <c r="C52" i="11" s="1"/>
  <c r="B13" i="12"/>
  <c r="B30" i="12"/>
  <c r="I13" i="7"/>
  <c r="I14" i="7" s="1"/>
  <c r="I11" i="7"/>
  <c r="M12" i="7"/>
  <c r="J30" i="7"/>
  <c r="K24" i="7"/>
  <c r="L18" i="7"/>
  <c r="C54" i="11" l="1"/>
  <c r="B15" i="12"/>
  <c r="J13" i="7"/>
  <c r="J14" i="7" s="1"/>
  <c r="J11" i="7"/>
  <c r="K30" i="7"/>
  <c r="L24" i="7"/>
  <c r="M18" i="7"/>
  <c r="N12" i="7"/>
  <c r="C219" i="6" s="1"/>
  <c r="C13" i="9" l="1"/>
  <c r="C33" i="8"/>
  <c r="C26" i="10" s="1"/>
  <c r="K11" i="7"/>
  <c r="K13" i="7"/>
  <c r="K14" i="7" s="1"/>
  <c r="M24" i="7"/>
  <c r="N18" i="7"/>
  <c r="D219" i="6" s="1"/>
  <c r="L30" i="7"/>
  <c r="D13" i="9" l="1"/>
  <c r="D33" i="8"/>
  <c r="D26" i="10" s="1"/>
  <c r="L11" i="7"/>
  <c r="L13" i="7"/>
  <c r="L14" i="7" s="1"/>
  <c r="M30" i="7"/>
  <c r="N24" i="7"/>
  <c r="E219" i="6" s="1"/>
  <c r="E13" i="9" l="1"/>
  <c r="E33" i="8"/>
  <c r="E26" i="10" s="1"/>
  <c r="M11" i="7"/>
  <c r="M13" i="7"/>
  <c r="N30" i="7"/>
  <c r="F219" i="6" s="1"/>
  <c r="F33" i="8" l="1"/>
  <c r="F26" i="10" s="1"/>
  <c r="F13" i="9"/>
  <c r="N13" i="7"/>
  <c r="M14" i="7"/>
  <c r="N14" i="7" s="1"/>
  <c r="N11" i="7"/>
  <c r="D40" i="11" s="1"/>
  <c r="B19" i="7"/>
  <c r="B20" i="7" s="1"/>
  <c r="C220" i="6" l="1"/>
  <c r="D41" i="11"/>
  <c r="D43" i="11" s="1"/>
  <c r="D45" i="11" s="1"/>
  <c r="O12" i="7"/>
  <c r="P12" i="7" s="1"/>
  <c r="B17" i="7"/>
  <c r="C32" i="8" l="1"/>
  <c r="C14" i="9"/>
  <c r="C16" i="9" s="1"/>
  <c r="C17" i="7"/>
  <c r="C19" i="7"/>
  <c r="C20" i="7" s="1"/>
  <c r="C27" i="10" l="1"/>
  <c r="C36" i="8"/>
  <c r="C38" i="8" s="1"/>
  <c r="D19" i="7"/>
  <c r="D20" i="7" s="1"/>
  <c r="D17" i="7"/>
  <c r="C40" i="8" l="1"/>
  <c r="C28" i="10"/>
  <c r="E17" i="7"/>
  <c r="E19" i="7"/>
  <c r="E20" i="7" s="1"/>
  <c r="C26" i="12" l="1"/>
  <c r="D49" i="11"/>
  <c r="D5" i="11"/>
  <c r="D11" i="11" s="1"/>
  <c r="D3" i="10"/>
  <c r="D10" i="10" s="1"/>
  <c r="F17" i="7"/>
  <c r="F19" i="7"/>
  <c r="F20" i="7" s="1"/>
  <c r="C6" i="12" l="1"/>
  <c r="C4" i="12"/>
  <c r="C9" i="12"/>
  <c r="D31" i="11"/>
  <c r="D50" i="11"/>
  <c r="G17" i="7"/>
  <c r="G19" i="7"/>
  <c r="G20" i="7" s="1"/>
  <c r="D48" i="11" l="1"/>
  <c r="D52" i="11" s="1"/>
  <c r="C18" i="12"/>
  <c r="C13" i="12"/>
  <c r="C30" i="12"/>
  <c r="H17" i="7"/>
  <c r="H19" i="7"/>
  <c r="H20" i="7" s="1"/>
  <c r="D54" i="11" l="1"/>
  <c r="C15" i="12"/>
  <c r="I17" i="7"/>
  <c r="I19" i="7"/>
  <c r="I20" i="7" s="1"/>
  <c r="J17" i="7" l="1"/>
  <c r="J19" i="7"/>
  <c r="J20" i="7" s="1"/>
  <c r="K19" i="7" l="1"/>
  <c r="K20" i="7" s="1"/>
  <c r="K17" i="7"/>
  <c r="L17" i="7" l="1"/>
  <c r="L19" i="7"/>
  <c r="L20" i="7" l="1"/>
  <c r="M17" i="7"/>
  <c r="M19" i="7"/>
  <c r="M20" i="7" s="1"/>
  <c r="N20" i="7" l="1"/>
  <c r="B25" i="7"/>
  <c r="B26" i="7" s="1"/>
  <c r="N17" i="7"/>
  <c r="E40" i="11" s="1"/>
  <c r="N19" i="7"/>
  <c r="D220" i="6" l="1"/>
  <c r="E41" i="11"/>
  <c r="E43" i="11" s="1"/>
  <c r="E45" i="11" s="1"/>
  <c r="B23" i="7"/>
  <c r="O17" i="7"/>
  <c r="P17" i="7" s="1"/>
  <c r="D32" i="8" l="1"/>
  <c r="D14" i="9"/>
  <c r="D16" i="9" s="1"/>
  <c r="C25" i="7"/>
  <c r="C26" i="7" s="1"/>
  <c r="C23" i="7"/>
  <c r="D27" i="10" l="1"/>
  <c r="D36" i="8"/>
  <c r="D38" i="8" s="1"/>
  <c r="D23" i="7"/>
  <c r="D25" i="7"/>
  <c r="D26" i="7" s="1"/>
  <c r="D28" i="10" l="1"/>
  <c r="D34" i="10" s="1"/>
  <c r="E23" i="7"/>
  <c r="E25" i="7"/>
  <c r="E26" i="7" s="1"/>
  <c r="D40" i="8" l="1"/>
  <c r="E49" i="11" s="1"/>
  <c r="E3" i="10"/>
  <c r="E10" i="10" s="1"/>
  <c r="E5" i="11"/>
  <c r="E11" i="11" s="1"/>
  <c r="F23" i="7"/>
  <c r="F25" i="7"/>
  <c r="F26" i="7" s="1"/>
  <c r="D26" i="12" l="1"/>
  <c r="E50" i="11"/>
  <c r="D6" i="12"/>
  <c r="D4" i="12"/>
  <c r="D9" i="12"/>
  <c r="E31" i="11"/>
  <c r="G25" i="7"/>
  <c r="G26" i="7" s="1"/>
  <c r="G23" i="7"/>
  <c r="E48" i="11" l="1"/>
  <c r="E52" i="11" s="1"/>
  <c r="D18" i="12"/>
  <c r="D13" i="12"/>
  <c r="D30" i="12"/>
  <c r="H23" i="7"/>
  <c r="H25" i="7"/>
  <c r="H26" i="7" s="1"/>
  <c r="E54" i="11" l="1"/>
  <c r="D15" i="12"/>
  <c r="I23" i="7"/>
  <c r="I25" i="7"/>
  <c r="I26" i="7" s="1"/>
  <c r="J23" i="7" l="1"/>
  <c r="J25" i="7"/>
  <c r="J26" i="7" s="1"/>
  <c r="K25" i="7" l="1"/>
  <c r="K26" i="7" s="1"/>
  <c r="K23" i="7"/>
  <c r="L25" i="7" l="1"/>
  <c r="L26" i="7" s="1"/>
  <c r="L23" i="7"/>
  <c r="M23" i="7" l="1"/>
  <c r="M25" i="7"/>
  <c r="M26" i="7" l="1"/>
  <c r="N26" i="7" s="1"/>
  <c r="N25" i="7"/>
  <c r="B29" i="7"/>
  <c r="B31" i="7" s="1"/>
  <c r="N23" i="7"/>
  <c r="E220" i="6" l="1"/>
  <c r="F41" i="11"/>
  <c r="O23" i="7"/>
  <c r="P23" i="7" s="1"/>
  <c r="F40" i="11"/>
  <c r="C29" i="7"/>
  <c r="B32" i="7"/>
  <c r="F43" i="11" l="1"/>
  <c r="F45" i="11" s="1"/>
  <c r="E32" i="8"/>
  <c r="E14" i="9"/>
  <c r="E16" i="9" s="1"/>
  <c r="D29" i="7"/>
  <c r="C31" i="7"/>
  <c r="C32" i="7" l="1"/>
  <c r="E27" i="10"/>
  <c r="E36" i="8"/>
  <c r="E38" i="8" s="1"/>
  <c r="E28" i="10" s="1"/>
  <c r="D31" i="7"/>
  <c r="E29" i="7"/>
  <c r="E34" i="10" l="1"/>
  <c r="D32" i="7"/>
  <c r="E40" i="8"/>
  <c r="E26" i="12" s="1"/>
  <c r="E31" i="7"/>
  <c r="F29" i="7"/>
  <c r="F3" i="10" l="1"/>
  <c r="F10" i="10" s="1"/>
  <c r="F5" i="11"/>
  <c r="F11" i="11" s="1"/>
  <c r="E6" i="12" s="1"/>
  <c r="E32" i="7"/>
  <c r="F49" i="11"/>
  <c r="F50" i="11" s="1"/>
  <c r="F31" i="7"/>
  <c r="G29" i="7"/>
  <c r="E9" i="12" l="1"/>
  <c r="E4" i="12"/>
  <c r="F31" i="11"/>
  <c r="F32" i="7"/>
  <c r="H29" i="7"/>
  <c r="G31" i="7"/>
  <c r="E18" i="12" l="1"/>
  <c r="E30" i="12"/>
  <c r="F48" i="11"/>
  <c r="F52" i="11" s="1"/>
  <c r="E13" i="12"/>
  <c r="G32" i="7"/>
  <c r="I29" i="7"/>
  <c r="H31" i="7"/>
  <c r="E15" i="12" l="1"/>
  <c r="F54" i="11"/>
  <c r="H32" i="7"/>
  <c r="I31" i="7"/>
  <c r="I32" i="7" s="1"/>
  <c r="J29" i="7"/>
  <c r="J31" i="7" l="1"/>
  <c r="K29" i="7"/>
  <c r="J32" i="7" l="1"/>
  <c r="K31" i="7"/>
  <c r="L29" i="7"/>
  <c r="K32" i="7" l="1"/>
  <c r="L31" i="7"/>
  <c r="M29" i="7"/>
  <c r="M31" i="7" l="1"/>
  <c r="N31" i="7" s="1"/>
  <c r="N29" i="7"/>
  <c r="G40" i="11" s="1"/>
  <c r="L32" i="7"/>
  <c r="M32" i="7" l="1"/>
  <c r="N32" i="7" s="1"/>
  <c r="F220" i="6" l="1"/>
  <c r="G41" i="11"/>
  <c r="G43" i="11" s="1"/>
  <c r="G45" i="11" s="1"/>
  <c r="F32" i="8" l="1"/>
  <c r="F14" i="9"/>
  <c r="F16" i="9" s="1"/>
  <c r="F27" i="10" l="1"/>
  <c r="F36" i="8"/>
  <c r="F38" i="8" s="1"/>
  <c r="F28" i="10" s="1"/>
  <c r="F34" i="10" s="1"/>
  <c r="G3" i="10" l="1"/>
  <c r="G10" i="10" s="1"/>
  <c r="G34" i="10" s="1"/>
  <c r="G5" i="11"/>
  <c r="G11" i="11" s="1"/>
  <c r="F40" i="8"/>
  <c r="G49" i="11" l="1"/>
  <c r="F26" i="12"/>
  <c r="F9" i="12"/>
  <c r="F6" i="12"/>
  <c r="F4" i="12"/>
  <c r="G31" i="11"/>
  <c r="H3" i="10"/>
  <c r="H10" i="10" s="1"/>
  <c r="H34" i="10" s="1"/>
  <c r="H5" i="11"/>
  <c r="H11" i="11" s="1"/>
  <c r="I3" i="10" l="1"/>
  <c r="I10" i="10" s="1"/>
  <c r="I34" i="10" s="1"/>
  <c r="I5" i="11"/>
  <c r="I11" i="11" s="1"/>
  <c r="H50" i="11"/>
  <c r="G50" i="11"/>
  <c r="G48" i="11" s="1"/>
  <c r="G52" i="11" s="1"/>
  <c r="F18" i="12"/>
  <c r="F13" i="12"/>
  <c r="G9" i="12"/>
  <c r="G6" i="12"/>
  <c r="G4" i="12"/>
  <c r="H31" i="11"/>
  <c r="F30" i="12"/>
  <c r="G54" i="11" l="1"/>
  <c r="F15" i="12"/>
  <c r="H4" i="12"/>
  <c r="H9" i="12"/>
  <c r="H6" i="12"/>
  <c r="I31" i="11"/>
  <c r="H48" i="11"/>
  <c r="H52" i="11" s="1"/>
  <c r="G18" i="12"/>
  <c r="G13" i="12"/>
  <c r="G30" i="12"/>
  <c r="J3" i="10"/>
  <c r="J10" i="10" s="1"/>
  <c r="J34" i="10" s="1"/>
  <c r="J5" i="11"/>
  <c r="J11" i="11" s="1"/>
  <c r="H54" i="11" l="1"/>
  <c r="G15" i="12"/>
  <c r="K3" i="10"/>
  <c r="K10" i="10" s="1"/>
  <c r="K34" i="10" s="1"/>
  <c r="K5" i="11"/>
  <c r="K11" i="11" s="1"/>
  <c r="H18" i="12"/>
  <c r="H13" i="12"/>
  <c r="I48" i="11"/>
  <c r="I52" i="11" s="1"/>
  <c r="H30" i="12"/>
  <c r="I4" i="12"/>
  <c r="I9" i="12"/>
  <c r="I6" i="12"/>
  <c r="J31" i="11"/>
  <c r="J4" i="12" l="1"/>
  <c r="J9" i="12"/>
  <c r="J6" i="12"/>
  <c r="K31" i="11"/>
  <c r="L3" i="10"/>
  <c r="L10" i="10" s="1"/>
  <c r="L34" i="10" s="1"/>
  <c r="L5" i="11"/>
  <c r="L11" i="11" s="1"/>
  <c r="J48" i="11"/>
  <c r="J52" i="11" s="1"/>
  <c r="I13" i="12"/>
  <c r="I18" i="12"/>
  <c r="I30" i="12"/>
  <c r="I54" i="11"/>
  <c r="H15" i="12"/>
  <c r="B42" i="10" l="1"/>
  <c r="B45" i="10" s="1"/>
  <c r="B43" i="10"/>
  <c r="K6" i="12"/>
  <c r="K4" i="12"/>
  <c r="K9" i="12"/>
  <c r="L31" i="11"/>
  <c r="J13" i="12"/>
  <c r="J18" i="12"/>
  <c r="K48" i="11"/>
  <c r="K52" i="11" s="1"/>
  <c r="J30" i="12"/>
  <c r="J54" i="11"/>
  <c r="I15" i="12"/>
  <c r="M5" i="11"/>
  <c r="M11" i="11" s="1"/>
  <c r="K54" i="11" l="1"/>
  <c r="J15" i="12"/>
  <c r="L6" i="12"/>
  <c r="L4" i="12"/>
  <c r="L9" i="12"/>
  <c r="M31" i="11"/>
  <c r="L48" i="11"/>
  <c r="L52" i="11" s="1"/>
  <c r="K13" i="12"/>
  <c r="K18" i="12"/>
  <c r="K30" i="12"/>
  <c r="L13" i="12" l="1"/>
  <c r="L18" i="12"/>
  <c r="M48" i="11"/>
  <c r="M52" i="11" s="1"/>
  <c r="L30" i="12"/>
  <c r="L54" i="11"/>
  <c r="K15" i="12"/>
  <c r="M54" i="11" l="1"/>
  <c r="L15" i="12"/>
</calcChain>
</file>

<file path=xl/sharedStrings.xml><?xml version="1.0" encoding="utf-8"?>
<sst xmlns="http://schemas.openxmlformats.org/spreadsheetml/2006/main" count="859" uniqueCount="460">
  <si>
    <t>Calculo de la Demanda basada en Ordenes de Compra (CO) históricas de clientes</t>
  </si>
  <si>
    <t>Producto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</si>
  <si>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</si>
  <si>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</si>
  <si>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</si>
  <si>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</si>
  <si>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</si>
  <si>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</si>
  <si>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</si>
  <si>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</si>
  <si>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</si>
  <si>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</si>
  <si>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</si>
  <si>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</si>
  <si>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</si>
  <si>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Año Cero</t>
  </si>
  <si>
    <t xml:space="preserve">% </t>
  </si>
  <si>
    <t>Total</t>
  </si>
  <si>
    <t>Grafico Demanda Anual</t>
  </si>
  <si>
    <t>Capacity line</t>
  </si>
  <si>
    <t>Quality yield</t>
  </si>
  <si>
    <t>Seconds x unit</t>
  </si>
  <si>
    <t>Units x hour</t>
  </si>
  <si>
    <t>Hours Shift</t>
  </si>
  <si>
    <t>Shifts</t>
  </si>
  <si>
    <t>Production Lines</t>
  </si>
  <si>
    <t>Week working days</t>
  </si>
  <si>
    <t>Months working weeks</t>
  </si>
  <si>
    <t>Year working months</t>
  </si>
  <si>
    <t>Anual Capacity</t>
  </si>
  <si>
    <t>CO</t>
  </si>
  <si>
    <t>WO</t>
  </si>
  <si>
    <t>Linea</t>
  </si>
  <si>
    <t>Descripción</t>
  </si>
  <si>
    <t>Op1</t>
  </si>
  <si>
    <t>Elaboración placa base</t>
  </si>
  <si>
    <t>OP2</t>
  </si>
  <si>
    <t>Ensamble base</t>
  </si>
  <si>
    <t>Op3</t>
  </si>
  <si>
    <t>Ensamble 2</t>
  </si>
  <si>
    <t>Op4</t>
  </si>
  <si>
    <t>Ensamble 3</t>
  </si>
  <si>
    <t>Op5</t>
  </si>
  <si>
    <t>Ensamble 4</t>
  </si>
  <si>
    <t>Op6</t>
  </si>
  <si>
    <t>Ensamble 5</t>
  </si>
  <si>
    <t>Op7</t>
  </si>
  <si>
    <t>Ensamble 6</t>
  </si>
  <si>
    <t>Op8</t>
  </si>
  <si>
    <t>Ensamble 7</t>
  </si>
  <si>
    <t>Op9</t>
  </si>
  <si>
    <t>Ensamble 8</t>
  </si>
  <si>
    <t>Op10</t>
  </si>
  <si>
    <t>Ensamble 9</t>
  </si>
  <si>
    <t>Op11</t>
  </si>
  <si>
    <t>Ensamble 10</t>
  </si>
  <si>
    <t>Op12</t>
  </si>
  <si>
    <t>Ensamble 11</t>
  </si>
  <si>
    <t>Op13</t>
  </si>
  <si>
    <t>Ensamble 12</t>
  </si>
  <si>
    <t>Op14</t>
  </si>
  <si>
    <t>Ensamble 13</t>
  </si>
  <si>
    <t>Op15</t>
  </si>
  <si>
    <t>Ensamble 14</t>
  </si>
  <si>
    <t>Op16</t>
  </si>
  <si>
    <t>Ensamble 15</t>
  </si>
  <si>
    <t>Supervisores</t>
  </si>
  <si>
    <t>Capacidad  Ocupada</t>
  </si>
  <si>
    <t>Tpo  Proceso</t>
  </si>
  <si>
    <t>Operadores necesarios</t>
  </si>
  <si>
    <t>Operadores</t>
  </si>
  <si>
    <t>Personal Mano de Obra Directa</t>
  </si>
  <si>
    <t>DN001</t>
  </si>
  <si>
    <t>Costo de Materia Prima</t>
  </si>
  <si>
    <t>Costo de venta</t>
  </si>
  <si>
    <t>Id</t>
  </si>
  <si>
    <t>Cantidad</t>
  </si>
  <si>
    <t>Costo</t>
  </si>
  <si>
    <t>Sub total</t>
  </si>
  <si>
    <t>FR001</t>
  </si>
  <si>
    <t>Base del frame</t>
  </si>
  <si>
    <t>FR005</t>
  </si>
  <si>
    <t>Placa inferior del frame</t>
  </si>
  <si>
    <t>FR003</t>
  </si>
  <si>
    <t>Brazos del dron</t>
  </si>
  <si>
    <t>FR006</t>
  </si>
  <si>
    <t>Placa superior para batería</t>
  </si>
  <si>
    <t>FR004</t>
  </si>
  <si>
    <t>Placa superior del frame</t>
  </si>
  <si>
    <t>AC001</t>
  </si>
  <si>
    <t>Soporte del Buzzer</t>
  </si>
  <si>
    <t>AC003</t>
  </si>
  <si>
    <t>Soporte del capacitor</t>
  </si>
  <si>
    <t>AC004</t>
  </si>
  <si>
    <t>Parachoques frontal</t>
  </si>
  <si>
    <t>AC005</t>
  </si>
  <si>
    <t>Soporte para GoPro</t>
  </si>
  <si>
    <t>AC006</t>
  </si>
  <si>
    <t>Amortiguador de motor</t>
  </si>
  <si>
    <t>AC007</t>
  </si>
  <si>
    <t>Parachoques trasero</t>
  </si>
  <si>
    <t>AC008</t>
  </si>
  <si>
    <t>Soporte para antena</t>
  </si>
  <si>
    <t>AC009</t>
  </si>
  <si>
    <t>Patín de aterrizaje</t>
  </si>
  <si>
    <t>AC010</t>
  </si>
  <si>
    <t>Guardas para brazos</t>
  </si>
  <si>
    <t>AC011</t>
  </si>
  <si>
    <t>Soporte cámara FPV</t>
  </si>
  <si>
    <t>CE008</t>
  </si>
  <si>
    <t>Power distribution board</t>
  </si>
  <si>
    <t>SE003</t>
  </si>
  <si>
    <t>Sistema electrónico</t>
  </si>
  <si>
    <t>Dron Super Sport</t>
  </si>
  <si>
    <t>Graficos</t>
  </si>
  <si>
    <t>Cédula para calcular las depreciaciones de los equipos.</t>
  </si>
  <si>
    <t>Cédula 1 Depreciación</t>
  </si>
  <si>
    <t>MAQUINARIA Y EQUIPO</t>
  </si>
  <si>
    <t>M-001</t>
  </si>
  <si>
    <t>M-002</t>
  </si>
  <si>
    <t>M-003</t>
  </si>
  <si>
    <t>M-004</t>
  </si>
  <si>
    <t>M-005</t>
  </si>
  <si>
    <t>M-006</t>
  </si>
  <si>
    <t>M-007</t>
  </si>
  <si>
    <t>Nueva-001</t>
  </si>
  <si>
    <t>Nueva-002</t>
  </si>
  <si>
    <t>Nueva-003</t>
  </si>
  <si>
    <t>Nueva-004</t>
  </si>
  <si>
    <t>Nueva-005</t>
  </si>
  <si>
    <t>Nueva-006</t>
  </si>
  <si>
    <t>TOTAL</t>
  </si>
  <si>
    <t>Depreciación</t>
  </si>
  <si>
    <t>EQUIPO DE TRANSPORTE.</t>
  </si>
  <si>
    <t>Auto-1</t>
  </si>
  <si>
    <t>Auto-2</t>
  </si>
  <si>
    <t>Auto-3</t>
  </si>
  <si>
    <t>Auto-4</t>
  </si>
  <si>
    <t>Camion-1</t>
  </si>
  <si>
    <t>Camion-2</t>
  </si>
  <si>
    <t>Camion-3</t>
  </si>
  <si>
    <t>Camion-4</t>
  </si>
  <si>
    <t>Nuevo-1</t>
  </si>
  <si>
    <t>Nuevo-2</t>
  </si>
  <si>
    <t>Nuevo-3</t>
  </si>
  <si>
    <t>Nuevo-4</t>
  </si>
  <si>
    <t>Nuevo-5</t>
  </si>
  <si>
    <t>Nuevo-6</t>
  </si>
  <si>
    <t>Nuevo-7</t>
  </si>
  <si>
    <t>EDIFICIOS.</t>
  </si>
  <si>
    <t>Edificios-1</t>
  </si>
  <si>
    <t>Edificios-2</t>
  </si>
  <si>
    <t>Edificios-3</t>
  </si>
  <si>
    <t>Edificios-4</t>
  </si>
  <si>
    <t>Nuevo-001</t>
  </si>
  <si>
    <t>Nuevo-002</t>
  </si>
  <si>
    <t>Nuevo-003</t>
  </si>
  <si>
    <t>Nuevo-004</t>
  </si>
  <si>
    <t>Nuevo-005</t>
  </si>
  <si>
    <t>Nuevo-006</t>
  </si>
  <si>
    <t>EQUIPO DE COMPUTO.</t>
  </si>
  <si>
    <t>Compu-001</t>
  </si>
  <si>
    <t>PREMISAS MACROECONOMICAS</t>
  </si>
  <si>
    <t>Tipo de cambio al cierre (dolares)</t>
  </si>
  <si>
    <t>Tasa lider nacional.</t>
  </si>
  <si>
    <t>CPP</t>
  </si>
  <si>
    <t>CETES</t>
  </si>
  <si>
    <t>LIBOR</t>
  </si>
  <si>
    <t>Inflación Nacional</t>
  </si>
  <si>
    <t>Tasa ISR</t>
  </si>
  <si>
    <t>Tasa IMPAC</t>
  </si>
  <si>
    <t>Tasa de PTU</t>
  </si>
  <si>
    <t>Inflación Extranjera</t>
  </si>
  <si>
    <t>POLITICAS.</t>
  </si>
  <si>
    <t>Porcentaje de Inventario.</t>
  </si>
  <si>
    <t>Porcentaje de proveedores.</t>
  </si>
  <si>
    <t>Porcentaje de pasivo corto plazo.</t>
  </si>
  <si>
    <t>Porcentaje de costo directo del producto.</t>
  </si>
  <si>
    <t>Porcentaje de costo indirecto del producto.</t>
  </si>
  <si>
    <t>Porcentaje de gasto de venta</t>
  </si>
  <si>
    <t>Porcentaje de administración</t>
  </si>
  <si>
    <t>Porcentaje depreciación Edificios</t>
  </si>
  <si>
    <t>Porcentaje depreciación Maquinaria y Equipo</t>
  </si>
  <si>
    <t>Porcentaje depreciación Equipo de Transporte</t>
  </si>
  <si>
    <t>Porcentaje depreciación Equipo de computo</t>
  </si>
  <si>
    <t>MOD Operador</t>
  </si>
  <si>
    <t>Porcentaje</t>
  </si>
  <si>
    <t>Percepción</t>
  </si>
  <si>
    <t>MOID Materiales</t>
  </si>
  <si>
    <t>MOID Técnico Pruebas</t>
  </si>
  <si>
    <t>MOID Almacen</t>
  </si>
  <si>
    <t>Salario base</t>
  </si>
  <si>
    <t>IMSS</t>
  </si>
  <si>
    <t>Infonavit</t>
  </si>
  <si>
    <t>Vales de despensa</t>
  </si>
  <si>
    <t>Prima Vacacional</t>
  </si>
  <si>
    <t>Aguinaldo</t>
  </si>
  <si>
    <t>Fondo de Ahorro</t>
  </si>
  <si>
    <t>Comedor</t>
  </si>
  <si>
    <t>ISR</t>
  </si>
  <si>
    <t>Salario Integrado</t>
  </si>
  <si>
    <t>MOD Supervisor</t>
  </si>
  <si>
    <t>MOID Técnico Calidad</t>
  </si>
  <si>
    <t>MOID Técnico Producto</t>
  </si>
  <si>
    <t>MOID Técnico Logística</t>
  </si>
  <si>
    <t>IM Ingeniero Procesos</t>
  </si>
  <si>
    <t>IM Ingeniero de Calidad</t>
  </si>
  <si>
    <t>Ingeniero de Producto</t>
  </si>
  <si>
    <t>Ingeniero de Mtto</t>
  </si>
  <si>
    <t>Gerente de Operaciones</t>
  </si>
  <si>
    <t>ADMINISTRATIVOS</t>
  </si>
  <si>
    <t>Recursos humanos</t>
  </si>
  <si>
    <t>Finanzas y Contabilidad</t>
  </si>
  <si>
    <t>Compras</t>
  </si>
  <si>
    <t>IT</t>
  </si>
  <si>
    <t>Mercadotecnia</t>
  </si>
  <si>
    <t>Logística</t>
  </si>
  <si>
    <t>Secretaria Ejecutiva</t>
  </si>
  <si>
    <t>Gerente Administrativo</t>
  </si>
  <si>
    <t>Gerente General</t>
  </si>
  <si>
    <t>Limpieza y Mtto</t>
  </si>
  <si>
    <t>Seguridad</t>
  </si>
  <si>
    <t>Secretaria</t>
  </si>
  <si>
    <t>Salarios</t>
  </si>
  <si>
    <t>Subtotal</t>
  </si>
  <si>
    <t>Operador</t>
  </si>
  <si>
    <t>Supervisor</t>
  </si>
  <si>
    <t>Resumen Salarios</t>
  </si>
  <si>
    <t>Mano de Obra Directa</t>
  </si>
  <si>
    <t>Mano de Obra Indirecta</t>
  </si>
  <si>
    <t xml:space="preserve">Salarios Ingeniería </t>
  </si>
  <si>
    <t>Salarios Administrativos</t>
  </si>
  <si>
    <t>Categoría de Gasto</t>
  </si>
  <si>
    <t>Subcategoría</t>
  </si>
  <si>
    <t>Rango Mensual Estimado (MXN)</t>
  </si>
  <si>
    <t>Notas y Consideraciones</t>
  </si>
  <si>
    <t>Servicios Básicos</t>
  </si>
  <si>
    <t>Electricidad</t>
  </si>
  <si>
    <t>Consumo de energía para oficinas, equipos, aire acondicionado, iluminación.</t>
  </si>
  <si>
    <t>Depende mucho del tamaño del espacio, el uso de equipo (servidores, maquinaria), y la tarifa CFE (p.ej., PDBT, GDMTO). Empresas con subestación propia pueden tener tarifas diferentes.</t>
  </si>
  <si>
    <t>Agua</t>
  </si>
  <si>
    <t>Consumo de agua para baños, cocina, limpieza.</t>
  </si>
  <si>
    <t>Las tarifas varían por municipio y tipo de uso (comercial/industrial). El volumen de consumo es clave.</t>
  </si>
  <si>
    <t>Telefonía Fija</t>
  </si>
  <si>
    <t>Líneas telefónicas para comunicación interna y externa.</t>
  </si>
  <si>
    <t>Paquetes con múltiples líneas y llamadas ilimitadas suelen ser más económicos por línea.</t>
  </si>
  <si>
    <t>Internet</t>
  </si>
  <si>
    <t>Conexión de banda ancha para toda la empresa (fibra óptica es recomendable).</t>
  </si>
  <si>
    <t>Variará según la velocidad (MBs), el proveedor y si incluye servicios adicionales (ej. VPN, IP fija). Para 50-100 empleados se requiere un servicio de alta velocidad y estabilidad.</t>
  </si>
  <si>
    <t>Otros Servicios</t>
  </si>
  <si>
    <t>Limpieza</t>
  </si>
  <si>
    <t>Servicio de personal de limpieza o empresa de outsourcing.</t>
  </si>
  <si>
    <t>Puede ser personal interno o un servicio externo por horas/días. Depende del tamaño de las instalaciones y la frecuencia.</t>
  </si>
  <si>
    <t>Sistemas de alarma, cámaras, y/o personal de seguridad.</t>
  </si>
  <si>
    <t>Varía según el nivel de seguridad deseado y si es un servicio de monitoreo o personal en sitio.</t>
  </si>
  <si>
    <t>Mantenimiento</t>
  </si>
  <si>
    <t>Mantenimiento de instalaciones (aire acondicionado, plomería, electricidad, etc.).</t>
  </si>
  <si>
    <t>Puede ser preventivo o correctivo. Algunos meses serán más altos que otros.</t>
  </si>
  <si>
    <t>Gastos Administrativos</t>
  </si>
  <si>
    <t>Sueldos y Salarios (Personal Administrativo)</t>
  </si>
  <si>
    <t>Personal de contabilidad, recursos humanos, recepcionistas, asistentes, gerentes administrativos, etc.</t>
  </si>
  <si>
    <t>Este es el gasto más significativo. Incluye salarios brutos, prestaciones (IMSS, Infonavit, etc.) y beneficios. Muy variable según la estructura de la empresa y los salarios de mercado.</t>
  </si>
  <si>
    <t>Renta de Oficina/Espacio</t>
  </si>
  <si>
    <t>Alquiler del inmueble donde opera la PyME.</t>
  </si>
  <si>
    <t>Altamente dependiente de la ubicación (zona, ciudad), el tamaño del espacio y las amenidades.</t>
  </si>
  <si>
    <t>Materiales de Oficina</t>
  </si>
  <si>
    <t>Papelería, tóner, plumas, artículos de escritorio, etc.</t>
  </si>
  <si>
    <t>Varía con el volumen de uso y si hay digitalización de procesos.</t>
  </si>
  <si>
    <t>Software y Licencias</t>
  </si>
  <si>
    <t>Software contable, CRM, ERP, paquetería de oficina, software especializado.</t>
  </si>
  <si>
    <t>Muchos softwares se pagan por licencia o por usuario. Un ERP para 50-100 empleados puede ser una inversión significativa.</t>
  </si>
  <si>
    <t>Servicios de Contabilidad/Fiscales</t>
  </si>
  <si>
    <t>Despacho contable externo para gestión fiscal y contable.</t>
  </si>
  <si>
    <t>Depende de la complejidad de la operación y el volumen de transacciones.</t>
  </si>
  <si>
    <t>Asesoría Legal</t>
  </si>
  <si>
    <t>Servicios de consultoría legal para contratos, temas laborales, compliance.</t>
  </si>
  <si>
    <t>Puede ser un pago recurrente por iguala o por proyecto. Varía según la necesidad.</t>
  </si>
  <si>
    <t>Seguros</t>
  </si>
  <si>
    <t>Seguro de responsabilidad civil, seguro de oficina, seguro de equipo.</t>
  </si>
  <si>
    <t>Pagos anuales que se prorratean mensualmente.</t>
  </si>
  <si>
    <t>Capacitación y Desarrollo</t>
  </si>
  <si>
    <t>Cursos, talleres, seminarios para el personal administrativo.</t>
  </si>
  <si>
    <t>Inversión en el crecimiento y habilidades del equipo. Puede ser variable.</t>
  </si>
  <si>
    <t>Gastos de Viaje y Representación</t>
  </si>
  <si>
    <t>Viáticos, comidas de negocios, transporte para reuniones.</t>
  </si>
  <si>
    <t>Depende de la naturaleza del negocio y la frecuencia de viajes.</t>
  </si>
  <si>
    <t>Publicidad y Marketing (Interno)</t>
  </si>
  <si>
    <t>Materiales de comunicación interna, eventos para empleados.</t>
  </si>
  <si>
    <t>Si hay un departamento de marketing interno, sus gastos se imputarían aquí.</t>
  </si>
  <si>
    <t>Otros (Insumos de Cocina, Cafetería, etc.)</t>
  </si>
  <si>
    <t>Café, agua embotellada, snacks para empleados y visitas.</t>
  </si>
  <si>
    <t>Detalles que contribuyen al ambiente laboral.</t>
  </si>
  <si>
    <t>Gastos Financieros</t>
  </si>
  <si>
    <t>Amortización Crédito</t>
  </si>
  <si>
    <t>Interes devengado</t>
  </si>
  <si>
    <t>Monto</t>
  </si>
  <si>
    <t>Periodos</t>
  </si>
  <si>
    <t>Tasa</t>
  </si>
  <si>
    <t>Total Año 1</t>
  </si>
  <si>
    <t>Amortizacion</t>
  </si>
  <si>
    <t>Interés</t>
  </si>
  <si>
    <t>Inversión</t>
  </si>
  <si>
    <t>Edificio</t>
  </si>
  <si>
    <t>Maquinaria y Equipo</t>
  </si>
  <si>
    <t>Equipo de Computo</t>
  </si>
  <si>
    <t>Transporte</t>
  </si>
  <si>
    <t>Capital de Trabajo</t>
  </si>
  <si>
    <t>Obra civil Maquinaria y Equipo</t>
  </si>
  <si>
    <t>Materia Prima Part Data</t>
  </si>
  <si>
    <t>BOM</t>
  </si>
  <si>
    <t>Costo Anual Materia Prima</t>
  </si>
  <si>
    <t>Estados de Resultados</t>
  </si>
  <si>
    <t>Ventas</t>
  </si>
  <si>
    <t>VENTAS</t>
  </si>
  <si>
    <t>Ventas Netas</t>
  </si>
  <si>
    <t>COSTOS</t>
  </si>
  <si>
    <t>Mano de obra directa y supervisores</t>
  </si>
  <si>
    <t>Costos Indirectos Producto 2</t>
  </si>
  <si>
    <t>Costos Indirectos Producto 3</t>
  </si>
  <si>
    <t>Total de Costos</t>
  </si>
  <si>
    <t>Utilidad Bruta</t>
  </si>
  <si>
    <t>Gastos de Administración</t>
  </si>
  <si>
    <t>Depreciación edificios</t>
  </si>
  <si>
    <t>Depreciación equipo transp.</t>
  </si>
  <si>
    <t>Depreciación Maquinaria y equipo</t>
  </si>
  <si>
    <t>Depreciación equipo computo</t>
  </si>
  <si>
    <t>Amortización de seguros</t>
  </si>
  <si>
    <t>Gastos de Ventas</t>
  </si>
  <si>
    <t>Utilidad de Operación</t>
  </si>
  <si>
    <t>Pago de Crédito</t>
  </si>
  <si>
    <t>Productos Financieros</t>
  </si>
  <si>
    <t>Utilidad antes de impuestos</t>
  </si>
  <si>
    <t>I.S.R. y T.P.U.</t>
  </si>
  <si>
    <t>Utilidad o perdida del periodo</t>
  </si>
  <si>
    <t>Dron Sport Life</t>
  </si>
  <si>
    <t>Costo de Matarias Primas Dron</t>
  </si>
  <si>
    <t>Costo Indirectos Sueldos Manufactura</t>
  </si>
  <si>
    <t>Costos Salarios de Ingenieria</t>
  </si>
  <si>
    <t>Costos Materiales Indirectos</t>
  </si>
  <si>
    <t>Gastos de Operación</t>
  </si>
  <si>
    <t>Materia Prima</t>
  </si>
  <si>
    <t>Precio de Venta Unitario</t>
  </si>
  <si>
    <t>Total Gastos</t>
  </si>
  <si>
    <t>Amortización crédito</t>
  </si>
  <si>
    <t>Intereses devengados</t>
  </si>
  <si>
    <t>Totas Gastos + Financieros</t>
  </si>
  <si>
    <t>Precio Utilidad</t>
  </si>
  <si>
    <t>Precio por competitividad</t>
  </si>
  <si>
    <t>Customer Orderes (COs)</t>
  </si>
  <si>
    <t>Total ingreso por venta de Dron</t>
  </si>
  <si>
    <t>Precio Dron Unitario</t>
  </si>
  <si>
    <t>Flujo de Efectivo</t>
  </si>
  <si>
    <t>Entradas</t>
  </si>
  <si>
    <t>Saldo Inicial</t>
  </si>
  <si>
    <t>Ingresos del periodo</t>
  </si>
  <si>
    <t>Prestamo a largo plazo.</t>
  </si>
  <si>
    <t>Prestamos a corto plazo.</t>
  </si>
  <si>
    <t>Otros Ingresos</t>
  </si>
  <si>
    <t>Total de entradas</t>
  </si>
  <si>
    <t>Salidas</t>
  </si>
  <si>
    <t>Otros Egresos</t>
  </si>
  <si>
    <t>Total de salidas</t>
  </si>
  <si>
    <t>Flujo Neto de efectivo</t>
  </si>
  <si>
    <t>Materias Primas Dron</t>
  </si>
  <si>
    <t>Sueldos Indirectos Manufactura</t>
  </si>
  <si>
    <t>Salarios de Ingenieria</t>
  </si>
  <si>
    <t>Materiales Indirectos</t>
  </si>
  <si>
    <t>Sueldos Administración</t>
  </si>
  <si>
    <t>Gastos Administración Empresa</t>
  </si>
  <si>
    <t>Gastos de Venta (Promoción, Patrocinios)</t>
  </si>
  <si>
    <t>Compra Maquinaria</t>
  </si>
  <si>
    <t>Construcción/Compra Edificio</t>
  </si>
  <si>
    <t>Obra civil instalación maquinaria</t>
  </si>
  <si>
    <t>Compra Equipo de Computo</t>
  </si>
  <si>
    <t>Compra Equipo de transporte</t>
  </si>
  <si>
    <t>Pago de Credito</t>
  </si>
  <si>
    <t>Pago de intereses por credito</t>
  </si>
  <si>
    <t>Impuestos</t>
  </si>
  <si>
    <t>TIR</t>
  </si>
  <si>
    <t>Valor Presente</t>
  </si>
  <si>
    <t>TREMA</t>
  </si>
  <si>
    <t>Mejor Tasa de Interés del Mercado</t>
  </si>
  <si>
    <t>Inflación</t>
  </si>
  <si>
    <t>Premio al riesgo</t>
  </si>
  <si>
    <t>Decisión TIR Vs TREMA</t>
  </si>
  <si>
    <t>Valor de TREMA</t>
  </si>
  <si>
    <t>Grafico</t>
  </si>
  <si>
    <t>BALANCE GENERAL</t>
  </si>
  <si>
    <t>Activo Circulante</t>
  </si>
  <si>
    <t>Caja y Bancos</t>
  </si>
  <si>
    <t>Cuentas por cobrar</t>
  </si>
  <si>
    <t>Acciones</t>
  </si>
  <si>
    <t>Depósito en Garantía</t>
  </si>
  <si>
    <t>Total activo circulante</t>
  </si>
  <si>
    <t>Activo Fijo</t>
  </si>
  <si>
    <t>Edificios</t>
  </si>
  <si>
    <t>Equipo de Transporte</t>
  </si>
  <si>
    <t>Maquinaria y equipo</t>
  </si>
  <si>
    <t>Total de activo fijo</t>
  </si>
  <si>
    <t>Activo Diferido</t>
  </si>
  <si>
    <t>Pago de Seguros</t>
  </si>
  <si>
    <t>Total de activo diferido</t>
  </si>
  <si>
    <t>Total de activo</t>
  </si>
  <si>
    <t>Pasivo circulante</t>
  </si>
  <si>
    <t>Documentos por pagar corto plazo</t>
  </si>
  <si>
    <t>Total de pasivo circulante</t>
  </si>
  <si>
    <t>Pasivo a largo plazo</t>
  </si>
  <si>
    <t>Capital vigente</t>
  </si>
  <si>
    <t>Pago de intereses</t>
  </si>
  <si>
    <t>Total de pasivo a largo plazo</t>
  </si>
  <si>
    <t>Total de pasivo</t>
  </si>
  <si>
    <t>Capital contable</t>
  </si>
  <si>
    <t>Patrimonio</t>
  </si>
  <si>
    <t>Utilidad o perdida acumulada</t>
  </si>
  <si>
    <t>Total de capital contable</t>
  </si>
  <si>
    <t>Activo - (Pasivo + Capital )</t>
  </si>
  <si>
    <t>Inventario Drones</t>
  </si>
  <si>
    <t xml:space="preserve">Proveedores producto </t>
  </si>
  <si>
    <t>RAZONES</t>
  </si>
  <si>
    <t>I.- DE LIQUIDEZ</t>
  </si>
  <si>
    <t>Razón de Líquidez</t>
  </si>
  <si>
    <t>(Activo Circulante / Pasivo Circulante)</t>
  </si>
  <si>
    <t>Prueba del ácido</t>
  </si>
  <si>
    <t>(Act. Cir.-Inventario)/Pasivo Circulante</t>
  </si>
  <si>
    <t>(Activo circulante - pasivo circulante)</t>
  </si>
  <si>
    <t>II.- DE ENDEUDAMIENTO</t>
  </si>
  <si>
    <t>Indice de endeudamiento</t>
  </si>
  <si>
    <t>(Pasivo total/activo total)</t>
  </si>
  <si>
    <t>(Capital contable/activo total)</t>
  </si>
  <si>
    <t>III DE EFICIENCIA Y OPERACION</t>
  </si>
  <si>
    <t>Rotación del activo total</t>
  </si>
  <si>
    <t>(ventas netas/activo total)</t>
  </si>
  <si>
    <t>Rotación de inventarios</t>
  </si>
  <si>
    <t>(inventario/costo de ventas)* días</t>
  </si>
  <si>
    <t>Rotación de proveedores</t>
  </si>
  <si>
    <t>(proveedores/costo de venta) * días</t>
  </si>
  <si>
    <t>IV DE RENTABILIDAD.</t>
  </si>
  <si>
    <t>Rentabilidad sobre las ventas</t>
  </si>
  <si>
    <t>(utilidad neta/ventas netas)</t>
  </si>
  <si>
    <t>Utilidad de Operación a ventas</t>
  </si>
  <si>
    <t>Rendimiento sobre la inversión</t>
  </si>
  <si>
    <t>(Utilidad Neta/Activo Neto)</t>
  </si>
  <si>
    <t>Tiempo en segundos de cada proceso</t>
  </si>
  <si>
    <t>Tiempo de ciclo</t>
  </si>
  <si>
    <t>Perido de Recuperación Inversión</t>
  </si>
  <si>
    <t>Sxrap</t>
  </si>
  <si>
    <t>Total Año 2</t>
  </si>
  <si>
    <t>Punto de Equilibrio</t>
  </si>
  <si>
    <t>Costos Fijos Anuales</t>
  </si>
  <si>
    <t xml:space="preserve">Salarios </t>
  </si>
  <si>
    <t>Costos Variables Unitarios</t>
  </si>
  <si>
    <t>BOM (Materia Prima)</t>
  </si>
  <si>
    <t>Precio de Venta</t>
  </si>
  <si>
    <t>Cantidad de</t>
  </si>
  <si>
    <t>Equilibrio</t>
  </si>
  <si>
    <t>Beneficio deseado</t>
  </si>
  <si>
    <t>Ingreso de</t>
  </si>
  <si>
    <t xml:space="preserve">Cantidad para </t>
  </si>
  <si>
    <t>alcazar beneficio</t>
  </si>
  <si>
    <t>Unidades vendidas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</si>
</sst>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#,##0.00_ ;[Red]\-#,##0.00\ "/>
    <numFmt numFmtId="167" formatCode="0.000%"/>
    <numFmt numFmtId="168" formatCode="#,##0.000000000000000_ ;[Red]\-#,##0.000000000000000\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0"/>
      <name val="Footlight MT Light"/>
      <family val="1"/>
    </font>
    <font>
      <sz val="11"/>
      <name val="Calibri"/>
      <family val="2"/>
    </font>
    <font>
      <sz val="10"/>
      <name val="Aptos Narrow"/>
      <family val="2"/>
      <scheme val="minor"/>
    </font>
    <font>
      <sz val="10"/>
      <color indexed="21"/>
      <name val="Aptos Narrow"/>
      <family val="2"/>
      <scheme val="minor"/>
    </font>
    <font>
      <sz val="10"/>
      <color indexed="48"/>
      <name val="Aptos Narrow"/>
      <family val="2"/>
      <scheme val="minor"/>
    </font>
    <font>
      <sz val="10"/>
      <color indexed="12"/>
      <name val="Aptos Narrow"/>
      <family val="2"/>
      <scheme val="minor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/>
    </xf>
    <xf numFmtId="9" fontId="0" fillId="0" borderId="0" xfId="3" applyFont="1"/>
    <xf numFmtId="9" fontId="0" fillId="0" borderId="1" xfId="3" applyFont="1" applyBorder="1"/>
    <xf numFmtId="9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64" fontId="0" fillId="0" borderId="1" xfId="0" applyNumberFormat="1" applyBorder="1"/>
    <xf numFmtId="164" fontId="0" fillId="0" borderId="1" xfId="1" applyNumberFormat="1" applyFont="1" applyBorder="1"/>
    <xf numFmtId="43" fontId="0" fillId="0" borderId="1" xfId="1" applyFont="1" applyBorder="1"/>
    <xf numFmtId="164" fontId="0" fillId="3" borderId="0" xfId="1" applyNumberFormat="1" applyFont="1" applyFill="1"/>
    <xf numFmtId="164" fontId="0" fillId="3" borderId="1" xfId="1" applyNumberFormat="1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8" xfId="1" applyNumberFormat="1" applyFont="1" applyBorder="1"/>
    <xf numFmtId="43" fontId="0" fillId="0" borderId="0" xfId="0" applyNumberFormat="1"/>
    <xf numFmtId="164" fontId="0" fillId="0" borderId="0" xfId="0" applyNumberFormat="1" applyAlignment="1">
      <alignment horizontal="left" indent="2"/>
    </xf>
    <xf numFmtId="0" fontId="0" fillId="4" borderId="0" xfId="0" applyFill="1"/>
    <xf numFmtId="0" fontId="4" fillId="4" borderId="0" xfId="0" applyFont="1" applyFill="1"/>
    <xf numFmtId="10" fontId="2" fillId="0" borderId="0" xfId="3" applyNumberFormat="1" applyFont="1"/>
    <xf numFmtId="0" fontId="0" fillId="4" borderId="0" xfId="0" applyFill="1" applyAlignment="1">
      <alignment wrapText="1"/>
    </xf>
    <xf numFmtId="0" fontId="0" fillId="4" borderId="8" xfId="0" applyFill="1" applyBorder="1"/>
    <xf numFmtId="44" fontId="0" fillId="0" borderId="0" xfId="2" applyFont="1"/>
    <xf numFmtId="0" fontId="6" fillId="0" borderId="0" xfId="4" applyFont="1"/>
    <xf numFmtId="40" fontId="6" fillId="0" borderId="0" xfId="4" applyNumberFormat="1" applyFont="1"/>
    <xf numFmtId="0" fontId="1" fillId="2" borderId="0" xfId="0" applyFont="1" applyFill="1"/>
    <xf numFmtId="2" fontId="6" fillId="0" borderId="0" xfId="4" applyNumberFormat="1" applyFont="1"/>
    <xf numFmtId="0" fontId="2" fillId="2" borderId="0" xfId="0" applyFont="1" applyFill="1"/>
    <xf numFmtId="0" fontId="2" fillId="2" borderId="8" xfId="0" applyFont="1" applyFill="1" applyBorder="1"/>
    <xf numFmtId="44" fontId="0" fillId="0" borderId="8" xfId="2" applyFont="1" applyBorder="1"/>
    <xf numFmtId="9" fontId="0" fillId="0" borderId="8" xfId="3" applyFont="1" applyBorder="1"/>
    <xf numFmtId="0" fontId="0" fillId="2" borderId="0" xfId="0" applyFill="1"/>
    <xf numFmtId="44" fontId="0" fillId="0" borderId="0" xfId="0" applyNumberFormat="1"/>
    <xf numFmtId="0" fontId="0" fillId="2" borderId="8" xfId="0" applyFill="1" applyBorder="1"/>
    <xf numFmtId="0" fontId="0" fillId="0" borderId="8" xfId="0" applyBorder="1" applyAlignment="1">
      <alignment wrapText="1"/>
    </xf>
    <xf numFmtId="43" fontId="0" fillId="0" borderId="8" xfId="1" applyFont="1" applyBorder="1"/>
    <xf numFmtId="43" fontId="6" fillId="0" borderId="0" xfId="1" applyFont="1"/>
    <xf numFmtId="43" fontId="6" fillId="0" borderId="9" xfId="1" applyFont="1" applyBorder="1"/>
    <xf numFmtId="40" fontId="0" fillId="0" borderId="0" xfId="0" applyNumberFormat="1"/>
    <xf numFmtId="40" fontId="7" fillId="0" borderId="0" xfId="4" applyNumberFormat="1" applyFont="1" applyAlignment="1">
      <alignment horizontal="center"/>
    </xf>
    <xf numFmtId="40" fontId="8" fillId="0" borderId="0" xfId="4" applyNumberFormat="1" applyFont="1" applyAlignment="1">
      <alignment horizontal="left"/>
    </xf>
    <xf numFmtId="40" fontId="7" fillId="0" borderId="0" xfId="4" applyNumberFormat="1" applyFont="1" applyAlignment="1">
      <alignment horizontal="left"/>
    </xf>
    <xf numFmtId="40" fontId="7" fillId="0" borderId="9" xfId="4" applyNumberFormat="1" applyFont="1" applyBorder="1" applyAlignment="1">
      <alignment horizontal="left"/>
    </xf>
    <xf numFmtId="40" fontId="7" fillId="0" borderId="0" xfId="4" applyNumberFormat="1" applyFont="1"/>
    <xf numFmtId="40" fontId="8" fillId="0" borderId="0" xfId="4" applyNumberFormat="1" applyFont="1"/>
    <xf numFmtId="40" fontId="9" fillId="0" borderId="0" xfId="4" applyNumberFormat="1" applyFont="1"/>
    <xf numFmtId="40" fontId="7" fillId="0" borderId="9" xfId="4" applyNumberFormat="1" applyFont="1" applyBorder="1"/>
    <xf numFmtId="40" fontId="10" fillId="0" borderId="0" xfId="4" applyNumberFormat="1" applyFont="1"/>
    <xf numFmtId="40" fontId="7" fillId="0" borderId="10" xfId="4" applyNumberFormat="1" applyFont="1" applyBorder="1"/>
    <xf numFmtId="44" fontId="0" fillId="0" borderId="9" xfId="0" applyNumberFormat="1" applyBorder="1"/>
    <xf numFmtId="0" fontId="0" fillId="0" borderId="9" xfId="0" applyBorder="1"/>
    <xf numFmtId="0" fontId="0" fillId="0" borderId="0" xfId="0" applyAlignment="1">
      <alignment horizontal="right"/>
    </xf>
    <xf numFmtId="44" fontId="0" fillId="0" borderId="9" xfId="2" applyFont="1" applyBorder="1"/>
    <xf numFmtId="165" fontId="0" fillId="0" borderId="0" xfId="3" applyNumberFormat="1" applyFont="1"/>
    <xf numFmtId="8" fontId="0" fillId="0" borderId="0" xfId="0" applyNumberFormat="1"/>
    <xf numFmtId="43" fontId="0" fillId="0" borderId="9" xfId="0" applyNumberFormat="1" applyBorder="1"/>
    <xf numFmtId="166" fontId="0" fillId="0" borderId="9" xfId="0" applyNumberFormat="1" applyBorder="1"/>
    <xf numFmtId="40" fontId="0" fillId="0" borderId="9" xfId="0" applyNumberFormat="1" applyBorder="1"/>
    <xf numFmtId="2" fontId="0" fillId="0" borderId="9" xfId="0" applyNumberFormat="1" applyBorder="1"/>
    <xf numFmtId="166" fontId="0" fillId="0" borderId="9" xfId="2" applyNumberFormat="1" applyFont="1" applyBorder="1"/>
    <xf numFmtId="38" fontId="0" fillId="0" borderId="9" xfId="2" applyNumberFormat="1" applyFont="1" applyBorder="1"/>
    <xf numFmtId="0" fontId="11" fillId="4" borderId="0" xfId="4" applyFont="1" applyFill="1" applyAlignment="1">
      <alignment horizontal="center"/>
    </xf>
    <xf numFmtId="0" fontId="6" fillId="0" borderId="11" xfId="4" applyFont="1" applyBorder="1"/>
    <xf numFmtId="0" fontId="6" fillId="0" borderId="11" xfId="4" applyFont="1" applyBorder="1" applyAlignment="1">
      <alignment horizontal="center"/>
    </xf>
    <xf numFmtId="43" fontId="6" fillId="0" borderId="11" xfId="5" applyFont="1" applyBorder="1"/>
    <xf numFmtId="43" fontId="2" fillId="0" borderId="0" xfId="0" applyNumberFormat="1" applyFont="1"/>
    <xf numFmtId="0" fontId="2" fillId="4" borderId="0" xfId="0" applyFont="1" applyFill="1"/>
    <xf numFmtId="44" fontId="2" fillId="0" borderId="0" xfId="0" applyNumberFormat="1" applyFont="1"/>
    <xf numFmtId="44" fontId="0" fillId="4" borderId="11" xfId="0" applyNumberFormat="1" applyFill="1" applyBorder="1"/>
    <xf numFmtId="166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67" fontId="0" fillId="0" borderId="0" xfId="0" applyNumberFormat="1"/>
    <xf numFmtId="44" fontId="0" fillId="6" borderId="0" xfId="0" applyNumberFormat="1" applyFill="1"/>
    <xf numFmtId="44" fontId="0" fillId="4" borderId="0" xfId="0" applyNumberFormat="1" applyFill="1"/>
    <xf numFmtId="4" fontId="0" fillId="0" borderId="0" xfId="0" applyNumberFormat="1"/>
    <xf numFmtId="44" fontId="0" fillId="4" borderId="0" xfId="2" applyFont="1" applyFill="1"/>
    <xf numFmtId="168" fontId="0" fillId="0" borderId="0" xfId="0" applyNumberFormat="1"/>
    <xf numFmtId="44" fontId="0" fillId="10" borderId="0" xfId="2" applyFont="1" applyFill="1"/>
    <xf numFmtId="44" fontId="0" fillId="0" borderId="0" xfId="2" applyFont="1" applyFill="1"/>
    <xf numFmtId="43" fontId="0" fillId="5" borderId="12" xfId="1" applyFont="1" applyFill="1" applyBorder="1" applyAlignment="1">
      <alignment horizontal="center" vertical="center" wrapText="1"/>
    </xf>
    <xf numFmtId="43" fontId="0" fillId="5" borderId="13" xfId="1" applyFont="1" applyFill="1" applyBorder="1" applyAlignment="1">
      <alignment horizontal="center" vertical="center" wrapText="1"/>
    </xf>
  </cellXfs>
  <cellStyles count="6">
    <cellStyle name="Comma 2" xfId="5" xr:uid="{E6ADD19D-BFA4-4CC7-A73D-27D7C3DBF77B}"/>
    <cellStyle name="Millares" xfId="1" builtinId="3"/>
    <cellStyle name="Moneda" xfId="2" builtinId="4"/>
    <cellStyle name="Normal" xfId="0" builtinId="0"/>
    <cellStyle name="Normal 2" xfId="4" xr:uid="{E4102E9A-F706-4BD4-A94B-ACA40666915A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Demanda 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COs!$E$18:$O$18</c:f>
              <c:numCache>
                <c:formatCode>_-* #,##0_-;\-* #,##0_-;_-* "-"??_-;_-@_-</c:formatCode>
                <c:ptCount val="11"/>
                <c:pt idx="0">
                  <c:v>16000</c:v>
                </c:pt>
                <c:pt idx="1">
                  <c:v>84881</c:v>
                </c:pt>
                <c:pt idx="2">
                  <c:v>90823</c:v>
                </c:pt>
                <c:pt idx="3">
                  <c:v>97180</c:v>
                </c:pt>
                <c:pt idx="4">
                  <c:v>103981</c:v>
                </c:pt>
                <c:pt idx="5">
                  <c:v>111262</c:v>
                </c:pt>
                <c:pt idx="6">
                  <c:v>119050</c:v>
                </c:pt>
                <c:pt idx="7">
                  <c:v>127384</c:v>
                </c:pt>
                <c:pt idx="8">
                  <c:v>136824</c:v>
                </c:pt>
                <c:pt idx="9">
                  <c:v>141223</c:v>
                </c:pt>
                <c:pt idx="10">
                  <c:v>149634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9-4DAE-98D0-8301042C12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86166976"/>
        <c:axId val="1486166016"/>
      </c:barChart>
      <c:catAx>
        <c:axId val="148616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6166016"/>
        <c:crosses val="autoZero"/>
        <c:auto val="1"/>
        <c:lblAlgn val="ctr"/>
        <c:lblOffset val="100"/>
        <c:noMultiLvlLbl val="0"/>
      </c:catAx>
      <c:valAx>
        <c:axId val="1486166016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148616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Comportamiento Mensual de CO´s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val>
            <c:numRef>
              <c:f>COs!$C$6:$C$17</c:f>
              <c:numCache>
                <c:formatCode>_-* #,##0_-;\-* #,##0_-;_-* "-"??_-;_-@_-</c:formatCode>
                <c:ptCount val="12"/>
                <c:pt idx="0">
                  <c:v>5600</c:v>
                </c:pt>
                <c:pt idx="1">
                  <c:v>4200</c:v>
                </c:pt>
                <c:pt idx="2">
                  <c:v>3500</c:v>
                </c:pt>
                <c:pt idx="3">
                  <c:v>3500</c:v>
                </c:pt>
                <c:pt idx="4">
                  <c:v>4200</c:v>
                </c:pt>
                <c:pt idx="5">
                  <c:v>4900.0000000000009</c:v>
                </c:pt>
                <c:pt idx="6">
                  <c:v>4900.0000000000009</c:v>
                </c:pt>
                <c:pt idx="7">
                  <c:v>5600</c:v>
                </c:pt>
                <c:pt idx="8">
                  <c:v>7700</c:v>
                </c:pt>
                <c:pt idx="9">
                  <c:v>4200</c:v>
                </c:pt>
                <c:pt idx="10">
                  <c:v>9100</c:v>
                </c:pt>
                <c:pt idx="11">
                  <c:v>12600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15-4640-A688-70E6F92EB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037769664"/>
        <c:axId val="1037764384"/>
      </c:lineChart>
      <c:catAx>
        <c:axId val="1037769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37764384"/>
        <c:crosses val="autoZero"/>
        <c:auto val="1"/>
        <c:lblAlgn val="ctr"/>
        <c:lblOffset val="100"/>
        <c:noMultiLvlLbl val="0"/>
      </c:catAx>
      <c:valAx>
        <c:axId val="1037764384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3776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Capacidad  Vs Demanda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Capacidad!$D$16</c:f>
              <c:strCache>
                <c:ptCount val="1"/>
                <c:pt idx="0">
                  <c:v>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Capacidad!$E$16:$O$16</c:f>
              <c:numCache>
                <c:formatCode>_(* #,##0.00_);_(* \(#,##0.00\);_(* "-"??_);_(@_)</c:formatCode>
                <c:ptCount val="11"/>
                <c:pt idx="0">
                  <c:v>16000</c:v>
                </c:pt>
                <c:pt idx="1">
                  <c:v>84881</c:v>
                </c:pt>
                <c:pt idx="2">
                  <c:v>90823</c:v>
                </c:pt>
                <c:pt idx="3">
                  <c:v>97180</c:v>
                </c:pt>
                <c:pt idx="4">
                  <c:v>103981</c:v>
                </c:pt>
                <c:pt idx="5">
                  <c:v>111262</c:v>
                </c:pt>
                <c:pt idx="6">
                  <c:v>119050</c:v>
                </c:pt>
                <c:pt idx="7">
                  <c:v>127384</c:v>
                </c:pt>
                <c:pt idx="8">
                  <c:v>136824</c:v>
                </c:pt>
                <c:pt idx="9">
                  <c:v>141223</c:v>
                </c:pt>
                <c:pt idx="10">
                  <c:v>149634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96-4333-8F86-7DBCDF3D1DEE}"/>
            </c:ext>
          </c:extLst>
        </c:ser>
        <c:ser>
          <c:idx val="2"/>
          <c:order val="2"/>
          <c:tx>
            <c:strRef>
              <c:f>Capacidad!$D$17</c:f>
              <c:strCache>
                <c:ptCount val="1"/>
                <c:pt idx="0">
                  <c:v>WO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Capacidad!$E$17:$O$17</c:f>
              <c:numCache>
                <c:formatCode>_(* #,##0.00_);_(* \(#,##0.00\);_(* "-"??_);_(@_)</c:formatCode>
                <c:ptCount val="11"/>
                <c:pt idx="0">
                  <c:v>20000</c:v>
                </c:pt>
                <c:pt idx="1">
                  <c:v>99860</c:v>
                </c:pt>
                <c:pt idx="2">
                  <c:v>100914.44444444444</c:v>
                </c:pt>
                <c:pt idx="3">
                  <c:v>107977.77777777778</c:v>
                </c:pt>
                <c:pt idx="4">
                  <c:v>115534.44444444444</c:v>
                </c:pt>
                <c:pt idx="5">
                  <c:v>123624.44444444444</c:v>
                </c:pt>
                <c:pt idx="6">
                  <c:v>132277.77777777778</c:v>
                </c:pt>
                <c:pt idx="7">
                  <c:v>141537.77777777778</c:v>
                </c:pt>
                <c:pt idx="8">
                  <c:v>152026.66666666666</c:v>
                </c:pt>
                <c:pt idx="9">
                  <c:v>156914.44444444444</c:v>
                </c:pt>
                <c:pt idx="10">
                  <c:v>166260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96-4333-8F86-7DBCDF3D1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8"/>
        <c:overlap val="-27"/>
        <c:axId val="1576788752"/>
        <c:axId val="1576789712"/>
      </c:barChart>
      <c:lineChart>
        <c:grouping val="standard"/>
        <c:varyColors val="0"/>
        <c:ser>
          <c:idx val="0"/>
          <c:order val="0"/>
          <c:tx>
            <c:strRef>
              <c:f>Capacidad!$D$12</c:f>
              <c:strCache>
                <c:ptCount val="1"/>
                <c:pt idx="0">
                  <c:v>Anual Capacity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Capacidad!$E$12:$O$12</c:f>
              <c:numCache>
                <c:formatCode>_-* #,##0_-;\-* #,##0_-;_-* "-"??_-;_-@_-</c:formatCode>
                <c:ptCount val="11"/>
                <c:pt idx="0">
                  <c:v>30857.142857142855</c:v>
                </c:pt>
                <c:pt idx="1">
                  <c:v>162000</c:v>
                </c:pt>
                <c:pt idx="2">
                  <c:v>162000</c:v>
                </c:pt>
                <c:pt idx="3">
                  <c:v>162000</c:v>
                </c:pt>
                <c:pt idx="4">
                  <c:v>324000</c:v>
                </c:pt>
                <c:pt idx="5">
                  <c:v>162000</c:v>
                </c:pt>
                <c:pt idx="6">
                  <c:v>162000</c:v>
                </c:pt>
                <c:pt idx="7">
                  <c:v>162000</c:v>
                </c:pt>
                <c:pt idx="8">
                  <c:v>194400</c:v>
                </c:pt>
                <c:pt idx="9">
                  <c:v>194400</c:v>
                </c:pt>
                <c:pt idx="10">
                  <c:v>194400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96-4333-8F86-7DBCDF3D1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788752"/>
        <c:axId val="1576789712"/>
      </c:lineChart>
      <c:catAx>
        <c:axId val="1576788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6789712"/>
        <c:crosses val="autoZero"/>
        <c:auto val="1"/>
        <c:lblAlgn val="ctr"/>
        <c:lblOffset val="100"/>
        <c:noMultiLvlLbl val="0"/>
      </c:catAx>
      <c:valAx>
        <c:axId val="157678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678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Salarios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Egresos!$A$151</c:f>
              <c:strCache>
                <c:ptCount val="1"/>
                <c:pt idx="0">
                  <c:v>Mano de Obra Directa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Egresos!$B$150:$L$150</c:f>
              <c:numCache>
                <c:formatCode>General</c:formatCode>
                <c:ptCount val="1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numCache>
            </c:numRef>
          </c:cat>
          <c:val>
            <c:numRef>
              <c:f>Egresos!$B$151:$L$151</c:f>
              <c:numCache>
                <c:formatCode>_("$"* #,##0.00_);_("$"* \(#,##0.00\);_("$"* "-"??_);_(@_)</c:formatCode>
                <c:ptCount val="11"/>
                <c:pt idx="0">
                  <c:v>5359707.6263999995</c:v>
                </c:pt>
                <c:pt idx="1">
                  <c:v>5541937.6856975993</c:v>
                </c:pt>
                <c:pt idx="2">
                  <c:v>5730363.5670113182</c:v>
                </c:pt>
                <c:pt idx="3">
                  <c:v>5925195.9282897031</c:v>
                </c:pt>
                <c:pt idx="4">
                  <c:v>6126652.5898515536</c:v>
                </c:pt>
                <c:pt idx="5">
                  <c:v>6334958.7779065063</c:v>
                </c:pt>
                <c:pt idx="6">
                  <c:v>6550347.3763553277</c:v>
                </c:pt>
                <c:pt idx="7">
                  <c:v>6773059.1871514088</c:v>
                </c:pt>
                <c:pt idx="8">
                  <c:v>7003343.1995145567</c:v>
                </c:pt>
                <c:pt idx="9">
                  <c:v>7241456.8682980519</c:v>
                </c:pt>
                <c:pt idx="10">
                  <c:v>7487666.4018201856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A-4E34-86F0-FFD9DD7EF9A7}"/>
            </c:ext>
          </c:extLst>
        </c:ser>
        <c:ser>
          <c:idx val="1"/>
          <c:order val="1"/>
          <c:tx>
            <c:strRef>
              <c:f>Egresos!$A$152</c:f>
              <c:strCache>
                <c:ptCount val="1"/>
                <c:pt idx="0">
                  <c:v>Mano de Obra Indirecta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Egresos!$B$150:$L$150</c:f>
              <c:numCache>
                <c:formatCode>General</c:formatCode>
                <c:ptCount val="1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numCache>
            </c:numRef>
          </c:cat>
          <c:val>
            <c:numRef>
              <c:f>Egresos!$B$152:$L$152</c:f>
              <c:numCache>
                <c:formatCode>_("$"* #,##0.00_);_("$"* \(#,##0.00\);_("$"* "-"??_);_(@_)</c:formatCode>
                <c:ptCount val="11"/>
                <c:pt idx="0">
                  <c:v>1742780.7478</c:v>
                </c:pt>
                <c:pt idx="1">
                  <c:v>1802035.2932252001</c:v>
                </c:pt>
                <c:pt idx="2">
                  <c:v>1863304.4931948569</c:v>
                </c:pt>
                <c:pt idx="3">
                  <c:v>1926656.845963482</c:v>
                </c:pt>
                <c:pt idx="4">
                  <c:v>1992163.1787262405</c:v>
                </c:pt>
                <c:pt idx="5">
                  <c:v>2059896.7268029328</c:v>
                </c:pt>
                <c:pt idx="6">
                  <c:v>2129933.2155142324</c:v>
                </c:pt>
                <c:pt idx="7">
                  <c:v>2202350.9448417164</c:v>
                </c:pt>
                <c:pt idx="8">
                  <c:v>2277230.8769663349</c:v>
                </c:pt>
                <c:pt idx="9">
                  <c:v>2354656.7267831904</c:v>
                </c:pt>
                <c:pt idx="10">
                  <c:v>2434715.0554938191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AA-4E34-86F0-FFD9DD7EF9A7}"/>
            </c:ext>
          </c:extLst>
        </c:ser>
        <c:ser>
          <c:idx val="2"/>
          <c:order val="2"/>
          <c:tx>
            <c:strRef>
              <c:f>Egresos!$A$153</c:f>
              <c:strCache>
                <c:ptCount val="1"/>
                <c:pt idx="0">
                  <c:v>Salarios Ingeniería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Egresos!$B$150:$L$150</c:f>
              <c:numCache>
                <c:formatCode>General</c:formatCode>
                <c:ptCount val="1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numCache>
            </c:numRef>
          </c:cat>
          <c:val>
            <c:numRef>
              <c:f>Egresos!$B$153:$L$153</c:f>
              <c:numCache>
                <c:formatCode>_("$"* #,##0.00_);_("$"* \(#,##0.00\);_("$"* "-"??_);_(@_)</c:formatCode>
                <c:ptCount val="11"/>
                <c:pt idx="0">
                  <c:v>2005511.5138000003</c:v>
                </c:pt>
                <c:pt idx="1">
                  <c:v>2073698.9052692004</c:v>
                </c:pt>
                <c:pt idx="2">
                  <c:v>2144204.6680483534</c:v>
                </c:pt>
                <c:pt idx="3">
                  <c:v>2217107.6267619976</c:v>
                </c:pt>
                <c:pt idx="4">
                  <c:v>2292489.2860719054</c:v>
                </c:pt>
                <c:pt idx="5">
                  <c:v>2370433.9217983503</c:v>
                </c:pt>
                <c:pt idx="6">
                  <c:v>2451028.6751394942</c:v>
                </c:pt>
                <c:pt idx="7">
                  <c:v>2534363.6500942372</c:v>
                </c:pt>
                <c:pt idx="8">
                  <c:v>2620532.0141974413</c:v>
                </c:pt>
                <c:pt idx="9">
                  <c:v>2709630.1026801541</c:v>
                </c:pt>
                <c:pt idx="10">
                  <c:v>2801757.5261712796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AA-4E34-86F0-FFD9DD7EF9A7}"/>
            </c:ext>
          </c:extLst>
        </c:ser>
        <c:ser>
          <c:idx val="3"/>
          <c:order val="3"/>
          <c:tx>
            <c:strRef>
              <c:f>Egresos!$A$154</c:f>
              <c:strCache>
                <c:ptCount val="1"/>
                <c:pt idx="0">
                  <c:v>Salarios Administrativos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Egresos!$B$150:$L$150</c:f>
              <c:numCache>
                <c:formatCode>General</c:formatCode>
                <c:ptCount val="1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numCache>
            </c:numRef>
          </c:cat>
          <c:val>
            <c:numRef>
              <c:f>Egresos!$D$154:$L$154</c:f>
              <c:numCache>
                <c:formatCode>_("$"* #,##0.00_);_("$"* \(#,##0.00\);_("$"* "-"??_);_(@_)</c:formatCode>
                <c:ptCount val="9"/>
                <c:pt idx="0">
                  <c:v>8333371.8539870484</c:v>
                </c:pt>
                <c:pt idx="1">
                  <c:v>8616706.4970226083</c:v>
                </c:pt>
                <c:pt idx="2">
                  <c:v>8909674.517921377</c:v>
                </c:pt>
                <c:pt idx="3">
                  <c:v>9212603.4515307043</c:v>
                </c:pt>
                <c:pt idx="4">
                  <c:v>9525831.9688827489</c:v>
                </c:pt>
                <c:pt idx="5">
                  <c:v>9849710.2558247633</c:v>
                </c:pt>
                <c:pt idx="6">
                  <c:v>10184600.404522806</c:v>
                </c:pt>
                <c:pt idx="7">
                  <c:v>10530876.818276582</c:v>
                </c:pt>
                <c:pt idx="8">
                  <c:v>10888926.630097987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AA-4E34-86F0-FFD9DD7EF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7457248"/>
        <c:axId val="1487456768"/>
      </c:barChart>
      <c:catAx>
        <c:axId val="148745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7456768"/>
        <c:crosses val="autoZero"/>
        <c:auto val="1"/>
        <c:lblAlgn val="ctr"/>
        <c:lblOffset val="100"/>
        <c:noMultiLvlLbl val="0"/>
      </c:catAx>
      <c:valAx>
        <c:axId val="148745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745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Punto de Equilibrio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1644225721784774"/>
          <c:y val="0.14393518518518519"/>
          <c:w val="0.74744663167104108"/>
          <c:h val="0.60287802566345872"/>
        </c:manualLayout>
      </c:layout>
      <c:lineChart>
        <c:grouping val="standard"/>
        <c:varyColors val="0"/>
        <c:ser>
          <c:idx val="0"/>
          <c:order val="0"/>
          <c:tx>
            <c:strRef>
              <c:f>'Estado R'!$B$64</c:f>
              <c:strCache>
                <c:ptCount val="1"/>
                <c:pt idx="0">
                  <c:v>Costo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'Estado R'!$B$65:$B$205</c:f>
              <c:numCache>
                <c:formatCode>_("$"* #,##0.00_);_("$"* \(#,##0.00\);_("$"* "-"??_);_(@_)</c:formatCode>
                <c:ptCount val="141"/>
                <c:pt idx="0">
                  <c:v>31566595.797103994</c:v>
                </c:pt>
                <c:pt idx="1">
                  <c:v>34761103.487763993</c:v>
                </c:pt>
                <c:pt idx="2">
                  <c:v>37955611.178423993</c:v>
                </c:pt>
                <c:pt idx="3">
                  <c:v>41150118.869083993</c:v>
                </c:pt>
                <c:pt idx="4">
                  <c:v>44344626.559743993</c:v>
                </c:pt>
                <c:pt idx="5">
                  <c:v>47539134.250403993</c:v>
                </c:pt>
                <c:pt idx="6">
                  <c:v>50733641.941063993</c:v>
                </c:pt>
                <c:pt idx="7">
                  <c:v>53928149.631723993</c:v>
                </c:pt>
                <c:pt idx="8">
                  <c:v>57122657.322383992</c:v>
                </c:pt>
                <c:pt idx="9">
                  <c:v>60317165.013043992</c:v>
                </c:pt>
                <c:pt idx="10">
                  <c:v>63511672.703703992</c:v>
                </c:pt>
                <c:pt idx="11">
                  <c:v>66706180.394363992</c:v>
                </c:pt>
                <c:pt idx="12">
                  <c:v>69900688.085023999</c:v>
                </c:pt>
                <c:pt idx="13">
                  <c:v>73095195.775683999</c:v>
                </c:pt>
                <c:pt idx="14">
                  <c:v>76289703.466343999</c:v>
                </c:pt>
                <c:pt idx="15">
                  <c:v>79484211.157003999</c:v>
                </c:pt>
                <c:pt idx="16">
                  <c:v>82678718.847663999</c:v>
                </c:pt>
                <c:pt idx="17">
                  <c:v>85873226.538323998</c:v>
                </c:pt>
                <c:pt idx="18">
                  <c:v>89067734.228983998</c:v>
                </c:pt>
                <c:pt idx="19">
                  <c:v>92262241.919643998</c:v>
                </c:pt>
                <c:pt idx="20">
                  <c:v>95456749.610303998</c:v>
                </c:pt>
                <c:pt idx="21">
                  <c:v>98651257.300963998</c:v>
                </c:pt>
                <c:pt idx="22">
                  <c:v>101845764.991624</c:v>
                </c:pt>
                <c:pt idx="23">
                  <c:v>105040272.682284</c:v>
                </c:pt>
                <c:pt idx="24">
                  <c:v>108234780.372944</c:v>
                </c:pt>
                <c:pt idx="25">
                  <c:v>111429288.063604</c:v>
                </c:pt>
                <c:pt idx="26">
                  <c:v>114623795.754264</c:v>
                </c:pt>
                <c:pt idx="27">
                  <c:v>117818303.444924</c:v>
                </c:pt>
                <c:pt idx="28">
                  <c:v>121012811.135584</c:v>
                </c:pt>
                <c:pt idx="29">
                  <c:v>124207318.826244</c:v>
                </c:pt>
                <c:pt idx="30">
                  <c:v>127401826.516904</c:v>
                </c:pt>
                <c:pt idx="31">
                  <c:v>130596334.207564</c:v>
                </c:pt>
                <c:pt idx="32">
                  <c:v>133790841.898224</c:v>
                </c:pt>
                <c:pt idx="33">
                  <c:v>136985349.588884</c:v>
                </c:pt>
                <c:pt idx="34">
                  <c:v>140179857.279544</c:v>
                </c:pt>
                <c:pt idx="35">
                  <c:v>143374364.970204</c:v>
                </c:pt>
                <c:pt idx="36">
                  <c:v>146568872.660864</c:v>
                </c:pt>
                <c:pt idx="37">
                  <c:v>149763380.351524</c:v>
                </c:pt>
                <c:pt idx="38">
                  <c:v>152957888.042184</c:v>
                </c:pt>
                <c:pt idx="39">
                  <c:v>156152395.732844</c:v>
                </c:pt>
                <c:pt idx="40">
                  <c:v>159346903.42350399</c:v>
                </c:pt>
                <c:pt idx="41">
                  <c:v>162541411.11416399</c:v>
                </c:pt>
                <c:pt idx="42">
                  <c:v>165735918.80482399</c:v>
                </c:pt>
                <c:pt idx="43">
                  <c:v>168930426.49548399</c:v>
                </c:pt>
                <c:pt idx="44">
                  <c:v>172124934.18614399</c:v>
                </c:pt>
                <c:pt idx="45">
                  <c:v>175319441.87680399</c:v>
                </c:pt>
                <c:pt idx="46">
                  <c:v>178513949.56746399</c:v>
                </c:pt>
                <c:pt idx="47">
                  <c:v>181708457.25812399</c:v>
                </c:pt>
                <c:pt idx="48">
                  <c:v>184902964.94878399</c:v>
                </c:pt>
                <c:pt idx="49">
                  <c:v>188097472.63944399</c:v>
                </c:pt>
                <c:pt idx="50">
                  <c:v>191291980.33010399</c:v>
                </c:pt>
                <c:pt idx="51">
                  <c:v>194486488.02076399</c:v>
                </c:pt>
                <c:pt idx="52">
                  <c:v>197680995.71142399</c:v>
                </c:pt>
                <c:pt idx="53">
                  <c:v>200875503.40208399</c:v>
                </c:pt>
                <c:pt idx="54">
                  <c:v>204070011.09274399</c:v>
                </c:pt>
                <c:pt idx="55">
                  <c:v>207264518.78340399</c:v>
                </c:pt>
                <c:pt idx="56">
                  <c:v>210459026.47406399</c:v>
                </c:pt>
                <c:pt idx="57">
                  <c:v>213653534.16472399</c:v>
                </c:pt>
                <c:pt idx="58">
                  <c:v>216848041.85538399</c:v>
                </c:pt>
                <c:pt idx="59">
                  <c:v>220042549.54604399</c:v>
                </c:pt>
                <c:pt idx="60">
                  <c:v>223237057.23670399</c:v>
                </c:pt>
                <c:pt idx="61">
                  <c:v>226431564.92736399</c:v>
                </c:pt>
                <c:pt idx="62">
                  <c:v>229626072.61802399</c:v>
                </c:pt>
                <c:pt idx="63">
                  <c:v>232820580.30868399</c:v>
                </c:pt>
                <c:pt idx="64">
                  <c:v>236015087.99934399</c:v>
                </c:pt>
                <c:pt idx="65">
                  <c:v>239209595.69000399</c:v>
                </c:pt>
                <c:pt idx="66">
                  <c:v>242404103.38066399</c:v>
                </c:pt>
                <c:pt idx="67">
                  <c:v>245598611.07132399</c:v>
                </c:pt>
                <c:pt idx="68">
                  <c:v>248793118.76198399</c:v>
                </c:pt>
                <c:pt idx="69">
                  <c:v>251987626.45264399</c:v>
                </c:pt>
                <c:pt idx="70">
                  <c:v>255182134.14330399</c:v>
                </c:pt>
                <c:pt idx="71">
                  <c:v>258376641.83396399</c:v>
                </c:pt>
                <c:pt idx="72">
                  <c:v>261571149.52462399</c:v>
                </c:pt>
                <c:pt idx="73">
                  <c:v>264765657.21528399</c:v>
                </c:pt>
                <c:pt idx="74">
                  <c:v>267960164.90594399</c:v>
                </c:pt>
                <c:pt idx="75">
                  <c:v>271154672.59660399</c:v>
                </c:pt>
                <c:pt idx="76">
                  <c:v>274349180.28726399</c:v>
                </c:pt>
                <c:pt idx="77">
                  <c:v>277543687.97792399</c:v>
                </c:pt>
                <c:pt idx="78">
                  <c:v>280738195.66858399</c:v>
                </c:pt>
                <c:pt idx="79">
                  <c:v>283932703.35924399</c:v>
                </c:pt>
                <c:pt idx="80">
                  <c:v>287127211.04990399</c:v>
                </c:pt>
                <c:pt idx="81">
                  <c:v>290321718.74056399</c:v>
                </c:pt>
                <c:pt idx="82">
                  <c:v>293516226.43122399</c:v>
                </c:pt>
                <c:pt idx="83">
                  <c:v>296710734.12188399</c:v>
                </c:pt>
                <c:pt idx="84">
                  <c:v>299905241.81254399</c:v>
                </c:pt>
                <c:pt idx="85">
                  <c:v>303099749.50320399</c:v>
                </c:pt>
                <c:pt idx="86">
                  <c:v>306294257.19386399</c:v>
                </c:pt>
                <c:pt idx="87">
                  <c:v>309488764.88452399</c:v>
                </c:pt>
                <c:pt idx="88">
                  <c:v>312683272.57518399</c:v>
                </c:pt>
                <c:pt idx="89">
                  <c:v>315877780.26584399</c:v>
                </c:pt>
                <c:pt idx="90">
                  <c:v>319072287.95650399</c:v>
                </c:pt>
                <c:pt idx="91">
                  <c:v>322266795.64716399</c:v>
                </c:pt>
                <c:pt idx="92">
                  <c:v>325461303.33782399</c:v>
                </c:pt>
                <c:pt idx="93">
                  <c:v>328655811.02848399</c:v>
                </c:pt>
                <c:pt idx="94">
                  <c:v>331850318.71914399</c:v>
                </c:pt>
                <c:pt idx="95">
                  <c:v>335044826.40980399</c:v>
                </c:pt>
                <c:pt idx="96">
                  <c:v>338239334.10046399</c:v>
                </c:pt>
                <c:pt idx="97">
                  <c:v>341433841.79112399</c:v>
                </c:pt>
                <c:pt idx="98">
                  <c:v>344628349.48178399</c:v>
                </c:pt>
                <c:pt idx="99">
                  <c:v>347822857.17244399</c:v>
                </c:pt>
                <c:pt idx="100">
                  <c:v>351017364.86310399</c:v>
                </c:pt>
                <c:pt idx="101">
                  <c:v>354211872.55376399</c:v>
                </c:pt>
                <c:pt idx="102">
                  <c:v>357406380.24442399</c:v>
                </c:pt>
                <c:pt idx="103">
                  <c:v>360600887.93508399</c:v>
                </c:pt>
                <c:pt idx="104">
                  <c:v>363795395.62574399</c:v>
                </c:pt>
                <c:pt idx="105">
                  <c:v>366989903.31640399</c:v>
                </c:pt>
                <c:pt idx="106">
                  <c:v>370184411.00706398</c:v>
                </c:pt>
                <c:pt idx="107">
                  <c:v>373378918.69772398</c:v>
                </c:pt>
                <c:pt idx="108">
                  <c:v>376573426.38838398</c:v>
                </c:pt>
                <c:pt idx="109">
                  <c:v>379767934.07904398</c:v>
                </c:pt>
                <c:pt idx="110">
                  <c:v>382962441.76970398</c:v>
                </c:pt>
                <c:pt idx="111">
                  <c:v>386156949.46036398</c:v>
                </c:pt>
                <c:pt idx="112">
                  <c:v>389351457.15102398</c:v>
                </c:pt>
                <c:pt idx="113">
                  <c:v>392545964.84168398</c:v>
                </c:pt>
                <c:pt idx="114">
                  <c:v>395740472.53234398</c:v>
                </c:pt>
                <c:pt idx="115">
                  <c:v>398934980.22300398</c:v>
                </c:pt>
                <c:pt idx="116">
                  <c:v>402129487.91366398</c:v>
                </c:pt>
                <c:pt idx="117">
                  <c:v>405323995.60432398</c:v>
                </c:pt>
                <c:pt idx="118">
                  <c:v>408518503.29498398</c:v>
                </c:pt>
                <c:pt idx="119">
                  <c:v>411713010.98564398</c:v>
                </c:pt>
                <c:pt idx="120">
                  <c:v>414907518.67630398</c:v>
                </c:pt>
                <c:pt idx="121">
                  <c:v>418102026.36696398</c:v>
                </c:pt>
                <c:pt idx="122">
                  <c:v>421296534.05762398</c:v>
                </c:pt>
                <c:pt idx="123">
                  <c:v>424491041.74828398</c:v>
                </c:pt>
                <c:pt idx="124">
                  <c:v>427685549.43894398</c:v>
                </c:pt>
                <c:pt idx="125">
                  <c:v>430880057.12960398</c:v>
                </c:pt>
                <c:pt idx="126">
                  <c:v>434074564.82026398</c:v>
                </c:pt>
                <c:pt idx="127">
                  <c:v>437269072.51092398</c:v>
                </c:pt>
                <c:pt idx="128">
                  <c:v>440463580.20158398</c:v>
                </c:pt>
                <c:pt idx="129">
                  <c:v>443658087.89224398</c:v>
                </c:pt>
                <c:pt idx="130">
                  <c:v>446852595.58290398</c:v>
                </c:pt>
                <c:pt idx="131">
                  <c:v>450047103.27356398</c:v>
                </c:pt>
                <c:pt idx="132">
                  <c:v>453241610.96422398</c:v>
                </c:pt>
                <c:pt idx="133">
                  <c:v>456436118.65488398</c:v>
                </c:pt>
                <c:pt idx="134">
                  <c:v>459630626.34554398</c:v>
                </c:pt>
                <c:pt idx="135">
                  <c:v>462825134.03620398</c:v>
                </c:pt>
                <c:pt idx="136">
                  <c:v>466019641.72686398</c:v>
                </c:pt>
                <c:pt idx="137">
                  <c:v>469214149.41752398</c:v>
                </c:pt>
                <c:pt idx="138">
                  <c:v>472408657.10818398</c:v>
                </c:pt>
                <c:pt idx="139">
                  <c:v>475603164.79884398</c:v>
                </c:pt>
                <c:pt idx="140">
                  <c:v>478797672.48950398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8-4FC2-9B7E-3D531930287D}"/>
            </c:ext>
          </c:extLst>
        </c:ser>
        <c:ser>
          <c:idx val="1"/>
          <c:order val="1"/>
          <c:tx>
            <c:strRef>
              <c:f>'Estado R'!$C$64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'Estado R'!$C$65:$C$205</c:f>
              <c:numCache>
                <c:formatCode>_("$"* #,##0.00_);_("$"* \(#,##0.00\);_("$"* "-"??_);_(@_)</c:formatCode>
                <c:ptCount val="141"/>
                <c:pt idx="0">
                  <c:v>0</c:v>
                </c:pt>
                <c:pt idx="1">
                  <c:v>3800000</c:v>
                </c:pt>
                <c:pt idx="2">
                  <c:v>7600000</c:v>
                </c:pt>
                <c:pt idx="3">
                  <c:v>11400000</c:v>
                </c:pt>
                <c:pt idx="4">
                  <c:v>15200000</c:v>
                </c:pt>
                <c:pt idx="5">
                  <c:v>19000000</c:v>
                </c:pt>
                <c:pt idx="6">
                  <c:v>22800000</c:v>
                </c:pt>
                <c:pt idx="7">
                  <c:v>26600000</c:v>
                </c:pt>
                <c:pt idx="8">
                  <c:v>30400000</c:v>
                </c:pt>
                <c:pt idx="9">
                  <c:v>34200000</c:v>
                </c:pt>
                <c:pt idx="10">
                  <c:v>38000000</c:v>
                </c:pt>
                <c:pt idx="11">
                  <c:v>41800000</c:v>
                </c:pt>
                <c:pt idx="12">
                  <c:v>45600000</c:v>
                </c:pt>
                <c:pt idx="13">
                  <c:v>49400000</c:v>
                </c:pt>
                <c:pt idx="14">
                  <c:v>53200000</c:v>
                </c:pt>
                <c:pt idx="15">
                  <c:v>57000000</c:v>
                </c:pt>
                <c:pt idx="16">
                  <c:v>60800000</c:v>
                </c:pt>
                <c:pt idx="17">
                  <c:v>64600000</c:v>
                </c:pt>
                <c:pt idx="18">
                  <c:v>68400000</c:v>
                </c:pt>
                <c:pt idx="19">
                  <c:v>72200000</c:v>
                </c:pt>
                <c:pt idx="20">
                  <c:v>76000000</c:v>
                </c:pt>
                <c:pt idx="21">
                  <c:v>79800000</c:v>
                </c:pt>
                <c:pt idx="22">
                  <c:v>83600000</c:v>
                </c:pt>
                <c:pt idx="23">
                  <c:v>87400000</c:v>
                </c:pt>
                <c:pt idx="24">
                  <c:v>91200000</c:v>
                </c:pt>
                <c:pt idx="25">
                  <c:v>95000000</c:v>
                </c:pt>
                <c:pt idx="26">
                  <c:v>98800000</c:v>
                </c:pt>
                <c:pt idx="27">
                  <c:v>102600000</c:v>
                </c:pt>
                <c:pt idx="28">
                  <c:v>106400000</c:v>
                </c:pt>
                <c:pt idx="29">
                  <c:v>110200000</c:v>
                </c:pt>
                <c:pt idx="30">
                  <c:v>114000000</c:v>
                </c:pt>
                <c:pt idx="31">
                  <c:v>117800000</c:v>
                </c:pt>
                <c:pt idx="32">
                  <c:v>121600000</c:v>
                </c:pt>
                <c:pt idx="33">
                  <c:v>125400000</c:v>
                </c:pt>
                <c:pt idx="34">
                  <c:v>129200000</c:v>
                </c:pt>
                <c:pt idx="35">
                  <c:v>133000000</c:v>
                </c:pt>
                <c:pt idx="36">
                  <c:v>136800000</c:v>
                </c:pt>
                <c:pt idx="37">
                  <c:v>140600000</c:v>
                </c:pt>
                <c:pt idx="38">
                  <c:v>144400000</c:v>
                </c:pt>
                <c:pt idx="39">
                  <c:v>148200000</c:v>
                </c:pt>
                <c:pt idx="40">
                  <c:v>152000000</c:v>
                </c:pt>
                <c:pt idx="41">
                  <c:v>155800000</c:v>
                </c:pt>
                <c:pt idx="42">
                  <c:v>159600000</c:v>
                </c:pt>
                <c:pt idx="43">
                  <c:v>163400000</c:v>
                </c:pt>
                <c:pt idx="44">
                  <c:v>167200000</c:v>
                </c:pt>
                <c:pt idx="45">
                  <c:v>171000000</c:v>
                </c:pt>
                <c:pt idx="46">
                  <c:v>174800000</c:v>
                </c:pt>
                <c:pt idx="47">
                  <c:v>178600000</c:v>
                </c:pt>
                <c:pt idx="48">
                  <c:v>182400000</c:v>
                </c:pt>
                <c:pt idx="49">
                  <c:v>186200000</c:v>
                </c:pt>
                <c:pt idx="50">
                  <c:v>190000000</c:v>
                </c:pt>
                <c:pt idx="51">
                  <c:v>193800000</c:v>
                </c:pt>
                <c:pt idx="52">
                  <c:v>197600000</c:v>
                </c:pt>
                <c:pt idx="53">
                  <c:v>201400000</c:v>
                </c:pt>
                <c:pt idx="54">
                  <c:v>205200000</c:v>
                </c:pt>
                <c:pt idx="55">
                  <c:v>209000000</c:v>
                </c:pt>
                <c:pt idx="56">
                  <c:v>212800000</c:v>
                </c:pt>
                <c:pt idx="57">
                  <c:v>216600000</c:v>
                </c:pt>
                <c:pt idx="58">
                  <c:v>220400000</c:v>
                </c:pt>
                <c:pt idx="59">
                  <c:v>224200000</c:v>
                </c:pt>
                <c:pt idx="60">
                  <c:v>228000000</c:v>
                </c:pt>
                <c:pt idx="61">
                  <c:v>231800000</c:v>
                </c:pt>
                <c:pt idx="62">
                  <c:v>235600000</c:v>
                </c:pt>
                <c:pt idx="63">
                  <c:v>239400000</c:v>
                </c:pt>
                <c:pt idx="64">
                  <c:v>243200000</c:v>
                </c:pt>
                <c:pt idx="65">
                  <c:v>247000000</c:v>
                </c:pt>
                <c:pt idx="66">
                  <c:v>250800000</c:v>
                </c:pt>
                <c:pt idx="67">
                  <c:v>254600000</c:v>
                </c:pt>
                <c:pt idx="68">
                  <c:v>258400000</c:v>
                </c:pt>
                <c:pt idx="69">
                  <c:v>262200000</c:v>
                </c:pt>
                <c:pt idx="70">
                  <c:v>266000000</c:v>
                </c:pt>
                <c:pt idx="71">
                  <c:v>269800000</c:v>
                </c:pt>
                <c:pt idx="72">
                  <c:v>273600000</c:v>
                </c:pt>
                <c:pt idx="73">
                  <c:v>277400000</c:v>
                </c:pt>
                <c:pt idx="74">
                  <c:v>281200000</c:v>
                </c:pt>
                <c:pt idx="75">
                  <c:v>285000000</c:v>
                </c:pt>
                <c:pt idx="76">
                  <c:v>288800000</c:v>
                </c:pt>
                <c:pt idx="77">
                  <c:v>292600000</c:v>
                </c:pt>
                <c:pt idx="78">
                  <c:v>296400000</c:v>
                </c:pt>
                <c:pt idx="79">
                  <c:v>300200000</c:v>
                </c:pt>
                <c:pt idx="80">
                  <c:v>304000000</c:v>
                </c:pt>
                <c:pt idx="81">
                  <c:v>307800000</c:v>
                </c:pt>
                <c:pt idx="82">
                  <c:v>311600000</c:v>
                </c:pt>
                <c:pt idx="83">
                  <c:v>315400000</c:v>
                </c:pt>
                <c:pt idx="84">
                  <c:v>319200000</c:v>
                </c:pt>
                <c:pt idx="85">
                  <c:v>323000000</c:v>
                </c:pt>
                <c:pt idx="86">
                  <c:v>326800000</c:v>
                </c:pt>
                <c:pt idx="87">
                  <c:v>330600000</c:v>
                </c:pt>
                <c:pt idx="88">
                  <c:v>334400000</c:v>
                </c:pt>
                <c:pt idx="89">
                  <c:v>338200000</c:v>
                </c:pt>
                <c:pt idx="90">
                  <c:v>342000000</c:v>
                </c:pt>
                <c:pt idx="91">
                  <c:v>345800000</c:v>
                </c:pt>
                <c:pt idx="92">
                  <c:v>349600000</c:v>
                </c:pt>
                <c:pt idx="93">
                  <c:v>353400000</c:v>
                </c:pt>
                <c:pt idx="94">
                  <c:v>357200000</c:v>
                </c:pt>
                <c:pt idx="95">
                  <c:v>361000000</c:v>
                </c:pt>
                <c:pt idx="96">
                  <c:v>364800000</c:v>
                </c:pt>
                <c:pt idx="97">
                  <c:v>368600000</c:v>
                </c:pt>
                <c:pt idx="98">
                  <c:v>372400000</c:v>
                </c:pt>
                <c:pt idx="99">
                  <c:v>376200000</c:v>
                </c:pt>
                <c:pt idx="100">
                  <c:v>380000000</c:v>
                </c:pt>
                <c:pt idx="101">
                  <c:v>383800000</c:v>
                </c:pt>
                <c:pt idx="102">
                  <c:v>387600000</c:v>
                </c:pt>
                <c:pt idx="103">
                  <c:v>391400000</c:v>
                </c:pt>
                <c:pt idx="104">
                  <c:v>395200000</c:v>
                </c:pt>
                <c:pt idx="105">
                  <c:v>399000000</c:v>
                </c:pt>
                <c:pt idx="106">
                  <c:v>402800000</c:v>
                </c:pt>
                <c:pt idx="107">
                  <c:v>406600000</c:v>
                </c:pt>
                <c:pt idx="108">
                  <c:v>410400000</c:v>
                </c:pt>
                <c:pt idx="109">
                  <c:v>414200000</c:v>
                </c:pt>
                <c:pt idx="110">
                  <c:v>418000000</c:v>
                </c:pt>
                <c:pt idx="111">
                  <c:v>421800000</c:v>
                </c:pt>
                <c:pt idx="112">
                  <c:v>425600000</c:v>
                </c:pt>
                <c:pt idx="113">
                  <c:v>429400000</c:v>
                </c:pt>
                <c:pt idx="114">
                  <c:v>433200000</c:v>
                </c:pt>
                <c:pt idx="115">
                  <c:v>437000000</c:v>
                </c:pt>
                <c:pt idx="116">
                  <c:v>440800000</c:v>
                </c:pt>
                <c:pt idx="117">
                  <c:v>444600000</c:v>
                </c:pt>
                <c:pt idx="118">
                  <c:v>448400000</c:v>
                </c:pt>
                <c:pt idx="119">
                  <c:v>452200000</c:v>
                </c:pt>
                <c:pt idx="120">
                  <c:v>456000000</c:v>
                </c:pt>
                <c:pt idx="121">
                  <c:v>459800000</c:v>
                </c:pt>
                <c:pt idx="122">
                  <c:v>463600000</c:v>
                </c:pt>
                <c:pt idx="123">
                  <c:v>467400000</c:v>
                </c:pt>
                <c:pt idx="124">
                  <c:v>471200000</c:v>
                </c:pt>
                <c:pt idx="125">
                  <c:v>475000000</c:v>
                </c:pt>
                <c:pt idx="126">
                  <c:v>478800000</c:v>
                </c:pt>
                <c:pt idx="127">
                  <c:v>482600000</c:v>
                </c:pt>
                <c:pt idx="128">
                  <c:v>486400000</c:v>
                </c:pt>
                <c:pt idx="129">
                  <c:v>490200000</c:v>
                </c:pt>
                <c:pt idx="130">
                  <c:v>494000000</c:v>
                </c:pt>
                <c:pt idx="131">
                  <c:v>497800000</c:v>
                </c:pt>
                <c:pt idx="132">
                  <c:v>501600000</c:v>
                </c:pt>
                <c:pt idx="133">
                  <c:v>505400000</c:v>
                </c:pt>
                <c:pt idx="134">
                  <c:v>509200000</c:v>
                </c:pt>
                <c:pt idx="135">
                  <c:v>513000000</c:v>
                </c:pt>
                <c:pt idx="136">
                  <c:v>516800000</c:v>
                </c:pt>
                <c:pt idx="137">
                  <c:v>520600000</c:v>
                </c:pt>
                <c:pt idx="138">
                  <c:v>524400000</c:v>
                </c:pt>
                <c:pt idx="139">
                  <c:v>528200000</c:v>
                </c:pt>
                <c:pt idx="140">
                  <c:v>532000000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08-4FC2-9B7E-3D5319302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4492543"/>
        <c:axId val="1314495903"/>
      </c:lineChart>
      <c:catAx>
        <c:axId val="1314492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14495903"/>
        <c:crosses val="autoZero"/>
        <c:auto val="1"/>
        <c:lblAlgn val="ctr"/>
        <c:lblOffset val="100"/>
        <c:noMultiLvlLbl val="0"/>
      </c:catAx>
      <c:valAx>
        <c:axId val="131449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1449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Flujo!$A$34</c:f>
              <c:strCache>
                <c:ptCount val="1"/>
                <c:pt idx="0">
                  <c:v>Flujo Neto de efectivo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Flujo!$B$34:$L$34</c:f>
              <c:numCache>
                <c:formatCode>#,##0.00_ ;[Red]\-#,##0.00\ </c:formatCode>
                <c:ptCount val="11"/>
                <c:pt idx="0">
                  <c:v>-19993548.333352</c:v>
                </c:pt>
                <c:pt idx="1">
                  <c:v>291567835.88942701</c:v>
                </c:pt>
                <c:pt idx="2">
                  <c:v>295637085.14078474</c:v>
                </c:pt>
                <c:pt idx="3">
                  <c:v>302890640.24008024</c:v>
                </c:pt>
                <c:pt idx="4">
                  <c:v>313488128.43803108</c:v>
                </c:pt>
                <c:pt idx="5">
                  <c:v>332991350.96469307</c:v>
                </c:pt>
                <c:pt idx="6">
                  <c:v>355772545.60566735</c:v>
                </c:pt>
                <c:pt idx="7">
                  <c:v>382223366.19244385</c:v>
                </c:pt>
                <c:pt idx="8">
                  <c:v>412967078.42736173</c:v>
                </c:pt>
                <c:pt idx="9">
                  <c:v>446382753.83667302</c:v>
                </c:pt>
                <c:pt idx="10">
                  <c:v>484166541.54423094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2-4AC4-8380-4B3E94F4E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1154848"/>
        <c:axId val="1661155328"/>
      </c:barChart>
      <c:catAx>
        <c:axId val="166115484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61155328"/>
        <c:crosses val="autoZero"/>
        <c:auto val="1"/>
        <c:lblAlgn val="ctr"/>
        <c:lblOffset val="100"/>
        <c:noMultiLvlLbl val="0"/>
      </c:catAx>
      <c:valAx>
        <c:axId val="166115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FNE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.00_ ;[Red]\-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6115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Rentabilidad sobre las ventas</a:t>
            </a:r>
          </a:p>
        </c:rich>
      </c:tx>
      <c:layout>
        <c:manualLayout>
          <c:xMode val="edge"/>
          <c:yMode val="edge"/>
          <c:x val="0.27198707592891763"/>
          <c:y val="5.17241379310344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Razones!$B$26:$L$26</c:f>
              <c:numCache>
                <c:formatCode>0.00</c:formatCode>
                <c:ptCount val="11"/>
                <c:pt idx="0">
                  <c:v>-0.36699851175453929</c:v>
                </c:pt>
                <c:pt idx="1">
                  <c:v>0.4649667841005562</c:v>
                </c:pt>
                <c:pt idx="2">
                  <c:v>3.5964230980910657E-3</c:v>
                </c:pt>
                <c:pt idx="3">
                  <c:v>7.1506249562967228E-3</c:v>
                </c:pt>
                <c:pt idx="4">
                  <c:v>1.0164938174840724E-2</c:v>
                </c:pt>
                <c:pt idx="5">
                  <c:v>1.8097965188571558E-2</c:v>
                </c:pt>
                <c:pt idx="6">
                  <c:v>1.9322282176550281E-2</c:v>
                </c:pt>
                <c:pt idx="7">
                  <c:v>2.046385363483115E-2</c:v>
                </c:pt>
                <c:pt idx="8">
                  <c:v>2.1584945779171239E-2</c:v>
                </c:pt>
                <c:pt idx="9">
                  <c:v>2.2067522474526879E-2</c:v>
                </c:pt>
                <c:pt idx="10">
                  <c:v>2.2891701259629926E-2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F-4EBA-8108-90B642F41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892223"/>
        <c:axId val="1035894623"/>
      </c:barChart>
      <c:catAx>
        <c:axId val="1035892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35894623"/>
        <c:crosses val="autoZero"/>
        <c:auto val="1"/>
        <c:lblAlgn val="ctr"/>
        <c:lblOffset val="100"/>
        <c:noMultiLvlLbl val="0"/>
      </c:catAx>
      <c:valAx>
        <c:axId val="103589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3589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Rendimiento sobre la Inversión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val>
            <c:numRef>
              <c:f>Razones!$B$30:$L$30</c:f>
              <c:numCache>
                <c:formatCode>_("$"* #,##0.00_);_("$"* \(#,##0.00\);_("$"* "-"??_);_(@_)</c:formatCode>
                <c:ptCount val="11"/>
                <c:pt idx="0">
                  <c:v>12.265820821013222</c:v>
                </c:pt>
                <c:pt idx="1">
                  <c:v>1.0185161777725928</c:v>
                </c:pt>
                <c:pt idx="2">
                  <c:v>8.6407953301941304E-3</c:v>
                </c:pt>
                <c:pt idx="3">
                  <c:v>1.8653102831130183E-2</c:v>
                </c:pt>
                <c:pt idx="4">
                  <c:v>2.8500472059080025E-2</c:v>
                </c:pt>
                <c:pt idx="5">
                  <c:v>5.3157925017236762E-2</c:v>
                </c:pt>
                <c:pt idx="6">
                  <c:v>5.9081533610131298E-2</c:v>
                </c:pt>
                <c:pt idx="7">
                  <c:v>6.4746475918470645E-2</c:v>
                </c:pt>
                <c:pt idx="8">
                  <c:v>7.0501190944973452E-2</c:v>
                </c:pt>
                <c:pt idx="9">
                  <c:v>7.1429504602906993E-2</c:v>
                </c:pt>
                <c:pt idx="10">
                  <c:v>7.5084385834526521E-2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C-46C9-8DD1-D5D83FC8A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5898463"/>
        <c:axId val="1035899423"/>
      </c:barChart>
      <c:catAx>
        <c:axId val="1035898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35899423"/>
        <c:crosses val="autoZero"/>
        <c:auto val="1"/>
        <c:lblAlgn val="ctr"/>
        <c:lblOffset val="100"/>
        <c:noMultiLvlLbl val="0"/>
      </c:catAx>
      <c:valAx>
        <c:axId val="103589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35898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Parta Data Cost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Parta Data Cost</a:t>
          </a:r>
        </a:p>
      </cx:txPr>
    </cx:title>
    <cx:plotArea>
      <cx:plotAreaRegion>
        <cx:series layoutId="sunburst" uniqueId="{88CE8888-7784-4254-B0B8-34F3885AB0B4}"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180975</xdr:rowOff>
    </xdr:from>
    <xdr:to>
      <xdr:col>6</xdr:col>
      <xdr:colOff>311150</xdr:colOff>
      <xdr:row>35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66AE72-0B3B-345D-4766-6EBF34EF03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3175</xdr:colOff>
      <xdr:row>21</xdr:row>
      <xdr:rowOff>9525</xdr:rowOff>
    </xdr:from>
    <xdr:to>
      <xdr:col>12</xdr:col>
      <xdr:colOff>739775</xdr:colOff>
      <xdr:row>35</xdr:row>
      <xdr:rowOff>174625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BEFEDB-72F8-44D1-F405-8A3A87F43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46403</xdr:colOff>
      <xdr:row>45</xdr:row>
      <xdr:rowOff>26622</xdr:rowOff>
    </xdr:from>
    <xdr:to>
      <xdr:col>4</xdr:col>
      <xdr:colOff>838932</xdr:colOff>
      <xdr:row>60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DE8033-1896-9041-9526-12B6566DE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403832</xdr:colOff>
      <xdr:row>28</xdr:row>
      <xdr:rowOff>12559</xdr:rowOff>
    </xdr:from>
    <xdr:to>
      <xdr:col>5</xdr:col>
      <xdr:colOff>702068</xdr:colOff>
      <xdr:row>42</xdr:row>
      <xdr:rowOff>158680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05F3346-FA27-9499-4EEE-D5AC4DF416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3832" y="5133199"/>
              <a:ext cx="4519716" cy="27064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31750</xdr:colOff>
      <xdr:row>1</xdr:row>
      <xdr:rowOff>139700</xdr:rowOff>
    </xdr:from>
    <xdr:to>
      <xdr:col>27</xdr:col>
      <xdr:colOff>406400</xdr:colOff>
      <xdr:row>22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D12653-077D-40A8-A510-9A9849DC1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66950" y="323850"/>
          <a:ext cx="7080250" cy="382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866774</xdr:colOff>
      <xdr:row>155</xdr:row>
      <xdr:rowOff>34925</xdr:rowOff>
    </xdr:from>
    <xdr:to>
      <xdr:col>6</xdr:col>
      <xdr:colOff>107949</xdr:colOff>
      <xdr:row>172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DED3CB-06AD-157F-C823-0DA86BBB7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62</xdr:row>
      <xdr:rowOff>60325</xdr:rowOff>
    </xdr:from>
    <xdr:to>
      <xdr:col>8</xdr:col>
      <xdr:colOff>365125</xdr:colOff>
      <xdr:row>77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D911B5-4980-B3CD-A2D1-94E435889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48</xdr:row>
      <xdr:rowOff>136525</xdr:rowOff>
    </xdr:from>
    <xdr:to>
      <xdr:col>3</xdr:col>
      <xdr:colOff>41275</xdr:colOff>
      <xdr:row>63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E1FC14-B3C5-C0FD-7424-4284EF7C9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1</xdr:row>
      <xdr:rowOff>12700</xdr:rowOff>
    </xdr:from>
    <xdr:to>
      <xdr:col>6</xdr:col>
      <xdr:colOff>571500</xdr:colOff>
      <xdr:row>14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67A2F0-C326-4C74-9B11-AE78AB849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577850</xdr:colOff>
      <xdr:row>1</xdr:row>
      <xdr:rowOff>12700</xdr:rowOff>
    </xdr:from>
    <xdr:to>
      <xdr:col>14</xdr:col>
      <xdr:colOff>25400</xdr:colOff>
      <xdr:row>14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925946-D448-49F8-A469-B706E91A7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Archivos%20Tec/Clases%20Tec/Agosto%202021/IN2006B/Analisis%20de%20capacidad%20y%20Edos%20Financieros.xlsx" TargetMode="External"/><Relationship Id="rId2" Type="http://schemas.openxmlformats.org/officeDocument/2006/relationships/externalLinkPath" Target="file:///C:\Archivos%20Tec\Clases%20Tec\Agosto%202021\IN2006B\Analisis%20de%20capacidad%20y%20Edos%20Financieros.xlsx" TargetMode="External"/><Relationship Id="rId1" Type="http://schemas.openxmlformats.org/officeDocument/2006/relationships/externalLinkPath" Target="/Archivos%20Tec/Clases%20Tec/Agosto%202021/IN2006B/Analisis%20de%20capacidad%20y%20Edos%20Financiero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Archivos%20Tec/Clases%20Tec/Febrero%202025/IN3001B%20Dron%20Finanzas%20230525.xlsx" TargetMode="External"/><Relationship Id="rId2" Type="http://schemas.openxmlformats.org/officeDocument/2006/relationships/externalLinkPath" Target="file:///C:\Archivos%20Tec\Clases%20Tec\Febrero%202025\IN3001B%20Dron%20Finanzas%20230525.xlsx" TargetMode="External"/><Relationship Id="rId1" Type="http://schemas.openxmlformats.org/officeDocument/2006/relationships/externalLinkPath" Target="/Archivos%20Tec/Clases%20Tec/Febrero%202025/IN3001B%20Dron%20Finanzas%202305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afica"/>
      <sheetName val="Premisas"/>
      <sheetName val="volumenes"/>
      <sheetName val="Entradas"/>
      <sheetName val="capacidad"/>
      <sheetName val="Depreciación."/>
      <sheetName val="Financiamiento"/>
      <sheetName val="Balance"/>
      <sheetName val="Edo-Re"/>
      <sheetName val="Flujo"/>
      <sheetName val="Razones"/>
    </sheetNames>
    <sheetDataSet>
      <sheetData sheetId="0" refreshError="1"/>
      <sheetData sheetId="1" refreshError="1">
        <row r="5">
          <cell r="F5">
            <v>0.24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emisas"/>
      <sheetName val="BOM"/>
      <sheetName val="Demand"/>
      <sheetName val="Capacidad"/>
      <sheetName val="Depreciación."/>
      <sheetName val="Sueldos"/>
      <sheetName val="Costos"/>
      <sheetName val="Inversión"/>
      <sheetName val="Financiamiento"/>
      <sheetName val="Credito"/>
      <sheetName val="Precio"/>
      <sheetName val="Balance"/>
      <sheetName val="Edo-Re"/>
      <sheetName val="Flujo"/>
      <sheetName val="TIR"/>
      <sheetName val="Razones"/>
      <sheetName val="Grafica"/>
    </sheetNames>
    <sheetDataSet>
      <sheetData sheetId="0">
        <row r="4">
          <cell r="B4">
            <v>0.16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016FE-26D0-432C-AF96-65F9BD3D18E3}">
  <dimension ref="A1:L30"/>
  <sheetViews>
    <sheetView zoomScale="99" zoomScaleNormal="99" workbookViewId="0">
      <selection activeCell="F5" sqref="F5"/>
    </sheetView>
  </sheetViews>
  <sheetFormatPr baseColWidth="10" defaultColWidth="8.88671875" defaultRowHeight="14.4" x14ac:dyDescent="0.3"/>
  <cols>
    <col min="1" max="1" width="38.77734375" bestFit="1" customWidth="1"/>
  </cols>
  <sheetData>
    <row r="1" spans="1:12" x14ac:dyDescent="0.3">
      <c r="A1" t="s">
        <v>162</v>
      </c>
    </row>
    <row r="2" spans="1:12" x14ac:dyDescent="0.3">
      <c r="B2" s="34">
        <v>2025</v>
      </c>
      <c r="C2" s="34">
        <f>B2+1</f>
        <v>2026</v>
      </c>
      <c r="D2" s="34">
        <f t="shared" ref="D2:J2" si="0">C2+1</f>
        <v>2027</v>
      </c>
      <c r="E2" s="34">
        <f t="shared" si="0"/>
        <v>2028</v>
      </c>
      <c r="F2" s="34">
        <f t="shared" si="0"/>
        <v>2029</v>
      </c>
      <c r="G2" s="34">
        <f t="shared" si="0"/>
        <v>2030</v>
      </c>
      <c r="H2" s="34">
        <f t="shared" si="0"/>
        <v>2031</v>
      </c>
      <c r="I2" s="34">
        <f t="shared" si="0"/>
        <v>2032</v>
      </c>
      <c r="J2" s="34">
        <f t="shared" si="0"/>
        <v>2033</v>
      </c>
      <c r="K2" s="34">
        <f t="shared" ref="K2" si="1">J2+1</f>
        <v>2034</v>
      </c>
      <c r="L2" s="34">
        <f t="shared" ref="L2" si="2">K2+1</f>
        <v>2035</v>
      </c>
    </row>
    <row r="3" spans="1:12" x14ac:dyDescent="0.3">
      <c r="A3" t="s">
        <v>163</v>
      </c>
      <c r="B3">
        <v>16.66</v>
      </c>
      <c r="C3">
        <v>9.35</v>
      </c>
      <c r="D3">
        <v>9.9499999999999993</v>
      </c>
      <c r="E3">
        <v>10.45</v>
      </c>
      <c r="F3">
        <v>11.2</v>
      </c>
      <c r="G3">
        <v>12</v>
      </c>
      <c r="H3">
        <v>12.3</v>
      </c>
      <c r="I3">
        <v>12.3</v>
      </c>
      <c r="J3">
        <v>12.3</v>
      </c>
      <c r="K3">
        <v>12.3</v>
      </c>
      <c r="L3">
        <v>12.3</v>
      </c>
    </row>
    <row r="4" spans="1:12" x14ac:dyDescent="0.3">
      <c r="A4" t="s">
        <v>164</v>
      </c>
      <c r="B4">
        <v>0.16</v>
      </c>
      <c r="C4">
        <v>0.3</v>
      </c>
      <c r="D4">
        <v>0.28000000000000003</v>
      </c>
      <c r="E4">
        <v>0.21</v>
      </c>
      <c r="F4">
        <v>0.18</v>
      </c>
      <c r="G4">
        <v>0.16</v>
      </c>
      <c r="H4">
        <v>0.15</v>
      </c>
      <c r="I4">
        <v>0.15</v>
      </c>
      <c r="J4">
        <v>0.15</v>
      </c>
      <c r="K4">
        <v>0.15</v>
      </c>
      <c r="L4">
        <v>0.15</v>
      </c>
    </row>
    <row r="5" spans="1:12" x14ac:dyDescent="0.3">
      <c r="A5" t="s">
        <v>165</v>
      </c>
      <c r="B5">
        <v>0.28000000000000003</v>
      </c>
      <c r="C5">
        <v>0.28000000000000003</v>
      </c>
      <c r="D5">
        <v>0.27</v>
      </c>
      <c r="E5">
        <v>0.27</v>
      </c>
      <c r="F5">
        <v>0.28000000000000003</v>
      </c>
      <c r="G5">
        <v>0.24</v>
      </c>
      <c r="H5">
        <v>0.25</v>
      </c>
      <c r="I5">
        <v>0.25</v>
      </c>
      <c r="J5">
        <v>0.25</v>
      </c>
      <c r="K5">
        <v>0.25</v>
      </c>
      <c r="L5">
        <v>0.25</v>
      </c>
    </row>
    <row r="6" spans="1:12" x14ac:dyDescent="0.3">
      <c r="A6" t="s">
        <v>166</v>
      </c>
      <c r="B6">
        <v>0.33200000000000002</v>
      </c>
      <c r="C6">
        <v>0.28699999999999998</v>
      </c>
      <c r="D6">
        <v>0.28000000000000003</v>
      </c>
      <c r="E6">
        <v>0.28299999999999997</v>
      </c>
      <c r="F6">
        <v>0.27200000000000002</v>
      </c>
      <c r="G6">
        <v>0.27</v>
      </c>
      <c r="H6">
        <v>0.26800000000000002</v>
      </c>
      <c r="I6">
        <v>0.26800000000000002</v>
      </c>
      <c r="J6">
        <v>0.26</v>
      </c>
      <c r="K6">
        <v>0.26800000000000002</v>
      </c>
      <c r="L6">
        <v>0.26</v>
      </c>
    </row>
    <row r="7" spans="1:12" x14ac:dyDescent="0.3">
      <c r="A7" t="s">
        <v>167</v>
      </c>
      <c r="B7">
        <v>7.6999999999999999E-2</v>
      </c>
      <c r="C7">
        <v>7.9000000000000001E-2</v>
      </c>
      <c r="D7">
        <v>7.5999999999999998E-2</v>
      </c>
      <c r="E7">
        <v>7.1999999999999995E-2</v>
      </c>
      <c r="F7">
        <v>6.8500000000000005E-2</v>
      </c>
      <c r="G7">
        <v>6.9000000000000006E-2</v>
      </c>
      <c r="H7">
        <v>7.2999999999999995E-2</v>
      </c>
      <c r="I7">
        <v>7.2999999999999995E-2</v>
      </c>
      <c r="J7">
        <v>7.2999999999999995E-2</v>
      </c>
      <c r="K7">
        <v>7.2999999999999995E-2</v>
      </c>
      <c r="L7">
        <v>7.2999999999999995E-2</v>
      </c>
    </row>
    <row r="11" spans="1:12" x14ac:dyDescent="0.3">
      <c r="B11" s="34">
        <v>2025</v>
      </c>
      <c r="C11" s="34">
        <f>B11+1</f>
        <v>2026</v>
      </c>
      <c r="D11" s="34">
        <f t="shared" ref="D11:J11" si="3">C11+1</f>
        <v>2027</v>
      </c>
      <c r="E11" s="34">
        <f t="shared" si="3"/>
        <v>2028</v>
      </c>
      <c r="F11" s="34">
        <f t="shared" si="3"/>
        <v>2029</v>
      </c>
      <c r="G11" s="34">
        <f t="shared" si="3"/>
        <v>2030</v>
      </c>
      <c r="H11" s="34">
        <f t="shared" si="3"/>
        <v>2031</v>
      </c>
      <c r="I11" s="34">
        <f t="shared" si="3"/>
        <v>2032</v>
      </c>
      <c r="J11" s="34">
        <f t="shared" si="3"/>
        <v>2033</v>
      </c>
      <c r="K11" s="34">
        <f t="shared" ref="K11" si="4">J11+1</f>
        <v>2034</v>
      </c>
      <c r="L11" s="34">
        <f t="shared" ref="L11" si="5">K11+1</f>
        <v>2035</v>
      </c>
    </row>
    <row r="12" spans="1:12" x14ac:dyDescent="0.3">
      <c r="A12" t="s">
        <v>168</v>
      </c>
      <c r="B12">
        <v>4.2999999999999997E-2</v>
      </c>
      <c r="C12">
        <v>3.4000000000000002E-2</v>
      </c>
      <c r="D12">
        <v>3.4000000000000002E-2</v>
      </c>
      <c r="E12">
        <v>3.4000000000000002E-2</v>
      </c>
      <c r="F12">
        <v>3.4000000000000002E-2</v>
      </c>
      <c r="G12">
        <v>3.4000000000000002E-2</v>
      </c>
      <c r="H12">
        <v>3.4000000000000002E-2</v>
      </c>
      <c r="I12">
        <v>3.4000000000000002E-2</v>
      </c>
      <c r="J12">
        <v>3.4000000000000002E-2</v>
      </c>
      <c r="K12">
        <v>3.4000000000000002E-2</v>
      </c>
      <c r="L12">
        <v>3.4000000000000002E-2</v>
      </c>
    </row>
    <row r="13" spans="1:12" x14ac:dyDescent="0.3">
      <c r="A13" t="s">
        <v>169</v>
      </c>
      <c r="B13">
        <v>0.34</v>
      </c>
      <c r="C13">
        <v>0.34</v>
      </c>
      <c r="D13">
        <v>0.34</v>
      </c>
      <c r="E13">
        <v>0.34</v>
      </c>
      <c r="F13">
        <v>0.34</v>
      </c>
      <c r="G13">
        <v>0.34</v>
      </c>
      <c r="H13">
        <v>0.34</v>
      </c>
      <c r="I13">
        <v>0.34</v>
      </c>
      <c r="J13">
        <v>0.34</v>
      </c>
      <c r="K13">
        <v>0.34</v>
      </c>
      <c r="L13">
        <v>0.34</v>
      </c>
    </row>
    <row r="14" spans="1:12" x14ac:dyDescent="0.3">
      <c r="A14" t="s">
        <v>170</v>
      </c>
      <c r="B14">
        <v>1.8</v>
      </c>
      <c r="C14">
        <v>1.8</v>
      </c>
      <c r="D14">
        <v>1.8</v>
      </c>
      <c r="E14">
        <v>1.8</v>
      </c>
      <c r="F14">
        <v>1.8</v>
      </c>
      <c r="G14">
        <v>1.8</v>
      </c>
      <c r="H14">
        <v>1.8</v>
      </c>
      <c r="I14">
        <v>1.8</v>
      </c>
      <c r="J14">
        <v>1.8</v>
      </c>
      <c r="K14">
        <v>1.8</v>
      </c>
      <c r="L14">
        <v>1.8</v>
      </c>
    </row>
    <row r="15" spans="1:12" x14ac:dyDescent="0.3">
      <c r="A15" t="s">
        <v>171</v>
      </c>
      <c r="B15">
        <v>0.1</v>
      </c>
      <c r="C15">
        <v>0.1</v>
      </c>
      <c r="D15">
        <v>0.1</v>
      </c>
      <c r="E15">
        <v>0.1</v>
      </c>
      <c r="F15">
        <v>0.1</v>
      </c>
      <c r="G15">
        <v>0.1</v>
      </c>
      <c r="H15">
        <v>0.1</v>
      </c>
      <c r="I15">
        <v>0.1</v>
      </c>
      <c r="J15">
        <v>0.1</v>
      </c>
      <c r="K15">
        <v>0.1</v>
      </c>
      <c r="L15">
        <v>0.1</v>
      </c>
    </row>
    <row r="16" spans="1:12" x14ac:dyDescent="0.3">
      <c r="A16" t="s">
        <v>172</v>
      </c>
    </row>
    <row r="19" spans="1:12" x14ac:dyDescent="0.3">
      <c r="A19" t="s">
        <v>173</v>
      </c>
      <c r="B19" s="34">
        <v>2025</v>
      </c>
      <c r="C19" s="34">
        <f>B19+1</f>
        <v>2026</v>
      </c>
      <c r="D19" s="34">
        <f t="shared" ref="D19:J19" si="6">C19+1</f>
        <v>2027</v>
      </c>
      <c r="E19" s="34">
        <f t="shared" si="6"/>
        <v>2028</v>
      </c>
      <c r="F19" s="34">
        <f t="shared" si="6"/>
        <v>2029</v>
      </c>
      <c r="G19" s="34">
        <f t="shared" si="6"/>
        <v>2030</v>
      </c>
      <c r="H19" s="34">
        <f t="shared" si="6"/>
        <v>2031</v>
      </c>
      <c r="I19" s="34">
        <f t="shared" si="6"/>
        <v>2032</v>
      </c>
      <c r="J19" s="34">
        <f t="shared" si="6"/>
        <v>2033</v>
      </c>
      <c r="K19" s="34">
        <f t="shared" ref="K19" si="7">J19+1</f>
        <v>2034</v>
      </c>
      <c r="L19" s="34">
        <f t="shared" ref="L19" si="8">K19+1</f>
        <v>2035</v>
      </c>
    </row>
    <row r="20" spans="1:12" x14ac:dyDescent="0.3">
      <c r="A20" t="s">
        <v>174</v>
      </c>
      <c r="B20">
        <v>0.2</v>
      </c>
      <c r="C20">
        <v>0.2</v>
      </c>
      <c r="D20">
        <v>0.2</v>
      </c>
      <c r="E20">
        <v>0.2</v>
      </c>
      <c r="F20">
        <v>0.2</v>
      </c>
      <c r="G20">
        <v>0.2</v>
      </c>
      <c r="H20">
        <v>0.2</v>
      </c>
      <c r="I20">
        <v>0.2</v>
      </c>
      <c r="J20">
        <v>0.2</v>
      </c>
      <c r="K20">
        <v>0.2</v>
      </c>
      <c r="L20">
        <v>0.2</v>
      </c>
    </row>
    <row r="21" spans="1:12" x14ac:dyDescent="0.3">
      <c r="A21" t="s">
        <v>175</v>
      </c>
      <c r="B21">
        <v>0.2</v>
      </c>
      <c r="C21">
        <v>0.2</v>
      </c>
      <c r="D21">
        <v>0.2</v>
      </c>
      <c r="E21">
        <v>0.2</v>
      </c>
      <c r="F21">
        <v>0.2</v>
      </c>
      <c r="G21">
        <v>0.2</v>
      </c>
      <c r="H21">
        <v>0.2</v>
      </c>
      <c r="I21">
        <v>0.2</v>
      </c>
      <c r="J21">
        <v>0.2</v>
      </c>
      <c r="K21">
        <v>0.2</v>
      </c>
      <c r="L21">
        <v>0.2</v>
      </c>
    </row>
    <row r="22" spans="1:12" x14ac:dyDescent="0.3">
      <c r="A22" t="s">
        <v>176</v>
      </c>
      <c r="B22">
        <v>0.03</v>
      </c>
      <c r="C22">
        <v>0.03</v>
      </c>
      <c r="D22">
        <v>0.03</v>
      </c>
      <c r="E22">
        <v>0.03</v>
      </c>
      <c r="F22">
        <v>0.03</v>
      </c>
      <c r="G22">
        <v>0.03</v>
      </c>
      <c r="H22">
        <v>0.03</v>
      </c>
      <c r="I22">
        <v>0.03</v>
      </c>
      <c r="J22">
        <v>0.03</v>
      </c>
      <c r="K22">
        <v>0.03</v>
      </c>
      <c r="L22">
        <v>0.03</v>
      </c>
    </row>
    <row r="23" spans="1:12" x14ac:dyDescent="0.3">
      <c r="A23" t="s">
        <v>177</v>
      </c>
      <c r="B23">
        <v>0.15</v>
      </c>
      <c r="C23">
        <v>0.1</v>
      </c>
      <c r="D23">
        <v>0.1</v>
      </c>
      <c r="E23">
        <v>0.1</v>
      </c>
      <c r="F23">
        <v>0.1</v>
      </c>
      <c r="G23">
        <v>0.05</v>
      </c>
      <c r="H23">
        <v>0.05</v>
      </c>
      <c r="I23">
        <v>0.05</v>
      </c>
      <c r="J23">
        <v>0.05</v>
      </c>
      <c r="K23">
        <v>0.05</v>
      </c>
      <c r="L23">
        <v>0.05</v>
      </c>
    </row>
    <row r="24" spans="1:12" x14ac:dyDescent="0.3">
      <c r="A24" t="s">
        <v>178</v>
      </c>
      <c r="B24">
        <v>0.05</v>
      </c>
      <c r="C24">
        <v>0.05</v>
      </c>
      <c r="D24">
        <v>0.05</v>
      </c>
      <c r="E24">
        <v>0.05</v>
      </c>
      <c r="F24">
        <v>0.05</v>
      </c>
      <c r="G24">
        <v>0.05</v>
      </c>
      <c r="H24">
        <v>0.05</v>
      </c>
      <c r="I24">
        <v>0.05</v>
      </c>
      <c r="J24">
        <v>0.05</v>
      </c>
      <c r="K24">
        <v>0.05</v>
      </c>
      <c r="L24">
        <v>0.05</v>
      </c>
    </row>
    <row r="25" spans="1:12" x14ac:dyDescent="0.3">
      <c r="A25" t="s">
        <v>179</v>
      </c>
      <c r="B25">
        <v>2E-3</v>
      </c>
      <c r="C25">
        <v>2E-3</v>
      </c>
      <c r="D25">
        <v>2E-3</v>
      </c>
      <c r="E25">
        <v>2E-3</v>
      </c>
      <c r="F25">
        <v>2E-3</v>
      </c>
      <c r="G25">
        <v>2E-3</v>
      </c>
      <c r="H25">
        <v>2E-3</v>
      </c>
      <c r="I25">
        <v>2E-3</v>
      </c>
      <c r="J25">
        <v>2E-3</v>
      </c>
      <c r="K25">
        <v>2E-3</v>
      </c>
      <c r="L25">
        <v>2E-3</v>
      </c>
    </row>
    <row r="26" spans="1:12" x14ac:dyDescent="0.3">
      <c r="A26" t="s">
        <v>180</v>
      </c>
      <c r="B26">
        <v>5.0000000000000001E-3</v>
      </c>
      <c r="C26">
        <v>5.0000000000000001E-3</v>
      </c>
      <c r="D26">
        <v>5.0000000000000001E-3</v>
      </c>
      <c r="E26">
        <v>5.0000000000000001E-3</v>
      </c>
      <c r="F26">
        <v>5.0000000000000001E-3</v>
      </c>
      <c r="G26">
        <v>5.0000000000000001E-3</v>
      </c>
      <c r="H26">
        <v>5.0000000000000001E-3</v>
      </c>
      <c r="I26">
        <v>5.0000000000000001E-3</v>
      </c>
      <c r="J26">
        <v>5.0000000000000001E-3</v>
      </c>
      <c r="K26">
        <v>5.0000000000000001E-3</v>
      </c>
      <c r="L26">
        <v>5.0000000000000001E-3</v>
      </c>
    </row>
    <row r="27" spans="1:12" x14ac:dyDescent="0.3">
      <c r="A27" t="s">
        <v>181</v>
      </c>
      <c r="B27">
        <v>0.05</v>
      </c>
      <c r="C27">
        <v>0.05</v>
      </c>
      <c r="D27">
        <v>0.05</v>
      </c>
      <c r="E27">
        <v>0.05</v>
      </c>
      <c r="F27">
        <v>0.05</v>
      </c>
      <c r="G27">
        <v>0.05</v>
      </c>
      <c r="H27">
        <v>0.05</v>
      </c>
      <c r="I27">
        <v>0.05</v>
      </c>
      <c r="J27">
        <v>0.05</v>
      </c>
      <c r="K27">
        <v>0.05</v>
      </c>
      <c r="L27">
        <v>0.05</v>
      </c>
    </row>
    <row r="28" spans="1:12" x14ac:dyDescent="0.3">
      <c r="A28" t="s">
        <v>182</v>
      </c>
      <c r="B28">
        <v>0.1</v>
      </c>
      <c r="C28">
        <v>0.1</v>
      </c>
      <c r="D28">
        <v>0.1</v>
      </c>
      <c r="E28">
        <v>0.1</v>
      </c>
      <c r="F28">
        <v>0.1</v>
      </c>
      <c r="G28">
        <v>0.1</v>
      </c>
      <c r="H28">
        <v>0.1</v>
      </c>
      <c r="I28">
        <v>0.1</v>
      </c>
      <c r="J28">
        <v>0.1</v>
      </c>
      <c r="K28">
        <v>0.1</v>
      </c>
      <c r="L28">
        <v>0.1</v>
      </c>
    </row>
    <row r="29" spans="1:12" x14ac:dyDescent="0.3">
      <c r="A29" t="s">
        <v>183</v>
      </c>
      <c r="B29">
        <v>0.2</v>
      </c>
      <c r="C29">
        <v>0.2</v>
      </c>
      <c r="D29">
        <v>0.2</v>
      </c>
      <c r="E29">
        <v>0.2</v>
      </c>
      <c r="F29">
        <v>0.2</v>
      </c>
      <c r="G29">
        <v>0.2</v>
      </c>
      <c r="H29">
        <v>0.2</v>
      </c>
      <c r="I29">
        <v>0.2</v>
      </c>
      <c r="J29">
        <v>0.2</v>
      </c>
      <c r="K29">
        <v>0.2</v>
      </c>
      <c r="L29">
        <v>0.2</v>
      </c>
    </row>
    <row r="30" spans="1:12" x14ac:dyDescent="0.3">
      <c r="A30" t="s">
        <v>184</v>
      </c>
      <c r="B30">
        <v>8.5000000000000006E-2</v>
      </c>
      <c r="C30">
        <v>8.5000000000000006E-2</v>
      </c>
      <c r="D30">
        <v>8.5000000000000006E-2</v>
      </c>
      <c r="E30">
        <v>8.5000000000000006E-2</v>
      </c>
      <c r="F30">
        <v>8.5000000000000006E-2</v>
      </c>
      <c r="G30">
        <v>8.5000000000000006E-2</v>
      </c>
      <c r="H30">
        <v>8.5000000000000006E-2</v>
      </c>
      <c r="I30">
        <v>8.5000000000000006E-2</v>
      </c>
      <c r="J30">
        <v>8.5000000000000006E-2</v>
      </c>
      <c r="K30">
        <v>8.5000000000000006E-2</v>
      </c>
      <c r="L30">
        <v>8.5000000000000006E-2</v>
      </c>
    </row>
  </sheetData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A71A-445E-4AAF-8D46-7F885634E62F}">
  <dimension ref="A1:O20"/>
  <sheetViews>
    <sheetView workbookViewId="0">
      <selection activeCell="F18" sqref="F18"/>
    </sheetView>
  </sheetViews>
  <sheetFormatPr baseColWidth="10" defaultColWidth="8.88671875" defaultRowHeight="14.4" x14ac:dyDescent="0.3"/>
  <cols>
    <col min="1" max="1" width="11.44140625" customWidth="1"/>
    <col min="3" max="8" width="10.21875" bestFit="1" customWidth="1"/>
    <col min="9" max="15" width="11.21875" bestFit="1" customWidth="1"/>
  </cols>
  <sheetData>
    <row r="1" spans="1:15" x14ac:dyDescent="0.3">
      <c r="A1" t="s">
        <v>0</v>
      </c>
    </row>
    <row r="2" spans="1:15" x14ac:dyDescent="0.3">
      <c r="A2" t="s">
        <v>1</v>
      </c>
    </row>
    <row r="4" spans="1:15" x14ac:dyDescent="0.3">
      <c r="A4" s="2"/>
      <c r="B4" s="2" t="s">
        <v>16</v>
      </c>
      <c r="C4" s="2"/>
      <c r="D4" s="2"/>
      <c r="E4" s="2" t="s">
        <v>15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2">
        <v>6</v>
      </c>
      <c r="L4" s="2">
        <v>7</v>
      </c>
      <c r="M4" s="2">
        <v>8</v>
      </c>
      <c r="N4" s="2">
        <v>9</v>
      </c>
      <c r="O4" s="2">
        <v>10</v>
      </c>
    </row>
    <row r="5" spans="1:15" x14ac:dyDescent="0.3">
      <c r="A5" s="2" t="s">
        <v>2</v>
      </c>
      <c r="B5" s="2"/>
      <c r="C5" s="2">
        <f>D5-1</f>
        <v>2023</v>
      </c>
      <c r="D5" s="2">
        <f>E5-1</f>
        <v>2024</v>
      </c>
      <c r="E5" s="2">
        <v>2025</v>
      </c>
      <c r="F5" s="2">
        <f>E5+1</f>
        <v>2026</v>
      </c>
      <c r="G5" s="2">
        <f t="shared" ref="G5:O5" si="0">F5+1</f>
        <v>2027</v>
      </c>
      <c r="H5" s="2">
        <f t="shared" si="0"/>
        <v>2028</v>
      </c>
      <c r="I5" s="2">
        <f t="shared" si="0"/>
        <v>2029</v>
      </c>
      <c r="J5" s="2">
        <f t="shared" si="0"/>
        <v>2030</v>
      </c>
      <c r="K5" s="2">
        <f t="shared" si="0"/>
        <v>2031</v>
      </c>
      <c r="L5" s="2">
        <f t="shared" si="0"/>
        <v>2032</v>
      </c>
      <c r="M5" s="2">
        <f t="shared" si="0"/>
        <v>2033</v>
      </c>
      <c r="N5" s="2">
        <f>M5+1</f>
        <v>2034</v>
      </c>
      <c r="O5" s="2">
        <f t="shared" si="0"/>
        <v>2035</v>
      </c>
    </row>
    <row r="6" spans="1:15" x14ac:dyDescent="0.3">
      <c r="A6" t="s">
        <v>3</v>
      </c>
      <c r="B6" s="3">
        <v>0.08</v>
      </c>
      <c r="C6" s="7">
        <f>B6*$C$18</f>
        <v>5600</v>
      </c>
      <c r="D6" s="7">
        <f>B6*$C$18</f>
        <v>5600</v>
      </c>
      <c r="E6" s="11">
        <v>0</v>
      </c>
      <c r="F6" s="6">
        <f>B6*$F$18</f>
        <v>6790.4800000000005</v>
      </c>
      <c r="G6" s="6">
        <f>B6*$G$18</f>
        <v>7265.84</v>
      </c>
      <c r="H6" s="6">
        <f>B6*$H$18</f>
        <v>7774.4000000000005</v>
      </c>
      <c r="I6" s="6">
        <f>B6*$I$18</f>
        <v>8318.48</v>
      </c>
      <c r="J6" s="6">
        <f>B6*$J$18</f>
        <v>8900.9600000000009</v>
      </c>
      <c r="K6" s="6">
        <f>B6*$K$18</f>
        <v>9524</v>
      </c>
      <c r="L6" s="6">
        <f>B6*$L$18</f>
        <v>10190.719999999999</v>
      </c>
      <c r="M6" s="6">
        <f>B6*$M$18</f>
        <v>10945.92</v>
      </c>
      <c r="N6" s="6">
        <f>B6*$N$18</f>
        <v>11297.84</v>
      </c>
      <c r="O6" s="6">
        <f>B6*$O$18</f>
        <v>11970.72</v>
      </c>
    </row>
    <row r="7" spans="1:15" x14ac:dyDescent="0.3">
      <c r="A7" t="s">
        <v>4</v>
      </c>
      <c r="B7" s="3">
        <v>0.06</v>
      </c>
      <c r="C7" s="7">
        <f t="shared" ref="C7:C17" si="1">B7*$C$18</f>
        <v>4200</v>
      </c>
      <c r="D7" s="7">
        <f t="shared" ref="D7:D17" si="2">B7*$C$18</f>
        <v>4200</v>
      </c>
      <c r="E7" s="11">
        <v>0</v>
      </c>
      <c r="F7" s="6">
        <f t="shared" ref="F7:F17" si="3">B7*$F$18</f>
        <v>5092.8599999999997</v>
      </c>
      <c r="G7" s="6">
        <f t="shared" ref="G7:G17" si="4">B7*$G$18</f>
        <v>5449.38</v>
      </c>
      <c r="H7" s="6">
        <f t="shared" ref="H7:H17" si="5">B7*$H$18</f>
        <v>5830.8</v>
      </c>
      <c r="I7" s="6">
        <f t="shared" ref="I7:I17" si="6">B7*$I$18</f>
        <v>6238.86</v>
      </c>
      <c r="J7" s="6">
        <f t="shared" ref="J7:J17" si="7">B7*$J$18</f>
        <v>6675.7199999999993</v>
      </c>
      <c r="K7" s="6">
        <f t="shared" ref="K7:K17" si="8">B7*$K$18</f>
        <v>7143</v>
      </c>
      <c r="L7" s="6">
        <f t="shared" ref="L7:L17" si="9">B7*$L$18</f>
        <v>7643.04</v>
      </c>
      <c r="M7" s="6">
        <f t="shared" ref="M7:M17" si="10">B7*$M$18</f>
        <v>8209.44</v>
      </c>
      <c r="N7" s="6">
        <f t="shared" ref="N7:N17" si="11">B7*$N$18</f>
        <v>8473.3799999999992</v>
      </c>
      <c r="O7" s="6">
        <f t="shared" ref="O7:O17" si="12">B7*$O$18</f>
        <v>8978.0399999999991</v>
      </c>
    </row>
    <row r="8" spans="1:15" x14ac:dyDescent="0.3">
      <c r="A8" t="s">
        <v>5</v>
      </c>
      <c r="B8" s="3">
        <v>0.05</v>
      </c>
      <c r="C8" s="7">
        <f t="shared" si="1"/>
        <v>3500</v>
      </c>
      <c r="D8" s="7">
        <f t="shared" si="2"/>
        <v>3500</v>
      </c>
      <c r="E8" s="11">
        <v>0</v>
      </c>
      <c r="F8" s="6">
        <f t="shared" si="3"/>
        <v>4244.05</v>
      </c>
      <c r="G8" s="6">
        <f t="shared" si="4"/>
        <v>4541.1500000000005</v>
      </c>
      <c r="H8" s="6">
        <f t="shared" si="5"/>
        <v>4859</v>
      </c>
      <c r="I8" s="6">
        <f t="shared" si="6"/>
        <v>5199.05</v>
      </c>
      <c r="J8" s="6">
        <f t="shared" si="7"/>
        <v>5563.1</v>
      </c>
      <c r="K8" s="6">
        <f t="shared" si="8"/>
        <v>5952.5</v>
      </c>
      <c r="L8" s="6">
        <f t="shared" si="9"/>
        <v>6369.2000000000007</v>
      </c>
      <c r="M8" s="6">
        <f t="shared" si="10"/>
        <v>6841.2000000000007</v>
      </c>
      <c r="N8" s="6">
        <f t="shared" si="11"/>
        <v>7061.1500000000005</v>
      </c>
      <c r="O8" s="6">
        <f t="shared" si="12"/>
        <v>7481.7000000000007</v>
      </c>
    </row>
    <row r="9" spans="1:15" x14ac:dyDescent="0.3">
      <c r="A9" t="s">
        <v>6</v>
      </c>
      <c r="B9" s="3">
        <v>0.05</v>
      </c>
      <c r="C9" s="7">
        <f t="shared" si="1"/>
        <v>3500</v>
      </c>
      <c r="D9" s="7">
        <f t="shared" si="2"/>
        <v>3500</v>
      </c>
      <c r="E9" s="11">
        <v>0</v>
      </c>
      <c r="F9" s="6">
        <f t="shared" si="3"/>
        <v>4244.05</v>
      </c>
      <c r="G9" s="6">
        <f t="shared" si="4"/>
        <v>4541.1500000000005</v>
      </c>
      <c r="H9" s="6">
        <f t="shared" si="5"/>
        <v>4859</v>
      </c>
      <c r="I9" s="6">
        <f t="shared" si="6"/>
        <v>5199.05</v>
      </c>
      <c r="J9" s="6">
        <f t="shared" si="7"/>
        <v>5563.1</v>
      </c>
      <c r="K9" s="6">
        <f t="shared" si="8"/>
        <v>5952.5</v>
      </c>
      <c r="L9" s="6">
        <f t="shared" si="9"/>
        <v>6369.2000000000007</v>
      </c>
      <c r="M9" s="6">
        <f t="shared" si="10"/>
        <v>6841.2000000000007</v>
      </c>
      <c r="N9" s="6">
        <f t="shared" si="11"/>
        <v>7061.1500000000005</v>
      </c>
      <c r="O9" s="6">
        <f t="shared" si="12"/>
        <v>7481.7000000000007</v>
      </c>
    </row>
    <row r="10" spans="1:15" x14ac:dyDescent="0.3">
      <c r="A10" t="s">
        <v>7</v>
      </c>
      <c r="B10" s="3">
        <v>0.06</v>
      </c>
      <c r="C10" s="7">
        <f t="shared" si="1"/>
        <v>4200</v>
      </c>
      <c r="D10" s="7">
        <f t="shared" si="2"/>
        <v>4200</v>
      </c>
      <c r="E10" s="11">
        <v>0</v>
      </c>
      <c r="F10" s="6">
        <f t="shared" si="3"/>
        <v>5092.8599999999997</v>
      </c>
      <c r="G10" s="6">
        <f t="shared" si="4"/>
        <v>5449.38</v>
      </c>
      <c r="H10" s="6">
        <f t="shared" si="5"/>
        <v>5830.8</v>
      </c>
      <c r="I10" s="6">
        <f t="shared" si="6"/>
        <v>6238.86</v>
      </c>
      <c r="J10" s="6">
        <f t="shared" si="7"/>
        <v>6675.7199999999993</v>
      </c>
      <c r="K10" s="6">
        <f t="shared" si="8"/>
        <v>7143</v>
      </c>
      <c r="L10" s="6">
        <f t="shared" si="9"/>
        <v>7643.04</v>
      </c>
      <c r="M10" s="6">
        <f t="shared" si="10"/>
        <v>8209.44</v>
      </c>
      <c r="N10" s="6">
        <f t="shared" si="11"/>
        <v>8473.3799999999992</v>
      </c>
      <c r="O10" s="6">
        <f t="shared" si="12"/>
        <v>8978.0399999999991</v>
      </c>
    </row>
    <row r="11" spans="1:15" x14ac:dyDescent="0.3">
      <c r="A11" t="s">
        <v>8</v>
      </c>
      <c r="B11" s="3">
        <v>7.0000000000000007E-2</v>
      </c>
      <c r="C11" s="7">
        <f t="shared" si="1"/>
        <v>4900.0000000000009</v>
      </c>
      <c r="D11" s="7">
        <f t="shared" si="2"/>
        <v>4900.0000000000009</v>
      </c>
      <c r="E11" s="11">
        <v>0</v>
      </c>
      <c r="F11" s="6">
        <f t="shared" si="3"/>
        <v>5941.670000000001</v>
      </c>
      <c r="G11" s="6">
        <f t="shared" si="4"/>
        <v>6357.6100000000006</v>
      </c>
      <c r="H11" s="6">
        <f t="shared" si="5"/>
        <v>6802.6</v>
      </c>
      <c r="I11" s="6">
        <f t="shared" si="6"/>
        <v>7278.670000000001</v>
      </c>
      <c r="J11" s="6">
        <f t="shared" si="7"/>
        <v>7788.3400000000011</v>
      </c>
      <c r="K11" s="6">
        <f t="shared" si="8"/>
        <v>8333.5</v>
      </c>
      <c r="L11" s="6">
        <f t="shared" si="9"/>
        <v>8916.880000000001</v>
      </c>
      <c r="M11" s="6">
        <f t="shared" si="10"/>
        <v>9577.68</v>
      </c>
      <c r="N11" s="6">
        <f t="shared" si="11"/>
        <v>9885.61</v>
      </c>
      <c r="O11" s="6">
        <f t="shared" si="12"/>
        <v>10474.380000000001</v>
      </c>
    </row>
    <row r="12" spans="1:15" x14ac:dyDescent="0.3">
      <c r="A12" t="s">
        <v>9</v>
      </c>
      <c r="B12" s="3">
        <v>7.0000000000000007E-2</v>
      </c>
      <c r="C12" s="7">
        <f t="shared" si="1"/>
        <v>4900.0000000000009</v>
      </c>
      <c r="D12" s="7">
        <f t="shared" si="2"/>
        <v>4900.0000000000009</v>
      </c>
      <c r="E12" s="11">
        <v>0</v>
      </c>
      <c r="F12" s="6">
        <f t="shared" si="3"/>
        <v>5941.670000000001</v>
      </c>
      <c r="G12" s="6">
        <f t="shared" si="4"/>
        <v>6357.6100000000006</v>
      </c>
      <c r="H12" s="6">
        <f t="shared" si="5"/>
        <v>6802.6</v>
      </c>
      <c r="I12" s="6">
        <f t="shared" si="6"/>
        <v>7278.670000000001</v>
      </c>
      <c r="J12" s="6">
        <f t="shared" si="7"/>
        <v>7788.3400000000011</v>
      </c>
      <c r="K12" s="6">
        <f t="shared" si="8"/>
        <v>8333.5</v>
      </c>
      <c r="L12" s="6">
        <f t="shared" si="9"/>
        <v>8916.880000000001</v>
      </c>
      <c r="M12" s="6">
        <f t="shared" si="10"/>
        <v>9577.68</v>
      </c>
      <c r="N12" s="6">
        <f t="shared" si="11"/>
        <v>9885.61</v>
      </c>
      <c r="O12" s="6">
        <f t="shared" si="12"/>
        <v>10474.380000000001</v>
      </c>
    </row>
    <row r="13" spans="1:15" x14ac:dyDescent="0.3">
      <c r="A13" t="s">
        <v>10</v>
      </c>
      <c r="B13" s="3">
        <v>0.08</v>
      </c>
      <c r="C13" s="7">
        <f t="shared" si="1"/>
        <v>5600</v>
      </c>
      <c r="D13" s="7">
        <f t="shared" si="2"/>
        <v>5600</v>
      </c>
      <c r="E13" s="11">
        <v>0</v>
      </c>
      <c r="F13" s="6">
        <f t="shared" si="3"/>
        <v>6790.4800000000005</v>
      </c>
      <c r="G13" s="6">
        <f t="shared" si="4"/>
        <v>7265.84</v>
      </c>
      <c r="H13" s="6">
        <f t="shared" si="5"/>
        <v>7774.4000000000005</v>
      </c>
      <c r="I13" s="6">
        <f t="shared" si="6"/>
        <v>8318.48</v>
      </c>
      <c r="J13" s="6">
        <f t="shared" si="7"/>
        <v>8900.9600000000009</v>
      </c>
      <c r="K13" s="6">
        <f t="shared" si="8"/>
        <v>9524</v>
      </c>
      <c r="L13" s="6">
        <f t="shared" si="9"/>
        <v>10190.719999999999</v>
      </c>
      <c r="M13" s="6">
        <f t="shared" si="10"/>
        <v>10945.92</v>
      </c>
      <c r="N13" s="6">
        <f t="shared" si="11"/>
        <v>11297.84</v>
      </c>
      <c r="O13" s="6">
        <f t="shared" si="12"/>
        <v>11970.72</v>
      </c>
    </row>
    <row r="14" spans="1:15" x14ac:dyDescent="0.3">
      <c r="A14" t="s">
        <v>11</v>
      </c>
      <c r="B14" s="3">
        <v>0.11</v>
      </c>
      <c r="C14" s="7">
        <f t="shared" si="1"/>
        <v>7700</v>
      </c>
      <c r="D14" s="7">
        <f t="shared" si="2"/>
        <v>7700</v>
      </c>
      <c r="E14" s="11">
        <v>0</v>
      </c>
      <c r="F14" s="6">
        <f t="shared" si="3"/>
        <v>9336.91</v>
      </c>
      <c r="G14" s="6">
        <f t="shared" si="4"/>
        <v>9990.5300000000007</v>
      </c>
      <c r="H14" s="6">
        <f t="shared" si="5"/>
        <v>10689.8</v>
      </c>
      <c r="I14" s="6">
        <f t="shared" si="6"/>
        <v>11437.91</v>
      </c>
      <c r="J14" s="6">
        <f t="shared" si="7"/>
        <v>12238.82</v>
      </c>
      <c r="K14" s="6">
        <f t="shared" si="8"/>
        <v>13095.5</v>
      </c>
      <c r="L14" s="6">
        <f t="shared" si="9"/>
        <v>14012.24</v>
      </c>
      <c r="M14" s="6">
        <f t="shared" si="10"/>
        <v>15050.64</v>
      </c>
      <c r="N14" s="6">
        <f t="shared" si="11"/>
        <v>15534.53</v>
      </c>
      <c r="O14" s="6">
        <f t="shared" si="12"/>
        <v>16459.740000000002</v>
      </c>
    </row>
    <row r="15" spans="1:15" x14ac:dyDescent="0.3">
      <c r="A15" t="s">
        <v>12</v>
      </c>
      <c r="B15" s="3">
        <v>0.06</v>
      </c>
      <c r="C15" s="7">
        <f t="shared" si="1"/>
        <v>4200</v>
      </c>
      <c r="D15" s="7">
        <f t="shared" si="2"/>
        <v>4200</v>
      </c>
      <c r="E15" s="11">
        <v>2000</v>
      </c>
      <c r="F15" s="6">
        <f t="shared" si="3"/>
        <v>5092.8599999999997</v>
      </c>
      <c r="G15" s="6">
        <f t="shared" si="4"/>
        <v>5449.38</v>
      </c>
      <c r="H15" s="6">
        <f t="shared" si="5"/>
        <v>5830.8</v>
      </c>
      <c r="I15" s="6">
        <f t="shared" si="6"/>
        <v>6238.86</v>
      </c>
      <c r="J15" s="6">
        <f t="shared" si="7"/>
        <v>6675.7199999999993</v>
      </c>
      <c r="K15" s="6">
        <f t="shared" si="8"/>
        <v>7143</v>
      </c>
      <c r="L15" s="6">
        <f t="shared" si="9"/>
        <v>7643.04</v>
      </c>
      <c r="M15" s="6">
        <f t="shared" si="10"/>
        <v>8209.44</v>
      </c>
      <c r="N15" s="6">
        <f t="shared" si="11"/>
        <v>8473.3799999999992</v>
      </c>
      <c r="O15" s="6">
        <f t="shared" si="12"/>
        <v>8978.0399999999991</v>
      </c>
    </row>
    <row r="16" spans="1:15" x14ac:dyDescent="0.3">
      <c r="A16" t="s">
        <v>13</v>
      </c>
      <c r="B16" s="3">
        <v>0.13</v>
      </c>
      <c r="C16" s="7">
        <f t="shared" si="1"/>
        <v>9100</v>
      </c>
      <c r="D16" s="7">
        <f t="shared" si="2"/>
        <v>9100</v>
      </c>
      <c r="E16" s="11">
        <v>6000</v>
      </c>
      <c r="F16" s="6">
        <f t="shared" si="3"/>
        <v>11034.53</v>
      </c>
      <c r="G16" s="6">
        <f t="shared" si="4"/>
        <v>11806.99</v>
      </c>
      <c r="H16" s="6">
        <f t="shared" si="5"/>
        <v>12633.4</v>
      </c>
      <c r="I16" s="6">
        <f t="shared" si="6"/>
        <v>13517.53</v>
      </c>
      <c r="J16" s="6">
        <f t="shared" si="7"/>
        <v>14464.060000000001</v>
      </c>
      <c r="K16" s="6">
        <f t="shared" si="8"/>
        <v>15476.5</v>
      </c>
      <c r="L16" s="6">
        <f t="shared" si="9"/>
        <v>16559.920000000002</v>
      </c>
      <c r="M16" s="6">
        <f t="shared" si="10"/>
        <v>17787.12</v>
      </c>
      <c r="N16" s="6">
        <f t="shared" si="11"/>
        <v>18358.990000000002</v>
      </c>
      <c r="O16" s="6">
        <f t="shared" si="12"/>
        <v>19452.420000000002</v>
      </c>
    </row>
    <row r="17" spans="1:15" ht="15" thickBot="1" x14ac:dyDescent="0.35">
      <c r="A17" t="s">
        <v>14</v>
      </c>
      <c r="B17" s="4">
        <v>0.18</v>
      </c>
      <c r="C17" s="8">
        <f t="shared" si="1"/>
        <v>12600</v>
      </c>
      <c r="D17" s="8">
        <f t="shared" si="2"/>
        <v>12600</v>
      </c>
      <c r="E17" s="12">
        <v>8000</v>
      </c>
      <c r="F17" s="9">
        <f t="shared" si="3"/>
        <v>15278.58</v>
      </c>
      <c r="G17" s="9">
        <f t="shared" si="4"/>
        <v>16348.14</v>
      </c>
      <c r="H17" s="9">
        <f t="shared" si="5"/>
        <v>17492.399999999998</v>
      </c>
      <c r="I17" s="9">
        <f t="shared" si="6"/>
        <v>18716.579999999998</v>
      </c>
      <c r="J17" s="9">
        <f t="shared" si="7"/>
        <v>20027.16</v>
      </c>
      <c r="K17" s="9">
        <f t="shared" si="8"/>
        <v>21429</v>
      </c>
      <c r="L17" s="9">
        <f t="shared" si="9"/>
        <v>22929.119999999999</v>
      </c>
      <c r="M17" s="9">
        <f t="shared" si="10"/>
        <v>24628.32</v>
      </c>
      <c r="N17" s="9">
        <f t="shared" si="11"/>
        <v>25420.14</v>
      </c>
      <c r="O17" s="9">
        <f t="shared" si="12"/>
        <v>26934.12</v>
      </c>
    </row>
    <row r="18" spans="1:15" ht="15" thickTop="1" x14ac:dyDescent="0.3">
      <c r="A18" t="s">
        <v>17</v>
      </c>
      <c r="B18" s="5">
        <f>SUM(B6:B17)</f>
        <v>1</v>
      </c>
      <c r="C18" s="6">
        <v>70000</v>
      </c>
      <c r="D18" s="6">
        <v>66800</v>
      </c>
      <c r="E18" s="6">
        <f>SUM(E6:E17)</f>
        <v>16000</v>
      </c>
      <c r="F18" s="6">
        <v>84881</v>
      </c>
      <c r="G18" s="6">
        <v>90823</v>
      </c>
      <c r="H18" s="6">
        <v>97180</v>
      </c>
      <c r="I18" s="6">
        <v>103981</v>
      </c>
      <c r="J18" s="6">
        <v>111262</v>
      </c>
      <c r="K18" s="6">
        <v>119050</v>
      </c>
      <c r="L18" s="6">
        <v>127384</v>
      </c>
      <c r="M18" s="6">
        <v>136824</v>
      </c>
      <c r="N18" s="6">
        <v>141223</v>
      </c>
      <c r="O18" s="6">
        <v>149634</v>
      </c>
    </row>
    <row r="20" spans="1:15" x14ac:dyDescent="0.3">
      <c r="A20" t="s">
        <v>18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A67ED-9379-4D59-954D-5CFA6801DC64}">
  <dimension ref="A2:P45"/>
  <sheetViews>
    <sheetView zoomScale="104" zoomScaleNormal="116" workbookViewId="0">
      <selection activeCell="E17" sqref="E17"/>
    </sheetView>
  </sheetViews>
  <sheetFormatPr baseColWidth="10" defaultColWidth="8.88671875" defaultRowHeight="14.4" x14ac:dyDescent="0.3"/>
  <cols>
    <col min="2" max="2" width="15.33203125" customWidth="1"/>
    <col min="3" max="3" width="11.44140625" customWidth="1"/>
    <col min="4" max="4" width="18.5546875" customWidth="1"/>
    <col min="5" max="15" width="15.77734375" bestFit="1" customWidth="1"/>
  </cols>
  <sheetData>
    <row r="2" spans="4:16" ht="15" thickBot="1" x14ac:dyDescent="0.35">
      <c r="D2" s="25" t="s">
        <v>19</v>
      </c>
      <c r="E2" s="24">
        <f>E15</f>
        <v>2025</v>
      </c>
      <c r="F2" s="24">
        <f>F15</f>
        <v>2026</v>
      </c>
      <c r="G2" s="24">
        <f t="shared" ref="G2:O2" si="0">G15</f>
        <v>2027</v>
      </c>
      <c r="H2" s="24">
        <f t="shared" si="0"/>
        <v>2028</v>
      </c>
      <c r="I2" s="24">
        <f t="shared" si="0"/>
        <v>2029</v>
      </c>
      <c r="J2" s="24">
        <f t="shared" si="0"/>
        <v>2030</v>
      </c>
      <c r="K2" s="24">
        <f t="shared" si="0"/>
        <v>2031</v>
      </c>
      <c r="L2" s="24">
        <f t="shared" si="0"/>
        <v>2032</v>
      </c>
      <c r="M2" s="24">
        <f t="shared" si="0"/>
        <v>2033</v>
      </c>
      <c r="N2" s="24">
        <f t="shared" si="0"/>
        <v>2034</v>
      </c>
      <c r="O2" s="24">
        <f t="shared" si="0"/>
        <v>2035</v>
      </c>
    </row>
    <row r="3" spans="4:16" x14ac:dyDescent="0.3">
      <c r="D3" s="13" t="s">
        <v>20</v>
      </c>
      <c r="E3" s="14">
        <v>0.8</v>
      </c>
      <c r="F3" s="14">
        <v>0.85</v>
      </c>
      <c r="G3" s="14">
        <v>0.9</v>
      </c>
      <c r="H3" s="14">
        <v>0.9</v>
      </c>
      <c r="I3" s="14">
        <v>0.9</v>
      </c>
      <c r="J3" s="14">
        <v>0.9</v>
      </c>
      <c r="K3" s="14">
        <v>0.9</v>
      </c>
      <c r="L3" s="14">
        <v>0.9</v>
      </c>
      <c r="M3" s="14">
        <v>0.9</v>
      </c>
      <c r="N3" s="14">
        <v>0.9</v>
      </c>
      <c r="O3" s="14">
        <v>0.9</v>
      </c>
    </row>
    <row r="4" spans="4:16" x14ac:dyDescent="0.3">
      <c r="D4" s="15" t="s">
        <v>21</v>
      </c>
      <c r="E4" s="16">
        <v>420</v>
      </c>
      <c r="F4" s="16">
        <f t="shared" ref="F4:M4" si="1">F36</f>
        <v>40</v>
      </c>
      <c r="G4" s="16">
        <f t="shared" si="1"/>
        <v>40</v>
      </c>
      <c r="H4" s="16">
        <f t="shared" si="1"/>
        <v>40</v>
      </c>
      <c r="I4" s="16">
        <f t="shared" si="1"/>
        <v>40</v>
      </c>
      <c r="J4" s="16">
        <f t="shared" si="1"/>
        <v>40</v>
      </c>
      <c r="K4" s="16">
        <f t="shared" si="1"/>
        <v>40</v>
      </c>
      <c r="L4" s="16">
        <f t="shared" si="1"/>
        <v>40</v>
      </c>
      <c r="M4" s="16">
        <f t="shared" si="1"/>
        <v>40</v>
      </c>
      <c r="N4" s="16">
        <f t="shared" ref="N4:O4" si="2">N36</f>
        <v>40</v>
      </c>
      <c r="O4" s="16">
        <f t="shared" si="2"/>
        <v>40</v>
      </c>
    </row>
    <row r="5" spans="4:16" x14ac:dyDescent="0.3">
      <c r="D5" s="15" t="s">
        <v>22</v>
      </c>
      <c r="E5" s="17">
        <f>3600/E4</f>
        <v>8.5714285714285712</v>
      </c>
      <c r="F5" s="17">
        <f t="shared" ref="F5:M5" si="3">3600/F4</f>
        <v>90</v>
      </c>
      <c r="G5" s="17">
        <f t="shared" si="3"/>
        <v>90</v>
      </c>
      <c r="H5" s="17">
        <f t="shared" si="3"/>
        <v>90</v>
      </c>
      <c r="I5" s="17">
        <f t="shared" si="3"/>
        <v>90</v>
      </c>
      <c r="J5" s="17">
        <f t="shared" si="3"/>
        <v>90</v>
      </c>
      <c r="K5" s="17">
        <f t="shared" si="3"/>
        <v>90</v>
      </c>
      <c r="L5" s="17">
        <f t="shared" si="3"/>
        <v>90</v>
      </c>
      <c r="M5" s="17">
        <f t="shared" si="3"/>
        <v>90</v>
      </c>
      <c r="N5" s="17">
        <f t="shared" ref="N5:O5" si="4">3600/N4</f>
        <v>90</v>
      </c>
      <c r="O5" s="17">
        <f t="shared" si="4"/>
        <v>90</v>
      </c>
    </row>
    <row r="6" spans="4:16" x14ac:dyDescent="0.3">
      <c r="D6" s="15" t="s">
        <v>23</v>
      </c>
      <c r="E6" s="16">
        <v>7.5</v>
      </c>
      <c r="F6" s="16">
        <v>7.5</v>
      </c>
      <c r="G6" s="16">
        <v>7.5</v>
      </c>
      <c r="H6" s="16">
        <v>7.5</v>
      </c>
      <c r="I6" s="16">
        <v>7.5</v>
      </c>
      <c r="J6" s="16">
        <v>7.5</v>
      </c>
      <c r="K6" s="16">
        <v>7.5</v>
      </c>
      <c r="L6" s="16">
        <v>7.5</v>
      </c>
      <c r="M6" s="16">
        <v>7.5</v>
      </c>
      <c r="N6" s="16">
        <v>7.5</v>
      </c>
      <c r="O6" s="16">
        <v>7.5</v>
      </c>
    </row>
    <row r="7" spans="4:16" x14ac:dyDescent="0.3">
      <c r="D7" s="15" t="s">
        <v>24</v>
      </c>
      <c r="E7" s="16">
        <v>2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</row>
    <row r="8" spans="4:16" x14ac:dyDescent="0.3">
      <c r="D8" s="15" t="s">
        <v>25</v>
      </c>
      <c r="E8" s="16">
        <v>1</v>
      </c>
      <c r="F8" s="16">
        <v>1</v>
      </c>
      <c r="G8" s="16">
        <v>1</v>
      </c>
      <c r="H8" s="16">
        <v>1</v>
      </c>
      <c r="I8" s="16">
        <v>2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</row>
    <row r="9" spans="4:16" x14ac:dyDescent="0.3">
      <c r="D9" s="15" t="s">
        <v>26</v>
      </c>
      <c r="E9" s="16">
        <v>5</v>
      </c>
      <c r="F9" s="16">
        <v>5</v>
      </c>
      <c r="G9" s="16">
        <v>5</v>
      </c>
      <c r="H9" s="16">
        <v>5</v>
      </c>
      <c r="I9" s="16">
        <v>5</v>
      </c>
      <c r="J9" s="16">
        <v>5</v>
      </c>
      <c r="K9" s="16">
        <v>5</v>
      </c>
      <c r="L9" s="16">
        <v>5</v>
      </c>
      <c r="M9" s="16">
        <v>6</v>
      </c>
      <c r="N9" s="16">
        <v>6</v>
      </c>
      <c r="O9" s="16">
        <v>6</v>
      </c>
    </row>
    <row r="10" spans="4:16" x14ac:dyDescent="0.3">
      <c r="D10" s="15" t="s">
        <v>27</v>
      </c>
      <c r="E10" s="16">
        <v>4</v>
      </c>
      <c r="F10" s="16">
        <v>4</v>
      </c>
      <c r="G10" s="16">
        <v>4</v>
      </c>
      <c r="H10" s="16">
        <v>4</v>
      </c>
      <c r="I10" s="16">
        <v>4</v>
      </c>
      <c r="J10" s="16">
        <v>4</v>
      </c>
      <c r="K10" s="16">
        <v>4</v>
      </c>
      <c r="L10" s="16">
        <v>4</v>
      </c>
      <c r="M10" s="16">
        <v>4</v>
      </c>
      <c r="N10" s="16">
        <v>4</v>
      </c>
      <c r="O10" s="16">
        <v>4</v>
      </c>
    </row>
    <row r="11" spans="4:16" x14ac:dyDescent="0.3">
      <c r="D11" s="18" t="s">
        <v>28</v>
      </c>
      <c r="E11" s="19">
        <v>12</v>
      </c>
      <c r="F11" s="19">
        <v>12</v>
      </c>
      <c r="G11" s="19">
        <v>12</v>
      </c>
      <c r="H11" s="19">
        <v>12</v>
      </c>
      <c r="I11" s="19">
        <v>12</v>
      </c>
      <c r="J11" s="19">
        <v>12</v>
      </c>
      <c r="K11" s="19">
        <v>12</v>
      </c>
      <c r="L11" s="19">
        <v>12</v>
      </c>
      <c r="M11" s="19">
        <v>12</v>
      </c>
      <c r="N11" s="19">
        <v>12</v>
      </c>
      <c r="O11" s="19">
        <v>12</v>
      </c>
    </row>
    <row r="12" spans="4:16" x14ac:dyDescent="0.3">
      <c r="D12" s="20" t="s">
        <v>29</v>
      </c>
      <c r="E12" s="21">
        <f>E5*E6*E7*E8*E9*E10*E11</f>
        <v>30857.142857142855</v>
      </c>
      <c r="F12" s="21">
        <f t="shared" ref="F12:M12" si="5">F5*F6*F7*F8*F9*F10*F11</f>
        <v>162000</v>
      </c>
      <c r="G12" s="21">
        <f t="shared" si="5"/>
        <v>162000</v>
      </c>
      <c r="H12" s="21">
        <f t="shared" si="5"/>
        <v>162000</v>
      </c>
      <c r="I12" s="21">
        <f t="shared" si="5"/>
        <v>324000</v>
      </c>
      <c r="J12" s="21">
        <f t="shared" si="5"/>
        <v>162000</v>
      </c>
      <c r="K12" s="21">
        <f t="shared" si="5"/>
        <v>162000</v>
      </c>
      <c r="L12" s="21">
        <f t="shared" si="5"/>
        <v>162000</v>
      </c>
      <c r="M12" s="21">
        <f t="shared" si="5"/>
        <v>194400</v>
      </c>
      <c r="N12" s="21">
        <f t="shared" ref="N12:O12" si="6">N5*N6*N7*N8*N9*N10*N11</f>
        <v>194400</v>
      </c>
      <c r="O12" s="21">
        <f t="shared" si="6"/>
        <v>194400</v>
      </c>
    </row>
    <row r="13" spans="4:16" x14ac:dyDescent="0.3">
      <c r="E13" s="23">
        <f>E12*25%*4</f>
        <v>30857.142857142855</v>
      </c>
      <c r="F13" s="23">
        <f t="shared" ref="F13:M13" si="7">F12*25%*4</f>
        <v>162000</v>
      </c>
      <c r="G13" s="23">
        <f t="shared" si="7"/>
        <v>162000</v>
      </c>
      <c r="H13" s="23">
        <f t="shared" si="7"/>
        <v>162000</v>
      </c>
      <c r="I13" s="23">
        <f t="shared" si="7"/>
        <v>324000</v>
      </c>
      <c r="J13" s="23">
        <f t="shared" si="7"/>
        <v>162000</v>
      </c>
      <c r="K13" s="23">
        <f t="shared" si="7"/>
        <v>162000</v>
      </c>
      <c r="L13" s="23">
        <f t="shared" si="7"/>
        <v>162000</v>
      </c>
      <c r="M13" s="23">
        <f t="shared" si="7"/>
        <v>194400</v>
      </c>
      <c r="N13" s="23">
        <f t="shared" ref="N13:O13" si="8">N12*25%*4</f>
        <v>194400</v>
      </c>
      <c r="O13" s="23">
        <f t="shared" si="8"/>
        <v>194400</v>
      </c>
    </row>
    <row r="14" spans="4:16" x14ac:dyDescent="0.3">
      <c r="E14" s="22"/>
      <c r="F14" s="22"/>
      <c r="G14" s="22"/>
      <c r="H14" s="22"/>
      <c r="I14" s="22"/>
      <c r="J14" s="22"/>
      <c r="K14" s="22"/>
      <c r="L14" s="22"/>
      <c r="M14" s="22"/>
      <c r="N14" s="22"/>
    </row>
    <row r="15" spans="4:16" x14ac:dyDescent="0.3">
      <c r="E15" s="24">
        <f>COs!E5</f>
        <v>2025</v>
      </c>
      <c r="F15" s="24">
        <f>E15+1</f>
        <v>2026</v>
      </c>
      <c r="G15" s="24">
        <f t="shared" ref="G15:M15" si="9">F15+1</f>
        <v>2027</v>
      </c>
      <c r="H15" s="24">
        <f t="shared" si="9"/>
        <v>2028</v>
      </c>
      <c r="I15" s="24">
        <f t="shared" si="9"/>
        <v>2029</v>
      </c>
      <c r="J15" s="24">
        <f t="shared" si="9"/>
        <v>2030</v>
      </c>
      <c r="K15" s="24">
        <f t="shared" si="9"/>
        <v>2031</v>
      </c>
      <c r="L15" s="24">
        <f t="shared" si="9"/>
        <v>2032</v>
      </c>
      <c r="M15" s="24">
        <f t="shared" si="9"/>
        <v>2033</v>
      </c>
      <c r="N15" s="24">
        <f t="shared" ref="N15" si="10">M15+1</f>
        <v>2034</v>
      </c>
      <c r="O15" s="24">
        <f t="shared" ref="O15" si="11">N15+1</f>
        <v>2035</v>
      </c>
    </row>
    <row r="16" spans="4:16" x14ac:dyDescent="0.3">
      <c r="D16" t="s">
        <v>30</v>
      </c>
      <c r="E16" s="22">
        <f>COs!E18</f>
        <v>16000</v>
      </c>
      <c r="F16" s="22">
        <f>COs!F18</f>
        <v>84881</v>
      </c>
      <c r="G16" s="22">
        <f>COs!G18</f>
        <v>90823</v>
      </c>
      <c r="H16" s="22">
        <f>COs!H18</f>
        <v>97180</v>
      </c>
      <c r="I16" s="22">
        <f>COs!I18</f>
        <v>103981</v>
      </c>
      <c r="J16" s="22">
        <f>COs!J18</f>
        <v>111262</v>
      </c>
      <c r="K16" s="22">
        <f>COs!K18</f>
        <v>119050</v>
      </c>
      <c r="L16" s="22">
        <f>COs!L18</f>
        <v>127384</v>
      </c>
      <c r="M16" s="22">
        <f>COs!M18</f>
        <v>136824</v>
      </c>
      <c r="N16" s="22">
        <f>COs!N18</f>
        <v>141223</v>
      </c>
      <c r="O16" s="22">
        <f>COs!O18</f>
        <v>149634</v>
      </c>
      <c r="P16" s="22">
        <f>COs!P18</f>
        <v>0</v>
      </c>
    </row>
    <row r="17" spans="1:15" x14ac:dyDescent="0.3">
      <c r="D17" t="s">
        <v>31</v>
      </c>
      <c r="E17" s="22">
        <f>E16/E3</f>
        <v>20000</v>
      </c>
      <c r="F17" s="22">
        <f>F16/F3</f>
        <v>99860</v>
      </c>
      <c r="G17" s="22">
        <f>G16/G3</f>
        <v>100914.44444444444</v>
      </c>
      <c r="H17" s="22">
        <f t="shared" ref="H17:O17" si="12">H16/H3</f>
        <v>107977.77777777778</v>
      </c>
      <c r="I17" s="22">
        <f t="shared" si="12"/>
        <v>115534.44444444444</v>
      </c>
      <c r="J17" s="22">
        <f t="shared" si="12"/>
        <v>123624.44444444444</v>
      </c>
      <c r="K17" s="22">
        <f t="shared" si="12"/>
        <v>132277.77777777778</v>
      </c>
      <c r="L17" s="22">
        <f t="shared" si="12"/>
        <v>141537.77777777778</v>
      </c>
      <c r="M17" s="22">
        <f t="shared" si="12"/>
        <v>152026.66666666666</v>
      </c>
      <c r="N17" s="22">
        <f t="shared" si="12"/>
        <v>156914.44444444444</v>
      </c>
      <c r="O17" s="22">
        <f t="shared" si="12"/>
        <v>166260</v>
      </c>
    </row>
    <row r="18" spans="1:15" x14ac:dyDescent="0.3">
      <c r="D18" t="s">
        <v>67</v>
      </c>
      <c r="E18" s="26">
        <f>E17/E13</f>
        <v>0.64814814814814814</v>
      </c>
      <c r="F18" s="26">
        <f t="shared" ref="F18:O18" si="13">F17/F13</f>
        <v>0.61641975308641972</v>
      </c>
      <c r="G18" s="26">
        <f t="shared" si="13"/>
        <v>0.6229286694101509</v>
      </c>
      <c r="H18" s="26">
        <f t="shared" si="13"/>
        <v>0.66652949245541837</v>
      </c>
      <c r="I18" s="26">
        <f t="shared" si="13"/>
        <v>0.35658779149519887</v>
      </c>
      <c r="J18" s="26">
        <f t="shared" si="13"/>
        <v>0.76311385459533598</v>
      </c>
      <c r="K18" s="26">
        <f t="shared" si="13"/>
        <v>0.81652949245541839</v>
      </c>
      <c r="L18" s="26">
        <f t="shared" si="13"/>
        <v>0.87368998628257888</v>
      </c>
      <c r="M18" s="26">
        <f t="shared" si="13"/>
        <v>0.78203017832647459</v>
      </c>
      <c r="N18" s="26">
        <f t="shared" si="13"/>
        <v>0.80717306812985823</v>
      </c>
      <c r="O18" s="26">
        <f t="shared" si="13"/>
        <v>0.85524691358024696</v>
      </c>
    </row>
    <row r="19" spans="1:15" x14ac:dyDescent="0.3"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 spans="1:15" ht="43.5" customHeight="1" x14ac:dyDescent="0.3">
      <c r="A20" s="27" t="s">
        <v>32</v>
      </c>
      <c r="B20" s="27" t="s">
        <v>33</v>
      </c>
      <c r="C20" s="27" t="s">
        <v>442</v>
      </c>
      <c r="D20" s="27" t="s">
        <v>69</v>
      </c>
      <c r="E20" s="27" t="s">
        <v>443</v>
      </c>
      <c r="F20" s="27" t="s">
        <v>68</v>
      </c>
      <c r="G20" s="27" t="s">
        <v>68</v>
      </c>
      <c r="H20" s="27" t="s">
        <v>68</v>
      </c>
      <c r="I20" s="27" t="s">
        <v>68</v>
      </c>
      <c r="J20" s="27" t="s">
        <v>68</v>
      </c>
      <c r="K20" s="27" t="s">
        <v>68</v>
      </c>
      <c r="L20" s="27" t="s">
        <v>68</v>
      </c>
      <c r="M20" s="27" t="s">
        <v>68</v>
      </c>
      <c r="N20" s="27" t="s">
        <v>68</v>
      </c>
      <c r="O20" s="27" t="s">
        <v>68</v>
      </c>
    </row>
    <row r="21" spans="1:15" x14ac:dyDescent="0.3">
      <c r="A21" t="s">
        <v>34</v>
      </c>
      <c r="B21" t="s">
        <v>35</v>
      </c>
      <c r="C21">
        <v>60</v>
      </c>
      <c r="D21">
        <v>6</v>
      </c>
      <c r="E21">
        <f>C21/D21</f>
        <v>10</v>
      </c>
      <c r="F21">
        <f>C21/D21</f>
        <v>10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</row>
    <row r="22" spans="1:15" x14ac:dyDescent="0.3">
      <c r="A22" t="s">
        <v>36</v>
      </c>
      <c r="B22" t="s">
        <v>37</v>
      </c>
      <c r="C22">
        <v>12</v>
      </c>
      <c r="D22">
        <v>1</v>
      </c>
      <c r="E22">
        <f t="shared" ref="E22:E36" si="14">C22/D22</f>
        <v>12</v>
      </c>
      <c r="F22">
        <f t="shared" ref="F22:F35" si="15">C22/D22</f>
        <v>12</v>
      </c>
      <c r="G22">
        <v>12</v>
      </c>
      <c r="H22">
        <v>12</v>
      </c>
      <c r="I22">
        <v>12</v>
      </c>
      <c r="J22">
        <v>12</v>
      </c>
      <c r="K22">
        <v>12</v>
      </c>
      <c r="L22">
        <v>12</v>
      </c>
      <c r="M22">
        <v>12</v>
      </c>
      <c r="N22">
        <v>12</v>
      </c>
      <c r="O22">
        <v>12</v>
      </c>
    </row>
    <row r="23" spans="1:15" x14ac:dyDescent="0.3">
      <c r="A23" t="s">
        <v>38</v>
      </c>
      <c r="B23" t="s">
        <v>39</v>
      </c>
      <c r="C23">
        <v>12</v>
      </c>
      <c r="D23">
        <v>1</v>
      </c>
      <c r="E23">
        <f t="shared" si="14"/>
        <v>12</v>
      </c>
      <c r="F23">
        <f t="shared" si="15"/>
        <v>12</v>
      </c>
      <c r="G23">
        <v>12</v>
      </c>
      <c r="H23">
        <v>12</v>
      </c>
      <c r="I23">
        <v>12</v>
      </c>
      <c r="J23">
        <v>12</v>
      </c>
      <c r="K23">
        <v>12</v>
      </c>
      <c r="L23">
        <v>12</v>
      </c>
      <c r="M23">
        <v>12</v>
      </c>
      <c r="N23">
        <v>12</v>
      </c>
      <c r="O23">
        <v>12</v>
      </c>
    </row>
    <row r="24" spans="1:15" x14ac:dyDescent="0.3">
      <c r="A24" t="s">
        <v>40</v>
      </c>
      <c r="B24" t="s">
        <v>41</v>
      </c>
      <c r="C24">
        <v>12</v>
      </c>
      <c r="D24">
        <v>1</v>
      </c>
      <c r="E24">
        <f t="shared" si="14"/>
        <v>12</v>
      </c>
      <c r="F24">
        <f t="shared" si="15"/>
        <v>12</v>
      </c>
      <c r="G24">
        <v>12</v>
      </c>
      <c r="H24">
        <v>12</v>
      </c>
      <c r="I24">
        <v>12</v>
      </c>
      <c r="J24">
        <v>12</v>
      </c>
      <c r="K24">
        <v>12</v>
      </c>
      <c r="L24">
        <v>12</v>
      </c>
      <c r="M24">
        <v>12</v>
      </c>
      <c r="N24">
        <v>12</v>
      </c>
      <c r="O24">
        <v>12</v>
      </c>
    </row>
    <row r="25" spans="1:15" x14ac:dyDescent="0.3">
      <c r="A25" t="s">
        <v>42</v>
      </c>
      <c r="B25" t="s">
        <v>43</v>
      </c>
      <c r="C25">
        <v>12</v>
      </c>
      <c r="D25">
        <v>1</v>
      </c>
      <c r="E25">
        <f t="shared" si="14"/>
        <v>12</v>
      </c>
      <c r="F25">
        <f t="shared" si="15"/>
        <v>12</v>
      </c>
      <c r="G25">
        <v>12</v>
      </c>
      <c r="H25">
        <v>12</v>
      </c>
      <c r="I25">
        <v>12</v>
      </c>
      <c r="J25">
        <v>12</v>
      </c>
      <c r="K25">
        <v>12</v>
      </c>
      <c r="L25">
        <v>12</v>
      </c>
      <c r="M25">
        <v>12</v>
      </c>
      <c r="N25">
        <v>12</v>
      </c>
      <c r="O25">
        <v>12</v>
      </c>
    </row>
    <row r="26" spans="1:15" x14ac:dyDescent="0.3">
      <c r="A26" t="s">
        <v>44</v>
      </c>
      <c r="B26" t="s">
        <v>45</v>
      </c>
      <c r="C26">
        <v>12</v>
      </c>
      <c r="D26">
        <v>1</v>
      </c>
      <c r="E26">
        <f t="shared" si="14"/>
        <v>12</v>
      </c>
      <c r="F26">
        <f t="shared" si="15"/>
        <v>12</v>
      </c>
      <c r="G26">
        <v>12</v>
      </c>
      <c r="H26">
        <v>12</v>
      </c>
      <c r="I26">
        <v>12</v>
      </c>
      <c r="J26">
        <v>12</v>
      </c>
      <c r="K26">
        <v>12</v>
      </c>
      <c r="L26">
        <v>12</v>
      </c>
      <c r="M26">
        <v>12</v>
      </c>
      <c r="N26">
        <v>12</v>
      </c>
      <c r="O26">
        <v>12</v>
      </c>
    </row>
    <row r="27" spans="1:15" x14ac:dyDescent="0.3">
      <c r="A27" t="s">
        <v>46</v>
      </c>
      <c r="B27" t="s">
        <v>47</v>
      </c>
      <c r="C27">
        <v>12</v>
      </c>
      <c r="D27">
        <v>1</v>
      </c>
      <c r="E27">
        <f t="shared" si="14"/>
        <v>12</v>
      </c>
      <c r="F27">
        <f t="shared" si="15"/>
        <v>12</v>
      </c>
      <c r="G27">
        <v>12</v>
      </c>
      <c r="H27">
        <v>12</v>
      </c>
      <c r="I27">
        <v>12</v>
      </c>
      <c r="J27">
        <v>12</v>
      </c>
      <c r="K27">
        <v>12</v>
      </c>
      <c r="L27">
        <v>12</v>
      </c>
      <c r="M27">
        <v>12</v>
      </c>
      <c r="N27">
        <v>12</v>
      </c>
      <c r="O27">
        <v>12</v>
      </c>
    </row>
    <row r="28" spans="1:15" x14ac:dyDescent="0.3">
      <c r="A28" t="s">
        <v>48</v>
      </c>
      <c r="B28" t="s">
        <v>49</v>
      </c>
      <c r="C28">
        <v>12</v>
      </c>
      <c r="D28">
        <v>1</v>
      </c>
      <c r="E28">
        <f t="shared" si="14"/>
        <v>12</v>
      </c>
      <c r="F28">
        <f t="shared" si="15"/>
        <v>12</v>
      </c>
      <c r="G28">
        <v>12</v>
      </c>
      <c r="H28">
        <v>12</v>
      </c>
      <c r="I28">
        <v>12</v>
      </c>
      <c r="J28">
        <v>12</v>
      </c>
      <c r="K28">
        <v>12</v>
      </c>
      <c r="L28">
        <v>12</v>
      </c>
      <c r="M28">
        <v>12</v>
      </c>
      <c r="N28">
        <v>12</v>
      </c>
      <c r="O28">
        <v>12</v>
      </c>
    </row>
    <row r="29" spans="1:15" x14ac:dyDescent="0.3">
      <c r="A29" t="s">
        <v>50</v>
      </c>
      <c r="B29" t="s">
        <v>51</v>
      </c>
      <c r="C29">
        <v>12</v>
      </c>
      <c r="D29">
        <v>1</v>
      </c>
      <c r="E29">
        <f t="shared" si="14"/>
        <v>12</v>
      </c>
      <c r="F29">
        <f t="shared" si="15"/>
        <v>12</v>
      </c>
      <c r="G29">
        <v>12</v>
      </c>
      <c r="H29">
        <v>12</v>
      </c>
      <c r="I29">
        <v>12</v>
      </c>
      <c r="J29">
        <v>12</v>
      </c>
      <c r="K29">
        <v>12</v>
      </c>
      <c r="L29">
        <v>12</v>
      </c>
      <c r="M29">
        <v>12</v>
      </c>
      <c r="N29">
        <v>12</v>
      </c>
      <c r="O29">
        <v>12</v>
      </c>
    </row>
    <row r="30" spans="1:15" x14ac:dyDescent="0.3">
      <c r="A30" t="s">
        <v>52</v>
      </c>
      <c r="B30" t="s">
        <v>53</v>
      </c>
      <c r="C30">
        <v>12</v>
      </c>
      <c r="D30">
        <v>1</v>
      </c>
      <c r="E30">
        <f t="shared" si="14"/>
        <v>12</v>
      </c>
      <c r="F30">
        <f t="shared" si="15"/>
        <v>12</v>
      </c>
      <c r="G30">
        <v>12</v>
      </c>
      <c r="H30">
        <v>12</v>
      </c>
      <c r="I30">
        <v>12</v>
      </c>
      <c r="J30">
        <v>12</v>
      </c>
      <c r="K30">
        <v>12</v>
      </c>
      <c r="L30">
        <v>12</v>
      </c>
      <c r="M30">
        <v>12</v>
      </c>
      <c r="N30">
        <v>12</v>
      </c>
      <c r="O30">
        <v>12</v>
      </c>
    </row>
    <row r="31" spans="1:15" x14ac:dyDescent="0.3">
      <c r="A31" t="s">
        <v>54</v>
      </c>
      <c r="B31" t="s">
        <v>55</v>
      </c>
      <c r="C31">
        <v>12</v>
      </c>
      <c r="D31">
        <v>1</v>
      </c>
      <c r="E31">
        <f t="shared" si="14"/>
        <v>12</v>
      </c>
      <c r="F31">
        <f t="shared" si="15"/>
        <v>12</v>
      </c>
      <c r="G31">
        <v>12</v>
      </c>
      <c r="H31">
        <v>12</v>
      </c>
      <c r="I31">
        <v>12</v>
      </c>
      <c r="J31">
        <v>12</v>
      </c>
      <c r="K31">
        <v>12</v>
      </c>
      <c r="L31">
        <v>12</v>
      </c>
      <c r="M31">
        <v>12</v>
      </c>
      <c r="N31">
        <v>12</v>
      </c>
      <c r="O31">
        <v>12</v>
      </c>
    </row>
    <row r="32" spans="1:15" x14ac:dyDescent="0.3">
      <c r="A32" t="s">
        <v>56</v>
      </c>
      <c r="B32" t="s">
        <v>57</v>
      </c>
      <c r="C32">
        <v>12</v>
      </c>
      <c r="D32">
        <v>1</v>
      </c>
      <c r="E32">
        <f t="shared" si="14"/>
        <v>12</v>
      </c>
      <c r="F32">
        <f t="shared" si="15"/>
        <v>12</v>
      </c>
      <c r="G32">
        <v>12</v>
      </c>
      <c r="H32">
        <v>12</v>
      </c>
      <c r="I32">
        <v>12</v>
      </c>
      <c r="J32">
        <v>12</v>
      </c>
      <c r="K32">
        <v>12</v>
      </c>
      <c r="L32">
        <v>12</v>
      </c>
      <c r="M32">
        <v>12</v>
      </c>
      <c r="N32">
        <v>12</v>
      </c>
      <c r="O32">
        <v>12</v>
      </c>
    </row>
    <row r="33" spans="1:15" x14ac:dyDescent="0.3">
      <c r="A33" t="s">
        <v>58</v>
      </c>
      <c r="B33" t="s">
        <v>59</v>
      </c>
      <c r="C33">
        <v>12</v>
      </c>
      <c r="D33">
        <v>1</v>
      </c>
      <c r="E33">
        <f t="shared" si="14"/>
        <v>12</v>
      </c>
      <c r="F33">
        <f t="shared" si="15"/>
        <v>12</v>
      </c>
      <c r="G33">
        <v>12</v>
      </c>
      <c r="H33">
        <v>12</v>
      </c>
      <c r="I33">
        <v>12</v>
      </c>
      <c r="J33">
        <v>12</v>
      </c>
      <c r="K33">
        <v>12</v>
      </c>
      <c r="L33">
        <v>12</v>
      </c>
      <c r="M33">
        <v>12</v>
      </c>
      <c r="N33">
        <v>12</v>
      </c>
      <c r="O33">
        <v>12</v>
      </c>
    </row>
    <row r="34" spans="1:15" x14ac:dyDescent="0.3">
      <c r="A34" t="s">
        <v>60</v>
      </c>
      <c r="B34" t="s">
        <v>61</v>
      </c>
      <c r="C34">
        <v>12</v>
      </c>
      <c r="D34">
        <v>1</v>
      </c>
      <c r="E34">
        <f t="shared" si="14"/>
        <v>12</v>
      </c>
      <c r="F34">
        <f t="shared" si="15"/>
        <v>12</v>
      </c>
      <c r="G34">
        <v>12</v>
      </c>
      <c r="H34">
        <v>12</v>
      </c>
      <c r="I34">
        <v>12</v>
      </c>
      <c r="J34">
        <v>12</v>
      </c>
      <c r="K34">
        <v>12</v>
      </c>
      <c r="L34">
        <v>12</v>
      </c>
      <c r="M34">
        <v>12</v>
      </c>
      <c r="N34">
        <v>12</v>
      </c>
      <c r="O34">
        <v>12</v>
      </c>
    </row>
    <row r="35" spans="1:15" x14ac:dyDescent="0.3">
      <c r="A35" t="s">
        <v>62</v>
      </c>
      <c r="B35" t="s">
        <v>63</v>
      </c>
      <c r="C35">
        <v>12</v>
      </c>
      <c r="D35">
        <v>1</v>
      </c>
      <c r="E35">
        <f t="shared" si="14"/>
        <v>12</v>
      </c>
      <c r="F35">
        <f t="shared" si="15"/>
        <v>12</v>
      </c>
      <c r="G35">
        <v>12</v>
      </c>
      <c r="H35">
        <v>12</v>
      </c>
      <c r="I35">
        <v>12</v>
      </c>
      <c r="J35">
        <v>12</v>
      </c>
      <c r="K35">
        <v>12</v>
      </c>
      <c r="L35">
        <v>12</v>
      </c>
      <c r="M35">
        <v>12</v>
      </c>
      <c r="N35">
        <v>12</v>
      </c>
      <c r="O35">
        <v>12</v>
      </c>
    </row>
    <row r="36" spans="1:15" x14ac:dyDescent="0.3">
      <c r="A36" t="s">
        <v>64</v>
      </c>
      <c r="B36" t="s">
        <v>65</v>
      </c>
      <c r="C36">
        <v>120</v>
      </c>
      <c r="D36">
        <v>3</v>
      </c>
      <c r="E36">
        <f t="shared" si="14"/>
        <v>40</v>
      </c>
      <c r="F36">
        <f>E36</f>
        <v>40</v>
      </c>
      <c r="G36">
        <f>F36</f>
        <v>40</v>
      </c>
      <c r="H36">
        <f t="shared" ref="H36:M36" si="16">G36</f>
        <v>40</v>
      </c>
      <c r="I36">
        <f t="shared" si="16"/>
        <v>40</v>
      </c>
      <c r="J36">
        <f t="shared" si="16"/>
        <v>40</v>
      </c>
      <c r="K36">
        <f t="shared" si="16"/>
        <v>40</v>
      </c>
      <c r="L36">
        <f t="shared" si="16"/>
        <v>40</v>
      </c>
      <c r="M36">
        <f t="shared" si="16"/>
        <v>40</v>
      </c>
      <c r="N36">
        <f t="shared" ref="N36" si="17">M36</f>
        <v>40</v>
      </c>
      <c r="O36">
        <f t="shared" ref="O36" si="18">N36</f>
        <v>40</v>
      </c>
    </row>
    <row r="37" spans="1:15" x14ac:dyDescent="0.3">
      <c r="C37" t="s">
        <v>70</v>
      </c>
      <c r="D37">
        <f>SUM(D21:D36)</f>
        <v>23</v>
      </c>
      <c r="E37">
        <f>SUM(E21:E36)</f>
        <v>218</v>
      </c>
    </row>
    <row r="39" spans="1:15" x14ac:dyDescent="0.3">
      <c r="A39" t="s">
        <v>71</v>
      </c>
    </row>
    <row r="41" spans="1:15" x14ac:dyDescent="0.3">
      <c r="A41" s="28" t="s">
        <v>70</v>
      </c>
      <c r="B41" s="28"/>
      <c r="C41" s="20">
        <f>D37</f>
        <v>23</v>
      </c>
    </row>
    <row r="42" spans="1:15" x14ac:dyDescent="0.3">
      <c r="A42" s="28" t="s">
        <v>66</v>
      </c>
      <c r="B42" s="28"/>
      <c r="C42" s="20">
        <v>2</v>
      </c>
    </row>
    <row r="45" spans="1:15" x14ac:dyDescent="0.3">
      <c r="A45" t="s">
        <v>114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C359-48B4-44EB-B7FD-17A171B0B422}">
  <dimension ref="A3:G26"/>
  <sheetViews>
    <sheetView zoomScale="89" zoomScaleNormal="89" workbookViewId="0">
      <selection activeCell="D5" sqref="D5"/>
    </sheetView>
  </sheetViews>
  <sheetFormatPr baseColWidth="10" defaultColWidth="8.88671875" defaultRowHeight="14.4" x14ac:dyDescent="0.3"/>
  <cols>
    <col min="3" max="3" width="23.44140625" bestFit="1" customWidth="1"/>
    <col min="4" max="4" width="10.109375" bestFit="1" customWidth="1"/>
    <col min="5" max="5" width="10.21875" customWidth="1"/>
    <col min="6" max="6" width="10.88671875" customWidth="1"/>
  </cols>
  <sheetData>
    <row r="3" spans="1:7" x14ac:dyDescent="0.3">
      <c r="B3" t="s">
        <v>72</v>
      </c>
      <c r="C3" t="s">
        <v>113</v>
      </c>
    </row>
    <row r="4" spans="1:7" x14ac:dyDescent="0.3">
      <c r="B4" t="s">
        <v>73</v>
      </c>
      <c r="D4" s="29">
        <f>F26</f>
        <v>6121.03</v>
      </c>
    </row>
    <row r="5" spans="1:7" x14ac:dyDescent="0.3">
      <c r="B5" t="s">
        <v>74</v>
      </c>
      <c r="D5" s="29">
        <v>7600</v>
      </c>
    </row>
    <row r="8" spans="1:7" x14ac:dyDescent="0.3">
      <c r="A8" s="24"/>
      <c r="B8" s="24" t="s">
        <v>75</v>
      </c>
      <c r="C8" s="24" t="s">
        <v>33</v>
      </c>
      <c r="D8" s="24" t="s">
        <v>76</v>
      </c>
      <c r="E8" s="24" t="s">
        <v>77</v>
      </c>
      <c r="F8" s="24" t="s">
        <v>78</v>
      </c>
      <c r="G8" s="24" t="s">
        <v>445</v>
      </c>
    </row>
    <row r="9" spans="1:7" x14ac:dyDescent="0.3">
      <c r="A9">
        <v>1</v>
      </c>
      <c r="B9" t="s">
        <v>79</v>
      </c>
      <c r="C9" t="s">
        <v>80</v>
      </c>
      <c r="D9">
        <v>1</v>
      </c>
      <c r="E9" s="29">
        <v>627</v>
      </c>
      <c r="F9" s="29">
        <f>D9*E9</f>
        <v>627</v>
      </c>
      <c r="G9" s="3">
        <v>1</v>
      </c>
    </row>
    <row r="10" spans="1:7" x14ac:dyDescent="0.3">
      <c r="A10">
        <v>2</v>
      </c>
      <c r="B10" t="s">
        <v>81</v>
      </c>
      <c r="C10" t="s">
        <v>82</v>
      </c>
      <c r="D10">
        <v>1</v>
      </c>
      <c r="E10" s="29">
        <v>214.5</v>
      </c>
      <c r="F10" s="29">
        <f t="shared" ref="F10:F25" si="0">D10*E10</f>
        <v>214.5</v>
      </c>
      <c r="G10" s="3">
        <v>1</v>
      </c>
    </row>
    <row r="11" spans="1:7" x14ac:dyDescent="0.3">
      <c r="A11">
        <v>3</v>
      </c>
      <c r="B11" t="s">
        <v>83</v>
      </c>
      <c r="C11" t="s">
        <v>84</v>
      </c>
      <c r="D11">
        <v>4</v>
      </c>
      <c r="E11" s="29">
        <v>20</v>
      </c>
      <c r="F11" s="29">
        <f t="shared" si="0"/>
        <v>80</v>
      </c>
      <c r="G11" s="3">
        <v>1</v>
      </c>
    </row>
    <row r="12" spans="1:7" x14ac:dyDescent="0.3">
      <c r="A12">
        <v>4</v>
      </c>
      <c r="B12" t="s">
        <v>85</v>
      </c>
      <c r="C12" t="s">
        <v>86</v>
      </c>
      <c r="D12">
        <v>1</v>
      </c>
      <c r="E12" s="29">
        <v>257</v>
      </c>
      <c r="F12" s="29">
        <f t="shared" si="0"/>
        <v>257</v>
      </c>
      <c r="G12" s="3">
        <v>1</v>
      </c>
    </row>
    <row r="13" spans="1:7" x14ac:dyDescent="0.3">
      <c r="A13">
        <v>5</v>
      </c>
      <c r="B13" t="s">
        <v>87</v>
      </c>
      <c r="C13" t="s">
        <v>88</v>
      </c>
      <c r="D13">
        <v>1</v>
      </c>
      <c r="E13" s="29">
        <v>214.5</v>
      </c>
      <c r="F13" s="29">
        <f t="shared" si="0"/>
        <v>214.5</v>
      </c>
      <c r="G13" s="3">
        <v>1</v>
      </c>
    </row>
    <row r="14" spans="1:7" x14ac:dyDescent="0.3">
      <c r="A14">
        <v>6</v>
      </c>
      <c r="B14" t="s">
        <v>89</v>
      </c>
      <c r="C14" t="s">
        <v>90</v>
      </c>
      <c r="D14">
        <v>1</v>
      </c>
      <c r="E14" s="29">
        <v>0.49</v>
      </c>
      <c r="F14" s="29">
        <f t="shared" si="0"/>
        <v>0.49</v>
      </c>
      <c r="G14" s="3">
        <v>1</v>
      </c>
    </row>
    <row r="15" spans="1:7" x14ac:dyDescent="0.3">
      <c r="A15">
        <v>7</v>
      </c>
      <c r="B15" t="s">
        <v>91</v>
      </c>
      <c r="C15" t="s">
        <v>92</v>
      </c>
      <c r="D15">
        <v>1</v>
      </c>
      <c r="E15" s="29">
        <v>0.46</v>
      </c>
      <c r="F15" s="29">
        <f t="shared" si="0"/>
        <v>0.46</v>
      </c>
      <c r="G15" s="3">
        <v>1</v>
      </c>
    </row>
    <row r="16" spans="1:7" x14ac:dyDescent="0.3">
      <c r="A16">
        <v>8</v>
      </c>
      <c r="B16" t="s">
        <v>93</v>
      </c>
      <c r="C16" t="s">
        <v>94</v>
      </c>
      <c r="D16">
        <v>1</v>
      </c>
      <c r="E16" s="29">
        <v>0.84</v>
      </c>
      <c r="F16" s="29">
        <f t="shared" si="0"/>
        <v>0.84</v>
      </c>
      <c r="G16" s="3">
        <v>1</v>
      </c>
    </row>
    <row r="17" spans="1:7" x14ac:dyDescent="0.3">
      <c r="A17">
        <v>9</v>
      </c>
      <c r="B17" t="s">
        <v>95</v>
      </c>
      <c r="C17" t="s">
        <v>96</v>
      </c>
      <c r="D17">
        <v>1</v>
      </c>
      <c r="E17" s="29">
        <v>12.92</v>
      </c>
      <c r="F17" s="29">
        <f t="shared" si="0"/>
        <v>12.92</v>
      </c>
      <c r="G17" s="3">
        <v>1</v>
      </c>
    </row>
    <row r="18" spans="1:7" x14ac:dyDescent="0.3">
      <c r="A18">
        <v>10</v>
      </c>
      <c r="B18" t="s">
        <v>97</v>
      </c>
      <c r="C18" t="s">
        <v>98</v>
      </c>
      <c r="D18">
        <v>4</v>
      </c>
      <c r="E18" s="29">
        <v>0.68</v>
      </c>
      <c r="F18" s="29">
        <f t="shared" si="0"/>
        <v>2.72</v>
      </c>
      <c r="G18" s="3">
        <v>1</v>
      </c>
    </row>
    <row r="19" spans="1:7" x14ac:dyDescent="0.3">
      <c r="A19">
        <v>11</v>
      </c>
      <c r="B19" t="s">
        <v>99</v>
      </c>
      <c r="C19" t="s">
        <v>100</v>
      </c>
      <c r="D19">
        <v>1</v>
      </c>
      <c r="E19" s="29">
        <v>0.84</v>
      </c>
      <c r="F19" s="29">
        <f t="shared" si="0"/>
        <v>0.84</v>
      </c>
      <c r="G19" s="3">
        <v>0.8</v>
      </c>
    </row>
    <row r="20" spans="1:7" x14ac:dyDescent="0.3">
      <c r="A20">
        <v>12</v>
      </c>
      <c r="B20" t="s">
        <v>101</v>
      </c>
      <c r="C20" t="s">
        <v>102</v>
      </c>
      <c r="D20">
        <v>1</v>
      </c>
      <c r="E20" s="29">
        <v>3.84</v>
      </c>
      <c r="F20" s="29">
        <f t="shared" si="0"/>
        <v>3.84</v>
      </c>
      <c r="G20" s="3">
        <v>1</v>
      </c>
    </row>
    <row r="21" spans="1:7" x14ac:dyDescent="0.3">
      <c r="A21">
        <v>13</v>
      </c>
      <c r="B21" t="s">
        <v>103</v>
      </c>
      <c r="C21" t="s">
        <v>104</v>
      </c>
      <c r="D21">
        <v>4</v>
      </c>
      <c r="E21" s="29">
        <v>3.62</v>
      </c>
      <c r="F21" s="29">
        <f t="shared" si="0"/>
        <v>14.48</v>
      </c>
      <c r="G21" s="3">
        <v>1</v>
      </c>
    </row>
    <row r="22" spans="1:7" x14ac:dyDescent="0.3">
      <c r="A22">
        <v>14</v>
      </c>
      <c r="B22" t="s">
        <v>105</v>
      </c>
      <c r="C22" t="s">
        <v>106</v>
      </c>
      <c r="D22">
        <v>4</v>
      </c>
      <c r="E22" s="29">
        <v>1.49</v>
      </c>
      <c r="F22" s="29">
        <f t="shared" si="0"/>
        <v>5.96</v>
      </c>
      <c r="G22" s="3">
        <v>1</v>
      </c>
    </row>
    <row r="23" spans="1:7" x14ac:dyDescent="0.3">
      <c r="A23">
        <v>15</v>
      </c>
      <c r="B23" t="s">
        <v>107</v>
      </c>
      <c r="C23" t="s">
        <v>108</v>
      </c>
      <c r="D23">
        <v>1</v>
      </c>
      <c r="E23" s="29">
        <v>4.4800000000000004</v>
      </c>
      <c r="F23" s="29">
        <f t="shared" si="0"/>
        <v>4.4800000000000004</v>
      </c>
      <c r="G23" s="3">
        <v>1</v>
      </c>
    </row>
    <row r="24" spans="1:7" x14ac:dyDescent="0.3">
      <c r="A24">
        <v>16</v>
      </c>
      <c r="B24" t="s">
        <v>109</v>
      </c>
      <c r="C24" t="s">
        <v>110</v>
      </c>
      <c r="D24">
        <v>1</v>
      </c>
      <c r="E24" s="29">
        <v>181</v>
      </c>
      <c r="F24" s="29">
        <f t="shared" si="0"/>
        <v>181</v>
      </c>
      <c r="G24" s="3">
        <v>1</v>
      </c>
    </row>
    <row r="25" spans="1:7" x14ac:dyDescent="0.3">
      <c r="A25">
        <v>17</v>
      </c>
      <c r="B25" t="s">
        <v>111</v>
      </c>
      <c r="C25" t="s">
        <v>112</v>
      </c>
      <c r="D25">
        <v>1</v>
      </c>
      <c r="E25" s="29">
        <v>4500</v>
      </c>
      <c r="F25" s="29">
        <f t="shared" si="0"/>
        <v>4500</v>
      </c>
      <c r="G25" s="3">
        <v>1</v>
      </c>
    </row>
    <row r="26" spans="1:7" x14ac:dyDescent="0.3">
      <c r="F26" s="29">
        <f>SUM(F9:F25)</f>
        <v>6121.03</v>
      </c>
    </row>
  </sheetData>
  <pageMargins left="0.7" right="0.7" top="0.75" bottom="0.75" header="0.3" footer="0.3"/>
  <pageSetup paperSize="9" orientation="portrait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44FA2-4EE4-4682-8C9E-8DDD1911FD1E}">
  <dimension ref="B2:M85"/>
  <sheetViews>
    <sheetView topLeftCell="A8" workbookViewId="0">
      <selection activeCell="C11" sqref="C11:M23"/>
    </sheetView>
  </sheetViews>
  <sheetFormatPr baseColWidth="10" defaultColWidth="11.44140625" defaultRowHeight="14.4" x14ac:dyDescent="0.3"/>
  <cols>
    <col min="1" max="16384" width="11.44140625" style="30"/>
  </cols>
  <sheetData>
    <row r="2" spans="2:13" x14ac:dyDescent="0.3">
      <c r="B2" s="30" t="s">
        <v>115</v>
      </c>
    </row>
    <row r="7" spans="2:13" x14ac:dyDescent="0.3">
      <c r="B7" s="31"/>
      <c r="C7" s="31"/>
      <c r="D7" s="31"/>
      <c r="E7" s="31"/>
      <c r="F7" s="31"/>
      <c r="G7" s="31"/>
      <c r="H7" s="31"/>
      <c r="I7" s="31"/>
      <c r="J7" s="31"/>
      <c r="K7" s="31"/>
    </row>
    <row r="8" spans="2:13" x14ac:dyDescent="0.3">
      <c r="B8" s="31" t="s">
        <v>116</v>
      </c>
      <c r="C8" s="31"/>
      <c r="D8" s="31"/>
      <c r="E8" s="31"/>
      <c r="F8" s="31"/>
      <c r="G8" s="31"/>
      <c r="H8" s="31"/>
      <c r="I8" s="31"/>
      <c r="J8" s="31"/>
      <c r="K8" s="31"/>
    </row>
    <row r="9" spans="2:13" x14ac:dyDescent="0.3">
      <c r="B9" s="31" t="s">
        <v>117</v>
      </c>
      <c r="C9" s="31"/>
      <c r="D9" s="31"/>
      <c r="E9" s="31"/>
      <c r="F9" s="31"/>
      <c r="G9" s="31"/>
      <c r="H9" s="31"/>
      <c r="I9" s="31"/>
      <c r="J9" s="31"/>
      <c r="K9" s="31"/>
    </row>
    <row r="10" spans="2:13" x14ac:dyDescent="0.3">
      <c r="B10" s="31"/>
      <c r="C10" s="32">
        <v>2025</v>
      </c>
      <c r="D10" s="32">
        <f>C10+1</f>
        <v>2026</v>
      </c>
      <c r="E10" s="32">
        <f t="shared" ref="E10:M10" si="0">D10+1</f>
        <v>2027</v>
      </c>
      <c r="F10" s="32">
        <f t="shared" si="0"/>
        <v>2028</v>
      </c>
      <c r="G10" s="32">
        <f t="shared" si="0"/>
        <v>2029</v>
      </c>
      <c r="H10" s="32">
        <f t="shared" si="0"/>
        <v>2030</v>
      </c>
      <c r="I10" s="32">
        <f t="shared" si="0"/>
        <v>2031</v>
      </c>
      <c r="J10" s="32">
        <f t="shared" si="0"/>
        <v>2032</v>
      </c>
      <c r="K10" s="32">
        <f t="shared" si="0"/>
        <v>2033</v>
      </c>
      <c r="L10" s="32">
        <f t="shared" si="0"/>
        <v>2034</v>
      </c>
      <c r="M10" s="32">
        <f t="shared" si="0"/>
        <v>2035</v>
      </c>
    </row>
    <row r="11" spans="2:13" x14ac:dyDescent="0.3">
      <c r="B11" s="31" t="s">
        <v>118</v>
      </c>
      <c r="C11" s="31">
        <v>2800000</v>
      </c>
      <c r="D11" s="31">
        <f t="shared" ref="D11:K23" si="1">C11</f>
        <v>2800000</v>
      </c>
      <c r="E11" s="31">
        <f t="shared" si="1"/>
        <v>2800000</v>
      </c>
      <c r="F11" s="31">
        <f t="shared" si="1"/>
        <v>2800000</v>
      </c>
      <c r="G11" s="31">
        <f t="shared" si="1"/>
        <v>2800000</v>
      </c>
      <c r="H11" s="31">
        <f t="shared" si="1"/>
        <v>2800000</v>
      </c>
      <c r="I11" s="31">
        <f t="shared" si="1"/>
        <v>2800000</v>
      </c>
      <c r="J11" s="31">
        <f t="shared" si="1"/>
        <v>2800000</v>
      </c>
      <c r="K11" s="31">
        <f t="shared" si="1"/>
        <v>2800000</v>
      </c>
      <c r="L11" s="31">
        <f t="shared" ref="L11:L23" si="2">K11</f>
        <v>2800000</v>
      </c>
      <c r="M11" s="31">
        <f t="shared" ref="M11:M23" si="3">L11</f>
        <v>2800000</v>
      </c>
    </row>
    <row r="12" spans="2:13" x14ac:dyDescent="0.3">
      <c r="B12" s="31" t="s">
        <v>119</v>
      </c>
      <c r="C12" s="31">
        <v>112000</v>
      </c>
      <c r="D12" s="31">
        <f t="shared" si="1"/>
        <v>112000</v>
      </c>
      <c r="E12" s="31">
        <f t="shared" si="1"/>
        <v>112000</v>
      </c>
      <c r="F12" s="31">
        <f t="shared" si="1"/>
        <v>112000</v>
      </c>
      <c r="G12" s="31">
        <f t="shared" si="1"/>
        <v>112000</v>
      </c>
      <c r="H12" s="31">
        <f t="shared" si="1"/>
        <v>112000</v>
      </c>
      <c r="I12" s="31">
        <f t="shared" si="1"/>
        <v>112000</v>
      </c>
      <c r="J12" s="31">
        <f t="shared" si="1"/>
        <v>112000</v>
      </c>
      <c r="K12" s="31">
        <f>J12</f>
        <v>112000</v>
      </c>
      <c r="L12" s="31">
        <f t="shared" si="2"/>
        <v>112000</v>
      </c>
      <c r="M12" s="31">
        <f t="shared" si="3"/>
        <v>112000</v>
      </c>
    </row>
    <row r="13" spans="2:13" x14ac:dyDescent="0.3">
      <c r="B13" s="31" t="s">
        <v>120</v>
      </c>
      <c r="C13" s="31">
        <v>112000</v>
      </c>
      <c r="D13" s="31">
        <f t="shared" si="1"/>
        <v>112000</v>
      </c>
      <c r="E13" s="31">
        <f t="shared" si="1"/>
        <v>112000</v>
      </c>
      <c r="F13" s="31">
        <f t="shared" si="1"/>
        <v>112000</v>
      </c>
      <c r="G13" s="31">
        <f t="shared" si="1"/>
        <v>112000</v>
      </c>
      <c r="H13" s="31">
        <f t="shared" si="1"/>
        <v>112000</v>
      </c>
      <c r="I13" s="31">
        <f t="shared" si="1"/>
        <v>112000</v>
      </c>
      <c r="J13" s="31">
        <f t="shared" si="1"/>
        <v>112000</v>
      </c>
      <c r="K13" s="31">
        <f t="shared" si="1"/>
        <v>112000</v>
      </c>
      <c r="L13" s="31">
        <f t="shared" si="2"/>
        <v>112000</v>
      </c>
      <c r="M13" s="31">
        <f t="shared" si="3"/>
        <v>112000</v>
      </c>
    </row>
    <row r="14" spans="2:13" x14ac:dyDescent="0.3">
      <c r="B14" s="31" t="s">
        <v>121</v>
      </c>
      <c r="C14" s="31">
        <v>112000</v>
      </c>
      <c r="D14" s="31">
        <f t="shared" si="1"/>
        <v>112000</v>
      </c>
      <c r="E14" s="31">
        <f t="shared" si="1"/>
        <v>112000</v>
      </c>
      <c r="F14" s="31">
        <f t="shared" si="1"/>
        <v>112000</v>
      </c>
      <c r="G14" s="31">
        <f t="shared" si="1"/>
        <v>112000</v>
      </c>
      <c r="H14" s="31">
        <f t="shared" si="1"/>
        <v>112000</v>
      </c>
      <c r="I14" s="31">
        <f t="shared" si="1"/>
        <v>112000</v>
      </c>
      <c r="J14" s="31">
        <f t="shared" si="1"/>
        <v>112000</v>
      </c>
      <c r="K14" s="31">
        <f t="shared" si="1"/>
        <v>112000</v>
      </c>
      <c r="L14" s="31">
        <f t="shared" si="2"/>
        <v>112000</v>
      </c>
      <c r="M14" s="31">
        <f t="shared" si="3"/>
        <v>112000</v>
      </c>
    </row>
    <row r="15" spans="2:13" x14ac:dyDescent="0.3">
      <c r="B15" s="31" t="s">
        <v>122</v>
      </c>
      <c r="C15" s="31">
        <v>112000</v>
      </c>
      <c r="D15" s="31">
        <f t="shared" si="1"/>
        <v>112000</v>
      </c>
      <c r="E15" s="31">
        <f t="shared" si="1"/>
        <v>112000</v>
      </c>
      <c r="F15" s="31">
        <f t="shared" si="1"/>
        <v>112000</v>
      </c>
      <c r="G15" s="31">
        <f t="shared" si="1"/>
        <v>112000</v>
      </c>
      <c r="H15" s="31">
        <f t="shared" si="1"/>
        <v>112000</v>
      </c>
      <c r="I15" s="31">
        <f t="shared" si="1"/>
        <v>112000</v>
      </c>
      <c r="J15" s="31">
        <f t="shared" si="1"/>
        <v>112000</v>
      </c>
      <c r="K15" s="31">
        <f t="shared" si="1"/>
        <v>112000</v>
      </c>
      <c r="L15" s="31">
        <f t="shared" si="2"/>
        <v>112000</v>
      </c>
      <c r="M15" s="31">
        <f t="shared" si="3"/>
        <v>112000</v>
      </c>
    </row>
    <row r="16" spans="2:13" x14ac:dyDescent="0.3">
      <c r="B16" s="31" t="s">
        <v>123</v>
      </c>
      <c r="C16" s="31">
        <v>112000</v>
      </c>
      <c r="D16" s="31">
        <f t="shared" si="1"/>
        <v>112000</v>
      </c>
      <c r="E16" s="31">
        <f t="shared" si="1"/>
        <v>112000</v>
      </c>
      <c r="F16" s="31">
        <f t="shared" si="1"/>
        <v>112000</v>
      </c>
      <c r="G16" s="31">
        <f t="shared" si="1"/>
        <v>112000</v>
      </c>
      <c r="H16" s="31">
        <f t="shared" si="1"/>
        <v>112000</v>
      </c>
      <c r="I16" s="31">
        <f t="shared" si="1"/>
        <v>112000</v>
      </c>
      <c r="J16" s="31">
        <f t="shared" si="1"/>
        <v>112000</v>
      </c>
      <c r="K16" s="31">
        <f t="shared" si="1"/>
        <v>112000</v>
      </c>
      <c r="L16" s="31">
        <f t="shared" si="2"/>
        <v>112000</v>
      </c>
      <c r="M16" s="31">
        <f t="shared" si="3"/>
        <v>112000</v>
      </c>
    </row>
    <row r="17" spans="2:13" x14ac:dyDescent="0.3">
      <c r="B17" s="31" t="s">
        <v>124</v>
      </c>
      <c r="C17" s="31">
        <v>2400000</v>
      </c>
      <c r="D17" s="31">
        <f t="shared" si="1"/>
        <v>2400000</v>
      </c>
      <c r="E17" s="31">
        <f t="shared" si="1"/>
        <v>2400000</v>
      </c>
      <c r="F17" s="31">
        <f t="shared" si="1"/>
        <v>2400000</v>
      </c>
      <c r="G17" s="31">
        <f t="shared" si="1"/>
        <v>2400000</v>
      </c>
      <c r="H17" s="31">
        <f t="shared" si="1"/>
        <v>2400000</v>
      </c>
      <c r="I17" s="31">
        <f t="shared" si="1"/>
        <v>2400000</v>
      </c>
      <c r="J17" s="31">
        <f t="shared" si="1"/>
        <v>2400000</v>
      </c>
      <c r="K17" s="31">
        <f t="shared" si="1"/>
        <v>2400000</v>
      </c>
      <c r="L17" s="31">
        <f t="shared" si="2"/>
        <v>2400000</v>
      </c>
      <c r="M17" s="31">
        <f t="shared" si="3"/>
        <v>2400000</v>
      </c>
    </row>
    <row r="18" spans="2:13" x14ac:dyDescent="0.3">
      <c r="B18" s="31" t="s">
        <v>125</v>
      </c>
      <c r="C18" s="31">
        <v>2000000</v>
      </c>
      <c r="D18" s="31">
        <f t="shared" si="1"/>
        <v>2000000</v>
      </c>
      <c r="E18" s="31">
        <f t="shared" si="1"/>
        <v>2000000</v>
      </c>
      <c r="F18" s="31">
        <f t="shared" si="1"/>
        <v>2000000</v>
      </c>
      <c r="G18" s="31">
        <f t="shared" si="1"/>
        <v>2000000</v>
      </c>
      <c r="H18" s="31">
        <f t="shared" si="1"/>
        <v>2000000</v>
      </c>
      <c r="I18" s="31">
        <f t="shared" si="1"/>
        <v>2000000</v>
      </c>
      <c r="J18" s="31">
        <f t="shared" si="1"/>
        <v>2000000</v>
      </c>
      <c r="K18" s="31">
        <f t="shared" si="1"/>
        <v>2000000</v>
      </c>
      <c r="L18" s="31">
        <f t="shared" si="2"/>
        <v>2000000</v>
      </c>
      <c r="M18" s="31">
        <f t="shared" si="3"/>
        <v>2000000</v>
      </c>
    </row>
    <row r="19" spans="2:13" x14ac:dyDescent="0.3">
      <c r="B19" s="31" t="s">
        <v>126</v>
      </c>
      <c r="C19" s="31">
        <v>300000</v>
      </c>
      <c r="D19" s="31">
        <f t="shared" si="1"/>
        <v>300000</v>
      </c>
      <c r="E19" s="31">
        <f t="shared" si="1"/>
        <v>300000</v>
      </c>
      <c r="F19" s="31">
        <f t="shared" si="1"/>
        <v>300000</v>
      </c>
      <c r="G19" s="31">
        <f t="shared" si="1"/>
        <v>300000</v>
      </c>
      <c r="H19" s="31">
        <f t="shared" si="1"/>
        <v>300000</v>
      </c>
      <c r="I19" s="31">
        <f t="shared" si="1"/>
        <v>300000</v>
      </c>
      <c r="J19" s="31">
        <f t="shared" si="1"/>
        <v>300000</v>
      </c>
      <c r="K19" s="31">
        <f t="shared" si="1"/>
        <v>300000</v>
      </c>
      <c r="L19" s="31">
        <f t="shared" si="2"/>
        <v>300000</v>
      </c>
      <c r="M19" s="31">
        <f t="shared" si="3"/>
        <v>300000</v>
      </c>
    </row>
    <row r="20" spans="2:13" x14ac:dyDescent="0.3">
      <c r="B20" s="31" t="s">
        <v>127</v>
      </c>
      <c r="C20" s="31">
        <v>0</v>
      </c>
      <c r="D20" s="31">
        <f>C20</f>
        <v>0</v>
      </c>
      <c r="E20" s="31">
        <v>0</v>
      </c>
      <c r="F20" s="31">
        <f t="shared" si="1"/>
        <v>0</v>
      </c>
      <c r="G20" s="31">
        <f t="shared" si="1"/>
        <v>0</v>
      </c>
      <c r="H20" s="31">
        <f t="shared" si="1"/>
        <v>0</v>
      </c>
      <c r="I20" s="31">
        <f t="shared" si="1"/>
        <v>0</v>
      </c>
      <c r="J20" s="31">
        <f t="shared" si="1"/>
        <v>0</v>
      </c>
      <c r="K20" s="31">
        <f t="shared" si="1"/>
        <v>0</v>
      </c>
      <c r="L20" s="31">
        <f t="shared" si="2"/>
        <v>0</v>
      </c>
      <c r="M20" s="31">
        <f t="shared" si="3"/>
        <v>0</v>
      </c>
    </row>
    <row r="21" spans="2:13" x14ac:dyDescent="0.3">
      <c r="B21" s="31" t="s">
        <v>128</v>
      </c>
      <c r="C21" s="31">
        <v>0</v>
      </c>
      <c r="D21" s="31">
        <f>C21</f>
        <v>0</v>
      </c>
      <c r="E21" s="31">
        <f>D21</f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31">
        <f t="shared" si="1"/>
        <v>0</v>
      </c>
      <c r="K21" s="31">
        <f t="shared" si="1"/>
        <v>0</v>
      </c>
      <c r="L21" s="31">
        <f t="shared" si="2"/>
        <v>0</v>
      </c>
      <c r="M21" s="31">
        <f t="shared" si="3"/>
        <v>0</v>
      </c>
    </row>
    <row r="22" spans="2:13" x14ac:dyDescent="0.3">
      <c r="B22" s="31" t="s">
        <v>129</v>
      </c>
      <c r="C22" s="31">
        <v>0</v>
      </c>
      <c r="D22" s="31">
        <f>C22</f>
        <v>0</v>
      </c>
      <c r="E22" s="31">
        <f>D22</f>
        <v>0</v>
      </c>
      <c r="F22" s="31">
        <f t="shared" si="1"/>
        <v>0</v>
      </c>
      <c r="G22" s="31">
        <f t="shared" si="1"/>
        <v>0</v>
      </c>
      <c r="H22" s="31">
        <f t="shared" si="1"/>
        <v>0</v>
      </c>
      <c r="I22" s="31">
        <f t="shared" si="1"/>
        <v>0</v>
      </c>
      <c r="J22" s="31">
        <f t="shared" si="1"/>
        <v>0</v>
      </c>
      <c r="K22" s="31">
        <f t="shared" si="1"/>
        <v>0</v>
      </c>
      <c r="L22" s="31">
        <f t="shared" si="2"/>
        <v>0</v>
      </c>
      <c r="M22" s="31">
        <f t="shared" si="3"/>
        <v>0</v>
      </c>
    </row>
    <row r="23" spans="2:13" x14ac:dyDescent="0.3">
      <c r="B23" s="31" t="s">
        <v>130</v>
      </c>
      <c r="C23" s="31">
        <v>0</v>
      </c>
      <c r="D23" s="31">
        <f>C23</f>
        <v>0</v>
      </c>
      <c r="E23" s="31">
        <f>D23</f>
        <v>0</v>
      </c>
      <c r="F23" s="31">
        <f t="shared" si="1"/>
        <v>0</v>
      </c>
      <c r="G23" s="31">
        <f t="shared" si="1"/>
        <v>0</v>
      </c>
      <c r="H23" s="31">
        <f t="shared" si="1"/>
        <v>0</v>
      </c>
      <c r="I23" s="31">
        <f t="shared" si="1"/>
        <v>0</v>
      </c>
      <c r="J23" s="31">
        <f t="shared" si="1"/>
        <v>0</v>
      </c>
      <c r="K23" s="31">
        <f t="shared" si="1"/>
        <v>0</v>
      </c>
      <c r="L23" s="31">
        <f t="shared" si="2"/>
        <v>0</v>
      </c>
      <c r="M23" s="31">
        <f t="shared" si="3"/>
        <v>0</v>
      </c>
    </row>
    <row r="24" spans="2:13" x14ac:dyDescent="0.3">
      <c r="B24" s="31"/>
      <c r="C24" s="31"/>
      <c r="D24" s="31"/>
      <c r="E24" s="31"/>
      <c r="F24" s="31"/>
      <c r="G24" s="31"/>
      <c r="H24" s="31"/>
      <c r="I24" s="31"/>
      <c r="J24" s="31"/>
      <c r="K24" s="31"/>
    </row>
    <row r="25" spans="2:13" x14ac:dyDescent="0.3">
      <c r="B25" s="31" t="s">
        <v>17</v>
      </c>
      <c r="C25" s="31">
        <f>SUM(C11:C24)</f>
        <v>8060000</v>
      </c>
      <c r="D25" s="31">
        <f t="shared" ref="D25:J25" si="4">SUM(D11:D24)</f>
        <v>8060000</v>
      </c>
      <c r="E25" s="31">
        <f t="shared" si="4"/>
        <v>8060000</v>
      </c>
      <c r="F25" s="31">
        <f t="shared" si="4"/>
        <v>8060000</v>
      </c>
      <c r="G25" s="31">
        <f t="shared" si="4"/>
        <v>8060000</v>
      </c>
      <c r="H25" s="31">
        <f t="shared" si="4"/>
        <v>8060000</v>
      </c>
      <c r="I25" s="31">
        <f t="shared" si="4"/>
        <v>8060000</v>
      </c>
      <c r="J25" s="31">
        <f t="shared" si="4"/>
        <v>8060000</v>
      </c>
      <c r="K25" s="31">
        <f>SUM(K11:K24)</f>
        <v>8060000</v>
      </c>
      <c r="L25" s="31">
        <f t="shared" ref="L25:M25" si="5">SUM(L11:L24)</f>
        <v>8060000</v>
      </c>
      <c r="M25" s="31">
        <f t="shared" si="5"/>
        <v>8060000</v>
      </c>
    </row>
    <row r="26" spans="2:13" x14ac:dyDescent="0.3">
      <c r="B26" s="31" t="s">
        <v>132</v>
      </c>
      <c r="C26" s="31">
        <f>C25*Premisas!B28</f>
        <v>806000</v>
      </c>
      <c r="D26" s="31">
        <f>D25*Premisas!C28</f>
        <v>806000</v>
      </c>
      <c r="E26" s="31">
        <f>E25*Premisas!D28</f>
        <v>806000</v>
      </c>
      <c r="F26" s="31">
        <f>F25*Premisas!E28</f>
        <v>806000</v>
      </c>
      <c r="G26" s="31">
        <f>G25*Premisas!F28</f>
        <v>806000</v>
      </c>
      <c r="H26" s="31">
        <f>H25*Premisas!G28</f>
        <v>806000</v>
      </c>
      <c r="I26" s="31">
        <f>I25*Premisas!H28</f>
        <v>806000</v>
      </c>
      <c r="J26" s="31">
        <f>J25*Premisas!I28</f>
        <v>806000</v>
      </c>
      <c r="K26" s="31">
        <f>K25*Premisas!J28</f>
        <v>806000</v>
      </c>
      <c r="L26" s="31">
        <f>L25*Premisas!K28</f>
        <v>806000</v>
      </c>
      <c r="M26" s="31">
        <f>M25*Premisas!L28</f>
        <v>806000</v>
      </c>
    </row>
    <row r="28" spans="2:13" x14ac:dyDescent="0.3">
      <c r="B28" s="31" t="s">
        <v>133</v>
      </c>
      <c r="C28" s="31"/>
      <c r="D28" s="31"/>
      <c r="E28" s="31"/>
      <c r="F28" s="31"/>
      <c r="G28" s="31"/>
      <c r="H28" s="31"/>
      <c r="I28" s="31"/>
      <c r="J28" s="31"/>
      <c r="K28" s="31"/>
    </row>
    <row r="29" spans="2:13" x14ac:dyDescent="0.3">
      <c r="B29" s="31"/>
      <c r="C29" s="32">
        <v>2025</v>
      </c>
      <c r="D29" s="32">
        <v>2025</v>
      </c>
      <c r="E29" s="32">
        <v>2026</v>
      </c>
      <c r="F29" s="32">
        <v>2027</v>
      </c>
      <c r="G29" s="32">
        <v>2028</v>
      </c>
      <c r="H29" s="32">
        <v>2029</v>
      </c>
      <c r="I29" s="32">
        <v>2030</v>
      </c>
      <c r="J29" s="32">
        <v>2031</v>
      </c>
      <c r="K29" s="32">
        <v>2032</v>
      </c>
      <c r="L29" s="32">
        <v>2033</v>
      </c>
      <c r="M29" s="32">
        <v>2034</v>
      </c>
    </row>
    <row r="30" spans="2:13" x14ac:dyDescent="0.3">
      <c r="B30" s="31" t="s">
        <v>134</v>
      </c>
      <c r="C30" s="31">
        <v>300000</v>
      </c>
      <c r="D30" s="31">
        <f t="shared" ref="D30:M44" si="6">C30</f>
        <v>300000</v>
      </c>
      <c r="E30" s="31">
        <f t="shared" si="6"/>
        <v>300000</v>
      </c>
      <c r="F30" s="31">
        <f t="shared" si="6"/>
        <v>300000</v>
      </c>
      <c r="G30" s="31">
        <f t="shared" si="6"/>
        <v>300000</v>
      </c>
      <c r="H30" s="31">
        <f t="shared" si="6"/>
        <v>300000</v>
      </c>
      <c r="I30" s="31">
        <f t="shared" si="6"/>
        <v>300000</v>
      </c>
      <c r="J30" s="31">
        <f t="shared" si="6"/>
        <v>300000</v>
      </c>
      <c r="K30" s="31">
        <f t="shared" si="6"/>
        <v>300000</v>
      </c>
      <c r="L30" s="31">
        <f t="shared" si="6"/>
        <v>300000</v>
      </c>
      <c r="M30" s="31">
        <f t="shared" si="6"/>
        <v>300000</v>
      </c>
    </row>
    <row r="31" spans="2:13" x14ac:dyDescent="0.3">
      <c r="B31" s="31" t="s">
        <v>135</v>
      </c>
      <c r="C31" s="31">
        <v>70000</v>
      </c>
      <c r="D31" s="31">
        <f t="shared" si="6"/>
        <v>70000</v>
      </c>
      <c r="E31" s="31">
        <f t="shared" si="6"/>
        <v>70000</v>
      </c>
      <c r="F31" s="31">
        <f t="shared" si="6"/>
        <v>70000</v>
      </c>
      <c r="G31" s="31">
        <f t="shared" si="6"/>
        <v>70000</v>
      </c>
      <c r="H31" s="31">
        <f t="shared" si="6"/>
        <v>70000</v>
      </c>
      <c r="I31" s="31">
        <f t="shared" si="6"/>
        <v>70000</v>
      </c>
      <c r="J31" s="31">
        <f t="shared" si="6"/>
        <v>70000</v>
      </c>
      <c r="K31" s="31">
        <f t="shared" si="6"/>
        <v>70000</v>
      </c>
      <c r="L31" s="31">
        <f t="shared" si="6"/>
        <v>70000</v>
      </c>
      <c r="M31" s="31">
        <f t="shared" si="6"/>
        <v>70000</v>
      </c>
    </row>
    <row r="32" spans="2:13" x14ac:dyDescent="0.3">
      <c r="B32" s="31" t="s">
        <v>136</v>
      </c>
      <c r="C32" s="31">
        <v>70000</v>
      </c>
      <c r="D32" s="31">
        <f t="shared" si="6"/>
        <v>70000</v>
      </c>
      <c r="E32" s="31">
        <f t="shared" si="6"/>
        <v>70000</v>
      </c>
      <c r="F32" s="31">
        <f t="shared" si="6"/>
        <v>70000</v>
      </c>
      <c r="G32" s="31">
        <f t="shared" si="6"/>
        <v>70000</v>
      </c>
      <c r="H32" s="31">
        <f t="shared" si="6"/>
        <v>70000</v>
      </c>
      <c r="I32" s="31">
        <f t="shared" si="6"/>
        <v>70000</v>
      </c>
      <c r="J32" s="31">
        <f t="shared" si="6"/>
        <v>70000</v>
      </c>
      <c r="K32" s="31">
        <f t="shared" si="6"/>
        <v>70000</v>
      </c>
      <c r="L32" s="31">
        <f t="shared" si="6"/>
        <v>70000</v>
      </c>
      <c r="M32" s="31">
        <f t="shared" si="6"/>
        <v>70000</v>
      </c>
    </row>
    <row r="33" spans="2:13" x14ac:dyDescent="0.3">
      <c r="B33" s="31" t="s">
        <v>137</v>
      </c>
      <c r="C33" s="31">
        <v>0</v>
      </c>
      <c r="D33" s="31">
        <f t="shared" si="6"/>
        <v>0</v>
      </c>
      <c r="E33" s="31">
        <f t="shared" si="6"/>
        <v>0</v>
      </c>
      <c r="F33" s="31">
        <f t="shared" si="6"/>
        <v>0</v>
      </c>
      <c r="G33" s="31">
        <f t="shared" si="6"/>
        <v>0</v>
      </c>
      <c r="H33" s="31">
        <f t="shared" si="6"/>
        <v>0</v>
      </c>
      <c r="I33" s="31">
        <f t="shared" si="6"/>
        <v>0</v>
      </c>
      <c r="J33" s="31">
        <f t="shared" si="6"/>
        <v>0</v>
      </c>
      <c r="K33" s="31">
        <f t="shared" si="6"/>
        <v>0</v>
      </c>
      <c r="L33" s="31">
        <f t="shared" si="6"/>
        <v>0</v>
      </c>
      <c r="M33" s="31">
        <f t="shared" si="6"/>
        <v>0</v>
      </c>
    </row>
    <row r="34" spans="2:13" x14ac:dyDescent="0.3">
      <c r="B34" s="31" t="s">
        <v>138</v>
      </c>
      <c r="C34" s="31">
        <v>400000</v>
      </c>
      <c r="D34" s="31">
        <f t="shared" si="6"/>
        <v>400000</v>
      </c>
      <c r="E34" s="31">
        <f t="shared" si="6"/>
        <v>400000</v>
      </c>
      <c r="F34" s="31">
        <f t="shared" si="6"/>
        <v>400000</v>
      </c>
      <c r="G34" s="31">
        <f t="shared" si="6"/>
        <v>400000</v>
      </c>
      <c r="H34" s="31">
        <f t="shared" si="6"/>
        <v>400000</v>
      </c>
      <c r="I34" s="31">
        <f t="shared" si="6"/>
        <v>400000</v>
      </c>
      <c r="J34" s="31">
        <f t="shared" si="6"/>
        <v>400000</v>
      </c>
      <c r="K34" s="31">
        <f t="shared" si="6"/>
        <v>400000</v>
      </c>
      <c r="L34" s="31">
        <f t="shared" si="6"/>
        <v>400000</v>
      </c>
      <c r="M34" s="31">
        <f t="shared" si="6"/>
        <v>400000</v>
      </c>
    </row>
    <row r="35" spans="2:13" x14ac:dyDescent="0.3">
      <c r="B35" s="31" t="s">
        <v>139</v>
      </c>
      <c r="C35" s="31">
        <v>600000</v>
      </c>
      <c r="D35" s="31">
        <f t="shared" si="6"/>
        <v>600000</v>
      </c>
      <c r="E35" s="31">
        <f t="shared" si="6"/>
        <v>600000</v>
      </c>
      <c r="F35" s="31">
        <f t="shared" si="6"/>
        <v>600000</v>
      </c>
      <c r="G35" s="31">
        <f t="shared" si="6"/>
        <v>600000</v>
      </c>
      <c r="H35" s="31">
        <f t="shared" si="6"/>
        <v>600000</v>
      </c>
      <c r="I35" s="31">
        <f t="shared" si="6"/>
        <v>600000</v>
      </c>
      <c r="J35" s="31">
        <f t="shared" si="6"/>
        <v>600000</v>
      </c>
      <c r="K35" s="31">
        <f t="shared" si="6"/>
        <v>600000</v>
      </c>
      <c r="L35" s="31">
        <f t="shared" si="6"/>
        <v>600000</v>
      </c>
      <c r="M35" s="31">
        <f t="shared" si="6"/>
        <v>600000</v>
      </c>
    </row>
    <row r="36" spans="2:13" x14ac:dyDescent="0.3">
      <c r="B36" s="31" t="s">
        <v>140</v>
      </c>
      <c r="C36" s="31"/>
      <c r="D36" s="31">
        <f t="shared" si="6"/>
        <v>0</v>
      </c>
      <c r="E36" s="31">
        <f t="shared" si="6"/>
        <v>0</v>
      </c>
      <c r="F36" s="31">
        <f t="shared" si="6"/>
        <v>0</v>
      </c>
      <c r="G36" s="31">
        <f t="shared" si="6"/>
        <v>0</v>
      </c>
      <c r="H36" s="31">
        <f t="shared" si="6"/>
        <v>0</v>
      </c>
      <c r="I36" s="31">
        <f t="shared" si="6"/>
        <v>0</v>
      </c>
      <c r="J36" s="31">
        <f t="shared" si="6"/>
        <v>0</v>
      </c>
      <c r="K36" s="31">
        <f t="shared" si="6"/>
        <v>0</v>
      </c>
      <c r="L36" s="31">
        <f t="shared" si="6"/>
        <v>0</v>
      </c>
      <c r="M36" s="31">
        <f t="shared" si="6"/>
        <v>0</v>
      </c>
    </row>
    <row r="37" spans="2:13" x14ac:dyDescent="0.3">
      <c r="B37" s="31" t="s">
        <v>141</v>
      </c>
      <c r="C37" s="31">
        <v>0</v>
      </c>
      <c r="D37" s="31">
        <f t="shared" si="6"/>
        <v>0</v>
      </c>
      <c r="E37" s="31">
        <f t="shared" si="6"/>
        <v>0</v>
      </c>
      <c r="F37" s="31">
        <f t="shared" si="6"/>
        <v>0</v>
      </c>
      <c r="G37" s="31">
        <f t="shared" si="6"/>
        <v>0</v>
      </c>
      <c r="H37" s="31">
        <f t="shared" si="6"/>
        <v>0</v>
      </c>
      <c r="I37" s="31">
        <f t="shared" si="6"/>
        <v>0</v>
      </c>
      <c r="J37" s="31">
        <f t="shared" si="6"/>
        <v>0</v>
      </c>
      <c r="K37" s="31">
        <f t="shared" si="6"/>
        <v>0</v>
      </c>
      <c r="L37" s="31">
        <f t="shared" si="6"/>
        <v>0</v>
      </c>
      <c r="M37" s="31">
        <f t="shared" si="6"/>
        <v>0</v>
      </c>
    </row>
    <row r="38" spans="2:13" x14ac:dyDescent="0.3">
      <c r="B38" s="31" t="s">
        <v>142</v>
      </c>
      <c r="C38" s="31">
        <v>0</v>
      </c>
      <c r="D38" s="31">
        <f t="shared" si="6"/>
        <v>0</v>
      </c>
      <c r="E38" s="31">
        <f t="shared" si="6"/>
        <v>0</v>
      </c>
      <c r="F38" s="31">
        <f t="shared" si="6"/>
        <v>0</v>
      </c>
      <c r="G38" s="31">
        <f t="shared" si="6"/>
        <v>0</v>
      </c>
      <c r="H38" s="31">
        <f t="shared" si="6"/>
        <v>0</v>
      </c>
      <c r="I38" s="31">
        <f t="shared" si="6"/>
        <v>0</v>
      </c>
      <c r="J38" s="31">
        <f t="shared" si="6"/>
        <v>0</v>
      </c>
      <c r="K38" s="31">
        <f t="shared" si="6"/>
        <v>0</v>
      </c>
      <c r="L38" s="31">
        <f t="shared" si="6"/>
        <v>0</v>
      </c>
      <c r="M38" s="31">
        <f t="shared" si="6"/>
        <v>0</v>
      </c>
    </row>
    <row r="39" spans="2:13" x14ac:dyDescent="0.3">
      <c r="B39" s="31" t="s">
        <v>143</v>
      </c>
      <c r="C39" s="31">
        <v>0</v>
      </c>
      <c r="D39" s="31">
        <f t="shared" si="6"/>
        <v>0</v>
      </c>
      <c r="E39" s="31">
        <f t="shared" si="6"/>
        <v>0</v>
      </c>
      <c r="F39" s="31">
        <f t="shared" si="6"/>
        <v>0</v>
      </c>
      <c r="G39" s="31">
        <f t="shared" si="6"/>
        <v>0</v>
      </c>
      <c r="H39" s="31">
        <f t="shared" si="6"/>
        <v>0</v>
      </c>
      <c r="I39" s="31">
        <f t="shared" si="6"/>
        <v>0</v>
      </c>
      <c r="J39" s="31">
        <f t="shared" si="6"/>
        <v>0</v>
      </c>
      <c r="K39" s="31">
        <f t="shared" si="6"/>
        <v>0</v>
      </c>
      <c r="L39" s="31">
        <f t="shared" si="6"/>
        <v>0</v>
      </c>
      <c r="M39" s="31">
        <f t="shared" si="6"/>
        <v>0</v>
      </c>
    </row>
    <row r="40" spans="2:13" x14ac:dyDescent="0.3">
      <c r="B40" s="31" t="s">
        <v>144</v>
      </c>
      <c r="C40" s="31">
        <v>0</v>
      </c>
      <c r="D40" s="31">
        <f t="shared" si="6"/>
        <v>0</v>
      </c>
      <c r="E40" s="31">
        <f t="shared" si="6"/>
        <v>0</v>
      </c>
      <c r="F40" s="31">
        <f t="shared" si="6"/>
        <v>0</v>
      </c>
      <c r="G40" s="31">
        <f t="shared" si="6"/>
        <v>0</v>
      </c>
      <c r="H40" s="31">
        <f t="shared" si="6"/>
        <v>0</v>
      </c>
      <c r="I40" s="31">
        <f t="shared" si="6"/>
        <v>0</v>
      </c>
      <c r="J40" s="31">
        <f t="shared" si="6"/>
        <v>0</v>
      </c>
      <c r="K40" s="31">
        <f t="shared" si="6"/>
        <v>0</v>
      </c>
      <c r="L40" s="31">
        <f t="shared" si="6"/>
        <v>0</v>
      </c>
      <c r="M40" s="31">
        <f t="shared" si="6"/>
        <v>0</v>
      </c>
    </row>
    <row r="41" spans="2:13" x14ac:dyDescent="0.3">
      <c r="B41" s="31" t="s">
        <v>145</v>
      </c>
      <c r="C41" s="31">
        <v>0</v>
      </c>
      <c r="D41" s="31">
        <f t="shared" si="6"/>
        <v>0</v>
      </c>
      <c r="E41" s="31">
        <f t="shared" si="6"/>
        <v>0</v>
      </c>
      <c r="F41" s="31">
        <f t="shared" si="6"/>
        <v>0</v>
      </c>
      <c r="G41" s="31">
        <f t="shared" si="6"/>
        <v>0</v>
      </c>
      <c r="H41" s="31">
        <f t="shared" si="6"/>
        <v>0</v>
      </c>
      <c r="I41" s="31">
        <f t="shared" si="6"/>
        <v>0</v>
      </c>
      <c r="J41" s="31">
        <f t="shared" si="6"/>
        <v>0</v>
      </c>
      <c r="K41" s="31">
        <f t="shared" si="6"/>
        <v>0</v>
      </c>
      <c r="L41" s="31">
        <f t="shared" si="6"/>
        <v>0</v>
      </c>
      <c r="M41" s="31">
        <f t="shared" si="6"/>
        <v>0</v>
      </c>
    </row>
    <row r="42" spans="2:13" x14ac:dyDescent="0.3">
      <c r="B42" s="31" t="s">
        <v>146</v>
      </c>
      <c r="C42" s="31">
        <v>0</v>
      </c>
      <c r="D42" s="31">
        <f t="shared" si="6"/>
        <v>0</v>
      </c>
      <c r="E42" s="31">
        <f t="shared" si="6"/>
        <v>0</v>
      </c>
      <c r="F42" s="31">
        <f t="shared" si="6"/>
        <v>0</v>
      </c>
      <c r="G42" s="31">
        <f t="shared" si="6"/>
        <v>0</v>
      </c>
      <c r="H42" s="31">
        <f t="shared" si="6"/>
        <v>0</v>
      </c>
      <c r="I42" s="31">
        <f t="shared" si="6"/>
        <v>0</v>
      </c>
      <c r="J42" s="31">
        <f t="shared" si="6"/>
        <v>0</v>
      </c>
      <c r="K42" s="31">
        <f t="shared" si="6"/>
        <v>0</v>
      </c>
      <c r="L42" s="31">
        <f t="shared" si="6"/>
        <v>0</v>
      </c>
      <c r="M42" s="31">
        <f t="shared" si="6"/>
        <v>0</v>
      </c>
    </row>
    <row r="43" spans="2:13" x14ac:dyDescent="0.3">
      <c r="B43" s="31" t="s">
        <v>147</v>
      </c>
      <c r="C43" s="31">
        <v>0</v>
      </c>
      <c r="D43" s="31">
        <f t="shared" si="6"/>
        <v>0</v>
      </c>
      <c r="E43" s="31">
        <f t="shared" si="6"/>
        <v>0</v>
      </c>
      <c r="F43" s="31">
        <f t="shared" si="6"/>
        <v>0</v>
      </c>
      <c r="G43" s="31">
        <f t="shared" si="6"/>
        <v>0</v>
      </c>
      <c r="H43" s="31">
        <f t="shared" si="6"/>
        <v>0</v>
      </c>
      <c r="I43" s="31">
        <f t="shared" si="6"/>
        <v>0</v>
      </c>
      <c r="J43" s="31">
        <f t="shared" si="6"/>
        <v>0</v>
      </c>
      <c r="K43" s="31">
        <f t="shared" si="6"/>
        <v>0</v>
      </c>
      <c r="L43" s="31">
        <f t="shared" si="6"/>
        <v>0</v>
      </c>
      <c r="M43" s="31">
        <f t="shared" si="6"/>
        <v>0</v>
      </c>
    </row>
    <row r="44" spans="2:13" x14ac:dyDescent="0.3">
      <c r="B44" s="31" t="s">
        <v>148</v>
      </c>
      <c r="C44" s="31">
        <v>0</v>
      </c>
      <c r="D44" s="31">
        <f t="shared" si="6"/>
        <v>0</v>
      </c>
      <c r="E44" s="31">
        <f t="shared" si="6"/>
        <v>0</v>
      </c>
      <c r="F44" s="31">
        <f t="shared" si="6"/>
        <v>0</v>
      </c>
      <c r="G44" s="31">
        <f t="shared" si="6"/>
        <v>0</v>
      </c>
      <c r="H44" s="31">
        <f t="shared" si="6"/>
        <v>0</v>
      </c>
      <c r="I44" s="31">
        <f t="shared" si="6"/>
        <v>0</v>
      </c>
      <c r="J44" s="31">
        <f t="shared" si="6"/>
        <v>0</v>
      </c>
      <c r="K44" s="31">
        <f t="shared" si="6"/>
        <v>0</v>
      </c>
      <c r="L44" s="31">
        <f t="shared" si="6"/>
        <v>0</v>
      </c>
      <c r="M44" s="31">
        <f t="shared" si="6"/>
        <v>0</v>
      </c>
    </row>
    <row r="45" spans="2:13" x14ac:dyDescent="0.3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2:13" x14ac:dyDescent="0.3">
      <c r="B46" s="31" t="s">
        <v>131</v>
      </c>
      <c r="C46" s="31">
        <f t="shared" ref="C46:K46" si="7">SUM(C30:C45)</f>
        <v>1440000</v>
      </c>
      <c r="D46" s="31">
        <f t="shared" si="7"/>
        <v>1440000</v>
      </c>
      <c r="E46" s="31">
        <f t="shared" si="7"/>
        <v>1440000</v>
      </c>
      <c r="F46" s="31">
        <f t="shared" si="7"/>
        <v>1440000</v>
      </c>
      <c r="G46" s="31">
        <f t="shared" si="7"/>
        <v>1440000</v>
      </c>
      <c r="H46" s="31">
        <f t="shared" si="7"/>
        <v>1440000</v>
      </c>
      <c r="I46" s="31">
        <f t="shared" si="7"/>
        <v>1440000</v>
      </c>
      <c r="J46" s="31">
        <f t="shared" si="7"/>
        <v>1440000</v>
      </c>
      <c r="K46" s="31">
        <f t="shared" si="7"/>
        <v>1440000</v>
      </c>
      <c r="L46" s="31">
        <f t="shared" ref="L46:M46" si="8">SUM(L30:L45)</f>
        <v>1440000</v>
      </c>
      <c r="M46" s="31">
        <f t="shared" si="8"/>
        <v>1440000</v>
      </c>
    </row>
    <row r="47" spans="2:13" x14ac:dyDescent="0.3">
      <c r="B47" s="31" t="s">
        <v>132</v>
      </c>
      <c r="C47" s="31">
        <f>C46*Premisas!B29</f>
        <v>288000</v>
      </c>
      <c r="D47" s="31">
        <f>D46*Premisas!C29</f>
        <v>288000</v>
      </c>
      <c r="E47" s="31">
        <f>E46*Premisas!D29</f>
        <v>288000</v>
      </c>
      <c r="F47" s="31">
        <f>F46*Premisas!E29</f>
        <v>288000</v>
      </c>
      <c r="G47" s="31">
        <f>G46*Premisas!F29</f>
        <v>288000</v>
      </c>
      <c r="H47" s="31">
        <f>H46*Premisas!G29</f>
        <v>288000</v>
      </c>
      <c r="I47" s="31">
        <f>I46*Premisas!H29</f>
        <v>288000</v>
      </c>
      <c r="J47" s="31">
        <f>J46*Premisas!I29</f>
        <v>288000</v>
      </c>
      <c r="K47" s="31">
        <f>K46*Premisas!J29</f>
        <v>288000</v>
      </c>
      <c r="L47" s="31">
        <f>L46*Premisas!K29</f>
        <v>288000</v>
      </c>
      <c r="M47" s="31">
        <f>M46*Premisas!L29</f>
        <v>288000</v>
      </c>
    </row>
    <row r="50" spans="2:13" x14ac:dyDescent="0.3">
      <c r="B50" s="31" t="s">
        <v>116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3" x14ac:dyDescent="0.3">
      <c r="B51" s="31" t="s">
        <v>149</v>
      </c>
      <c r="C51" s="31"/>
      <c r="D51" s="31"/>
      <c r="E51" s="31"/>
      <c r="F51" s="31"/>
      <c r="G51" s="31"/>
      <c r="H51" s="31"/>
      <c r="I51" s="31"/>
      <c r="J51" s="31"/>
      <c r="K51" s="31"/>
    </row>
    <row r="52" spans="2:13" x14ac:dyDescent="0.3">
      <c r="B52" s="31"/>
      <c r="C52" s="32">
        <v>2025</v>
      </c>
      <c r="D52" s="32">
        <v>2025</v>
      </c>
      <c r="E52" s="32">
        <v>2026</v>
      </c>
      <c r="F52" s="32">
        <v>2027</v>
      </c>
      <c r="G52" s="32">
        <v>2028</v>
      </c>
      <c r="H52" s="32">
        <v>2029</v>
      </c>
      <c r="I52" s="32">
        <v>2030</v>
      </c>
      <c r="J52" s="32">
        <v>2031</v>
      </c>
      <c r="K52" s="32">
        <v>2032</v>
      </c>
      <c r="L52" s="32">
        <v>2033</v>
      </c>
      <c r="M52" s="32">
        <v>2034</v>
      </c>
    </row>
    <row r="53" spans="2:13" x14ac:dyDescent="0.3">
      <c r="B53" s="31" t="s">
        <v>150</v>
      </c>
      <c r="C53" s="31">
        <v>5800000</v>
      </c>
      <c r="D53" s="31">
        <f t="shared" ref="D53:M62" si="9">C53</f>
        <v>5800000</v>
      </c>
      <c r="E53" s="31">
        <f t="shared" si="9"/>
        <v>5800000</v>
      </c>
      <c r="F53" s="31">
        <f t="shared" si="9"/>
        <v>5800000</v>
      </c>
      <c r="G53" s="31">
        <f t="shared" si="9"/>
        <v>5800000</v>
      </c>
      <c r="H53" s="31">
        <f t="shared" si="9"/>
        <v>5800000</v>
      </c>
      <c r="I53" s="31">
        <f t="shared" si="9"/>
        <v>5800000</v>
      </c>
      <c r="J53" s="31">
        <f t="shared" si="9"/>
        <v>5800000</v>
      </c>
      <c r="K53" s="31">
        <f t="shared" si="9"/>
        <v>5800000</v>
      </c>
      <c r="L53" s="31">
        <f t="shared" si="9"/>
        <v>5800000</v>
      </c>
      <c r="M53" s="31">
        <f t="shared" si="9"/>
        <v>5800000</v>
      </c>
    </row>
    <row r="54" spans="2:13" x14ac:dyDescent="0.3">
      <c r="B54" s="31" t="s">
        <v>151</v>
      </c>
      <c r="C54" s="31">
        <v>112000</v>
      </c>
      <c r="D54" s="31">
        <f t="shared" si="9"/>
        <v>112000</v>
      </c>
      <c r="E54" s="31">
        <f t="shared" si="9"/>
        <v>112000</v>
      </c>
      <c r="F54" s="31">
        <f t="shared" si="9"/>
        <v>112000</v>
      </c>
      <c r="G54" s="31">
        <f t="shared" si="9"/>
        <v>112000</v>
      </c>
      <c r="H54" s="31">
        <f t="shared" si="9"/>
        <v>112000</v>
      </c>
      <c r="I54" s="31">
        <f t="shared" si="9"/>
        <v>112000</v>
      </c>
      <c r="J54" s="31">
        <f t="shared" si="9"/>
        <v>112000</v>
      </c>
      <c r="K54" s="31">
        <f t="shared" si="9"/>
        <v>112000</v>
      </c>
      <c r="L54" s="31">
        <f t="shared" si="9"/>
        <v>112000</v>
      </c>
      <c r="M54" s="31">
        <f t="shared" si="9"/>
        <v>112000</v>
      </c>
    </row>
    <row r="55" spans="2:13" x14ac:dyDescent="0.3">
      <c r="B55" s="31" t="s">
        <v>152</v>
      </c>
      <c r="C55" s="31">
        <v>45000</v>
      </c>
      <c r="D55" s="31">
        <f t="shared" si="9"/>
        <v>45000</v>
      </c>
      <c r="E55" s="31">
        <f t="shared" si="9"/>
        <v>45000</v>
      </c>
      <c r="F55" s="31">
        <f t="shared" si="9"/>
        <v>45000</v>
      </c>
      <c r="G55" s="31">
        <f t="shared" si="9"/>
        <v>45000</v>
      </c>
      <c r="H55" s="31">
        <f t="shared" si="9"/>
        <v>45000</v>
      </c>
      <c r="I55" s="31">
        <f t="shared" si="9"/>
        <v>45000</v>
      </c>
      <c r="J55" s="31">
        <f t="shared" si="9"/>
        <v>45000</v>
      </c>
      <c r="K55" s="31">
        <f t="shared" si="9"/>
        <v>45000</v>
      </c>
      <c r="L55" s="31">
        <f t="shared" si="9"/>
        <v>45000</v>
      </c>
      <c r="M55" s="31">
        <f t="shared" si="9"/>
        <v>45000</v>
      </c>
    </row>
    <row r="56" spans="2:13" x14ac:dyDescent="0.3">
      <c r="B56" s="31" t="s">
        <v>153</v>
      </c>
      <c r="C56" s="31">
        <v>96000</v>
      </c>
      <c r="D56" s="31">
        <f t="shared" si="9"/>
        <v>96000</v>
      </c>
      <c r="E56" s="31">
        <f t="shared" si="9"/>
        <v>96000</v>
      </c>
      <c r="F56" s="31">
        <f t="shared" si="9"/>
        <v>96000</v>
      </c>
      <c r="G56" s="31">
        <f t="shared" si="9"/>
        <v>96000</v>
      </c>
      <c r="H56" s="31">
        <f t="shared" si="9"/>
        <v>96000</v>
      </c>
      <c r="I56" s="31">
        <f t="shared" si="9"/>
        <v>96000</v>
      </c>
      <c r="J56" s="31">
        <f t="shared" si="9"/>
        <v>96000</v>
      </c>
      <c r="K56" s="31">
        <f t="shared" si="9"/>
        <v>96000</v>
      </c>
      <c r="L56" s="31">
        <f t="shared" si="9"/>
        <v>96000</v>
      </c>
      <c r="M56" s="31">
        <f t="shared" si="9"/>
        <v>96000</v>
      </c>
    </row>
    <row r="57" spans="2:13" x14ac:dyDescent="0.3">
      <c r="B57" s="31" t="s">
        <v>154</v>
      </c>
      <c r="C57" s="31">
        <v>0</v>
      </c>
      <c r="D57" s="31">
        <f t="shared" si="9"/>
        <v>0</v>
      </c>
      <c r="E57" s="31">
        <f t="shared" si="9"/>
        <v>0</v>
      </c>
      <c r="F57" s="31">
        <f t="shared" si="9"/>
        <v>0</v>
      </c>
      <c r="G57" s="31">
        <f t="shared" si="9"/>
        <v>0</v>
      </c>
      <c r="H57" s="31">
        <f t="shared" si="9"/>
        <v>0</v>
      </c>
      <c r="I57" s="31">
        <f t="shared" si="9"/>
        <v>0</v>
      </c>
      <c r="J57" s="31">
        <f t="shared" si="9"/>
        <v>0</v>
      </c>
      <c r="K57" s="31">
        <f t="shared" si="9"/>
        <v>0</v>
      </c>
      <c r="L57" s="31">
        <f t="shared" si="9"/>
        <v>0</v>
      </c>
      <c r="M57" s="31">
        <f t="shared" si="9"/>
        <v>0</v>
      </c>
    </row>
    <row r="58" spans="2:13" x14ac:dyDescent="0.3">
      <c r="B58" s="31" t="s">
        <v>155</v>
      </c>
      <c r="C58" s="31">
        <v>0</v>
      </c>
      <c r="D58" s="31">
        <f t="shared" si="9"/>
        <v>0</v>
      </c>
      <c r="E58" s="31">
        <f t="shared" si="9"/>
        <v>0</v>
      </c>
      <c r="F58" s="31">
        <f t="shared" si="9"/>
        <v>0</v>
      </c>
      <c r="G58" s="31">
        <f t="shared" si="9"/>
        <v>0</v>
      </c>
      <c r="H58" s="31">
        <f t="shared" si="9"/>
        <v>0</v>
      </c>
      <c r="I58" s="31">
        <f t="shared" si="9"/>
        <v>0</v>
      </c>
      <c r="J58" s="31">
        <f t="shared" si="9"/>
        <v>0</v>
      </c>
      <c r="K58" s="31">
        <f t="shared" si="9"/>
        <v>0</v>
      </c>
      <c r="L58" s="31">
        <f t="shared" si="9"/>
        <v>0</v>
      </c>
      <c r="M58" s="31">
        <f t="shared" si="9"/>
        <v>0</v>
      </c>
    </row>
    <row r="59" spans="2:13" x14ac:dyDescent="0.3">
      <c r="B59" s="31" t="s">
        <v>156</v>
      </c>
      <c r="C59" s="31">
        <v>0</v>
      </c>
      <c r="D59" s="31">
        <f>C59</f>
        <v>0</v>
      </c>
      <c r="E59" s="31">
        <v>0</v>
      </c>
      <c r="F59" s="31">
        <f t="shared" si="9"/>
        <v>0</v>
      </c>
      <c r="G59" s="31">
        <f t="shared" si="9"/>
        <v>0</v>
      </c>
      <c r="H59" s="31">
        <f t="shared" si="9"/>
        <v>0</v>
      </c>
      <c r="I59" s="31">
        <f t="shared" si="9"/>
        <v>0</v>
      </c>
      <c r="J59" s="31">
        <f t="shared" si="9"/>
        <v>0</v>
      </c>
      <c r="K59" s="31">
        <f t="shared" si="9"/>
        <v>0</v>
      </c>
      <c r="L59" s="31">
        <f t="shared" si="9"/>
        <v>0</v>
      </c>
      <c r="M59" s="31">
        <f t="shared" si="9"/>
        <v>0</v>
      </c>
    </row>
    <row r="60" spans="2:13" x14ac:dyDescent="0.3">
      <c r="B60" s="31" t="s">
        <v>157</v>
      </c>
      <c r="C60" s="31">
        <v>0</v>
      </c>
      <c r="D60" s="31">
        <f>C60</f>
        <v>0</v>
      </c>
      <c r="E60" s="31">
        <f>D60</f>
        <v>0</v>
      </c>
      <c r="F60" s="31">
        <f t="shared" si="9"/>
        <v>0</v>
      </c>
      <c r="G60" s="31">
        <f t="shared" si="9"/>
        <v>0</v>
      </c>
      <c r="H60" s="31">
        <f t="shared" si="9"/>
        <v>0</v>
      </c>
      <c r="I60" s="31">
        <f t="shared" si="9"/>
        <v>0</v>
      </c>
      <c r="J60" s="31">
        <f t="shared" si="9"/>
        <v>0</v>
      </c>
      <c r="K60" s="31">
        <f t="shared" si="9"/>
        <v>0</v>
      </c>
      <c r="L60" s="31">
        <f t="shared" si="9"/>
        <v>0</v>
      </c>
      <c r="M60" s="31">
        <f t="shared" si="9"/>
        <v>0</v>
      </c>
    </row>
    <row r="61" spans="2:13" x14ac:dyDescent="0.3">
      <c r="B61" s="31" t="s">
        <v>158</v>
      </c>
      <c r="C61" s="31">
        <v>0</v>
      </c>
      <c r="D61" s="31">
        <f>C61</f>
        <v>0</v>
      </c>
      <c r="E61" s="31">
        <f>D61</f>
        <v>0</v>
      </c>
      <c r="F61" s="31">
        <f t="shared" si="9"/>
        <v>0</v>
      </c>
      <c r="G61" s="31">
        <f t="shared" si="9"/>
        <v>0</v>
      </c>
      <c r="H61" s="31">
        <f t="shared" si="9"/>
        <v>0</v>
      </c>
      <c r="I61" s="31">
        <f t="shared" si="9"/>
        <v>0</v>
      </c>
      <c r="J61" s="31">
        <f t="shared" si="9"/>
        <v>0</v>
      </c>
      <c r="K61" s="31">
        <f t="shared" si="9"/>
        <v>0</v>
      </c>
      <c r="L61" s="31">
        <f t="shared" si="9"/>
        <v>0</v>
      </c>
      <c r="M61" s="31">
        <f t="shared" si="9"/>
        <v>0</v>
      </c>
    </row>
    <row r="62" spans="2:13" x14ac:dyDescent="0.3">
      <c r="B62" s="31" t="s">
        <v>159</v>
      </c>
      <c r="C62" s="31">
        <v>0</v>
      </c>
      <c r="D62" s="31">
        <f>C62</f>
        <v>0</v>
      </c>
      <c r="E62" s="31">
        <f>D62</f>
        <v>0</v>
      </c>
      <c r="F62" s="31">
        <f t="shared" si="9"/>
        <v>0</v>
      </c>
      <c r="G62" s="31">
        <f t="shared" si="9"/>
        <v>0</v>
      </c>
      <c r="H62" s="31">
        <f t="shared" si="9"/>
        <v>0</v>
      </c>
      <c r="I62" s="31">
        <f t="shared" si="9"/>
        <v>0</v>
      </c>
      <c r="J62" s="31">
        <f t="shared" si="9"/>
        <v>0</v>
      </c>
      <c r="K62" s="31">
        <f t="shared" si="9"/>
        <v>0</v>
      </c>
      <c r="L62" s="31">
        <f t="shared" si="9"/>
        <v>0</v>
      </c>
      <c r="M62" s="31">
        <f t="shared" si="9"/>
        <v>0</v>
      </c>
    </row>
    <row r="63" spans="2:13" x14ac:dyDescent="0.3">
      <c r="B63" s="31"/>
      <c r="C63" s="31"/>
      <c r="D63" s="31"/>
      <c r="E63" s="31"/>
      <c r="F63" s="31"/>
      <c r="G63" s="31"/>
      <c r="H63" s="31"/>
      <c r="I63" s="31"/>
      <c r="J63" s="31"/>
      <c r="K63" s="31"/>
    </row>
    <row r="64" spans="2:13" x14ac:dyDescent="0.3">
      <c r="B64" s="31" t="s">
        <v>131</v>
      </c>
      <c r="C64" s="31">
        <f t="shared" ref="C64:K64" si="10">SUM(C53:C63)</f>
        <v>6053000</v>
      </c>
      <c r="D64" s="31">
        <f t="shared" si="10"/>
        <v>6053000</v>
      </c>
      <c r="E64" s="31">
        <f t="shared" si="10"/>
        <v>6053000</v>
      </c>
      <c r="F64" s="31">
        <f t="shared" si="10"/>
        <v>6053000</v>
      </c>
      <c r="G64" s="31">
        <f t="shared" si="10"/>
        <v>6053000</v>
      </c>
      <c r="H64" s="31">
        <f t="shared" si="10"/>
        <v>6053000</v>
      </c>
      <c r="I64" s="31">
        <f t="shared" si="10"/>
        <v>6053000</v>
      </c>
      <c r="J64" s="31">
        <f t="shared" si="10"/>
        <v>6053000</v>
      </c>
      <c r="K64" s="31">
        <f t="shared" si="10"/>
        <v>6053000</v>
      </c>
      <c r="L64" s="31">
        <f t="shared" ref="L64:M64" si="11">SUM(L53:L63)</f>
        <v>6053000</v>
      </c>
      <c r="M64" s="31">
        <f t="shared" si="11"/>
        <v>6053000</v>
      </c>
    </row>
    <row r="65" spans="2:13" x14ac:dyDescent="0.3">
      <c r="B65" s="31" t="s">
        <v>132</v>
      </c>
      <c r="C65" s="31">
        <f>C64*Premisas!B27</f>
        <v>302650</v>
      </c>
      <c r="D65" s="31">
        <f>D64*Premisas!C27</f>
        <v>302650</v>
      </c>
      <c r="E65" s="31">
        <f>E64*Premisas!D27</f>
        <v>302650</v>
      </c>
      <c r="F65" s="31">
        <f>F64*Premisas!E27</f>
        <v>302650</v>
      </c>
      <c r="G65" s="31">
        <f>G64*Premisas!F27</f>
        <v>302650</v>
      </c>
      <c r="H65" s="31">
        <f>H64*Premisas!G27</f>
        <v>302650</v>
      </c>
      <c r="I65" s="31">
        <f>I64*Premisas!H27</f>
        <v>302650</v>
      </c>
      <c r="J65" s="31">
        <f>J64*Premisas!I27</f>
        <v>302650</v>
      </c>
      <c r="K65" s="31">
        <f>K64*Premisas!J27</f>
        <v>302650</v>
      </c>
      <c r="L65" s="31">
        <f>L64*Premisas!K27</f>
        <v>302650</v>
      </c>
      <c r="M65" s="31">
        <f>M64*Premisas!L27</f>
        <v>302650</v>
      </c>
    </row>
    <row r="68" spans="2:13" x14ac:dyDescent="0.3">
      <c r="B68" s="31" t="s">
        <v>116</v>
      </c>
      <c r="C68" s="31"/>
      <c r="D68" s="31"/>
      <c r="E68" s="31"/>
      <c r="F68" s="31"/>
      <c r="G68" s="31"/>
      <c r="H68" s="31"/>
      <c r="I68" s="31"/>
      <c r="J68" s="31"/>
      <c r="K68" s="31"/>
    </row>
    <row r="69" spans="2:13" x14ac:dyDescent="0.3">
      <c r="B69" s="31" t="s">
        <v>160</v>
      </c>
      <c r="C69" s="31"/>
      <c r="D69" s="31"/>
      <c r="E69" s="31"/>
      <c r="F69" s="31"/>
      <c r="G69" s="31"/>
      <c r="H69" s="31"/>
      <c r="I69" s="31"/>
      <c r="J69" s="31"/>
      <c r="K69" s="31"/>
    </row>
    <row r="70" spans="2:13" x14ac:dyDescent="0.3">
      <c r="B70" s="31"/>
      <c r="C70" s="32">
        <v>2025</v>
      </c>
      <c r="D70" s="32">
        <v>2025</v>
      </c>
      <c r="E70" s="32">
        <v>2026</v>
      </c>
      <c r="F70" s="32">
        <v>2027</v>
      </c>
      <c r="G70" s="32">
        <v>2028</v>
      </c>
      <c r="H70" s="32">
        <v>2029</v>
      </c>
      <c r="I70" s="32">
        <v>2030</v>
      </c>
      <c r="J70" s="32">
        <v>2031</v>
      </c>
      <c r="K70" s="32">
        <v>2032</v>
      </c>
      <c r="L70" s="32">
        <v>2033</v>
      </c>
      <c r="M70" s="32">
        <v>2034</v>
      </c>
    </row>
    <row r="71" spans="2:13" x14ac:dyDescent="0.3">
      <c r="B71" s="31" t="s">
        <v>161</v>
      </c>
      <c r="C71" s="31">
        <v>15500</v>
      </c>
      <c r="D71" s="31">
        <f t="shared" ref="D71:M82" si="12">C71</f>
        <v>15500</v>
      </c>
      <c r="E71" s="31">
        <f t="shared" si="12"/>
        <v>15500</v>
      </c>
      <c r="F71" s="31">
        <f t="shared" si="12"/>
        <v>15500</v>
      </c>
      <c r="G71" s="31">
        <f t="shared" si="12"/>
        <v>15500</v>
      </c>
      <c r="H71" s="31">
        <f t="shared" si="12"/>
        <v>15500</v>
      </c>
      <c r="I71" s="31">
        <f t="shared" si="12"/>
        <v>15500</v>
      </c>
      <c r="J71" s="31">
        <f t="shared" si="12"/>
        <v>15500</v>
      </c>
      <c r="K71" s="31">
        <f t="shared" si="12"/>
        <v>15500</v>
      </c>
      <c r="L71" s="31">
        <f t="shared" si="12"/>
        <v>15500</v>
      </c>
      <c r="M71" s="31">
        <f t="shared" si="12"/>
        <v>15500</v>
      </c>
    </row>
    <row r="72" spans="2:13" x14ac:dyDescent="0.3">
      <c r="B72" s="31" t="s">
        <v>161</v>
      </c>
      <c r="C72" s="31">
        <v>16500</v>
      </c>
      <c r="D72" s="31">
        <f t="shared" si="12"/>
        <v>16500</v>
      </c>
      <c r="E72" s="31">
        <f t="shared" si="12"/>
        <v>16500</v>
      </c>
      <c r="F72" s="31">
        <f t="shared" si="12"/>
        <v>16500</v>
      </c>
      <c r="G72" s="31">
        <f t="shared" si="12"/>
        <v>16500</v>
      </c>
      <c r="H72" s="31">
        <f t="shared" si="12"/>
        <v>16500</v>
      </c>
      <c r="I72" s="31">
        <f t="shared" si="12"/>
        <v>16500</v>
      </c>
      <c r="J72" s="31">
        <f t="shared" si="12"/>
        <v>16500</v>
      </c>
      <c r="K72" s="31">
        <f t="shared" si="12"/>
        <v>16500</v>
      </c>
      <c r="L72" s="31">
        <f t="shared" si="12"/>
        <v>16500</v>
      </c>
      <c r="M72" s="31">
        <f t="shared" si="12"/>
        <v>16500</v>
      </c>
    </row>
    <row r="73" spans="2:13" x14ac:dyDescent="0.3">
      <c r="B73" s="31" t="s">
        <v>161</v>
      </c>
      <c r="C73" s="31">
        <v>120000</v>
      </c>
      <c r="D73" s="31">
        <f t="shared" si="12"/>
        <v>120000</v>
      </c>
      <c r="E73" s="31">
        <f t="shared" si="12"/>
        <v>120000</v>
      </c>
      <c r="F73" s="31">
        <f t="shared" si="12"/>
        <v>120000</v>
      </c>
      <c r="G73" s="31">
        <f t="shared" si="12"/>
        <v>120000</v>
      </c>
      <c r="H73" s="31">
        <f t="shared" si="12"/>
        <v>120000</v>
      </c>
      <c r="I73" s="31">
        <f t="shared" si="12"/>
        <v>120000</v>
      </c>
      <c r="J73" s="31">
        <f t="shared" si="12"/>
        <v>120000</v>
      </c>
      <c r="K73" s="31">
        <f t="shared" si="12"/>
        <v>120000</v>
      </c>
      <c r="L73" s="31">
        <f t="shared" si="12"/>
        <v>120000</v>
      </c>
      <c r="M73" s="31">
        <f t="shared" si="12"/>
        <v>120000</v>
      </c>
    </row>
    <row r="74" spans="2:13" x14ac:dyDescent="0.3">
      <c r="B74" s="31" t="s">
        <v>161</v>
      </c>
      <c r="C74" s="31">
        <v>15400</v>
      </c>
      <c r="D74" s="31">
        <f t="shared" si="12"/>
        <v>15400</v>
      </c>
      <c r="E74" s="31">
        <f t="shared" si="12"/>
        <v>15400</v>
      </c>
      <c r="F74" s="31">
        <f t="shared" si="12"/>
        <v>15400</v>
      </c>
      <c r="G74" s="31">
        <f t="shared" si="12"/>
        <v>15400</v>
      </c>
      <c r="H74" s="31">
        <f t="shared" si="12"/>
        <v>15400</v>
      </c>
      <c r="I74" s="31">
        <f t="shared" si="12"/>
        <v>15400</v>
      </c>
      <c r="J74" s="31">
        <f t="shared" si="12"/>
        <v>15400</v>
      </c>
      <c r="K74" s="31">
        <f t="shared" si="12"/>
        <v>15400</v>
      </c>
      <c r="L74" s="31">
        <f t="shared" si="12"/>
        <v>15400</v>
      </c>
      <c r="M74" s="31">
        <f t="shared" si="12"/>
        <v>15400</v>
      </c>
    </row>
    <row r="75" spans="2:13" x14ac:dyDescent="0.3">
      <c r="B75" s="31" t="s">
        <v>161</v>
      </c>
      <c r="C75" s="31">
        <v>13450</v>
      </c>
      <c r="D75" s="31">
        <f t="shared" si="12"/>
        <v>13450</v>
      </c>
      <c r="E75" s="31">
        <f t="shared" si="12"/>
        <v>13450</v>
      </c>
      <c r="F75" s="31">
        <f t="shared" si="12"/>
        <v>13450</v>
      </c>
      <c r="G75" s="31">
        <f t="shared" si="12"/>
        <v>13450</v>
      </c>
      <c r="H75" s="31">
        <f t="shared" si="12"/>
        <v>13450</v>
      </c>
      <c r="I75" s="31">
        <f t="shared" si="12"/>
        <v>13450</v>
      </c>
      <c r="J75" s="31">
        <f t="shared" si="12"/>
        <v>13450</v>
      </c>
      <c r="K75" s="31">
        <f t="shared" si="12"/>
        <v>13450</v>
      </c>
      <c r="L75" s="31">
        <f t="shared" si="12"/>
        <v>13450</v>
      </c>
      <c r="M75" s="31">
        <f t="shared" si="12"/>
        <v>13450</v>
      </c>
    </row>
    <row r="76" spans="2:13" x14ac:dyDescent="0.3">
      <c r="B76" s="31" t="s">
        <v>161</v>
      </c>
      <c r="C76" s="31">
        <v>24000</v>
      </c>
      <c r="D76" s="31">
        <f t="shared" si="12"/>
        <v>24000</v>
      </c>
      <c r="E76" s="31">
        <f t="shared" si="12"/>
        <v>24000</v>
      </c>
      <c r="F76" s="31">
        <f t="shared" si="12"/>
        <v>24000</v>
      </c>
      <c r="G76" s="31">
        <f t="shared" si="12"/>
        <v>24000</v>
      </c>
      <c r="H76" s="31">
        <f t="shared" si="12"/>
        <v>24000</v>
      </c>
      <c r="I76" s="31">
        <f t="shared" si="12"/>
        <v>24000</v>
      </c>
      <c r="J76" s="31">
        <f t="shared" si="12"/>
        <v>24000</v>
      </c>
      <c r="K76" s="31">
        <f t="shared" si="12"/>
        <v>24000</v>
      </c>
      <c r="L76" s="31">
        <f t="shared" si="12"/>
        <v>24000</v>
      </c>
      <c r="M76" s="31">
        <f t="shared" si="12"/>
        <v>24000</v>
      </c>
    </row>
    <row r="77" spans="2:13" x14ac:dyDescent="0.3">
      <c r="B77" s="31" t="s">
        <v>161</v>
      </c>
      <c r="C77" s="31">
        <v>12500</v>
      </c>
      <c r="D77" s="31">
        <f t="shared" si="12"/>
        <v>12500</v>
      </c>
      <c r="E77" s="31">
        <f t="shared" si="12"/>
        <v>12500</v>
      </c>
      <c r="F77" s="31">
        <f t="shared" si="12"/>
        <v>12500</v>
      </c>
      <c r="G77" s="31">
        <f t="shared" si="12"/>
        <v>12500</v>
      </c>
      <c r="H77" s="31">
        <f t="shared" si="12"/>
        <v>12500</v>
      </c>
      <c r="I77" s="31">
        <f t="shared" si="12"/>
        <v>12500</v>
      </c>
      <c r="J77" s="31">
        <f t="shared" si="12"/>
        <v>12500</v>
      </c>
      <c r="K77" s="31">
        <f t="shared" si="12"/>
        <v>12500</v>
      </c>
      <c r="L77" s="31">
        <f t="shared" si="12"/>
        <v>12500</v>
      </c>
      <c r="M77" s="31">
        <f t="shared" si="12"/>
        <v>12500</v>
      </c>
    </row>
    <row r="78" spans="2:13" x14ac:dyDescent="0.3">
      <c r="B78" s="31" t="s">
        <v>154</v>
      </c>
      <c r="C78" s="31">
        <v>0</v>
      </c>
      <c r="D78" s="31">
        <f t="shared" si="12"/>
        <v>0</v>
      </c>
      <c r="E78" s="31">
        <f t="shared" si="12"/>
        <v>0</v>
      </c>
      <c r="F78" s="31">
        <f t="shared" si="12"/>
        <v>0</v>
      </c>
      <c r="G78" s="31">
        <f t="shared" si="12"/>
        <v>0</v>
      </c>
      <c r="H78" s="31">
        <f t="shared" si="12"/>
        <v>0</v>
      </c>
      <c r="I78" s="31">
        <f t="shared" si="12"/>
        <v>0</v>
      </c>
      <c r="J78" s="31">
        <f t="shared" si="12"/>
        <v>0</v>
      </c>
      <c r="K78" s="31">
        <f t="shared" si="12"/>
        <v>0</v>
      </c>
      <c r="L78" s="31">
        <f t="shared" si="12"/>
        <v>0</v>
      </c>
      <c r="M78" s="31">
        <f t="shared" si="12"/>
        <v>0</v>
      </c>
    </row>
    <row r="79" spans="2:13" x14ac:dyDescent="0.3">
      <c r="B79" s="31" t="s">
        <v>155</v>
      </c>
      <c r="C79" s="31">
        <v>0</v>
      </c>
      <c r="D79" s="31">
        <f t="shared" si="12"/>
        <v>0</v>
      </c>
      <c r="E79" s="31">
        <f t="shared" si="12"/>
        <v>0</v>
      </c>
      <c r="F79" s="31">
        <f t="shared" si="12"/>
        <v>0</v>
      </c>
      <c r="G79" s="31">
        <f t="shared" si="12"/>
        <v>0</v>
      </c>
      <c r="H79" s="31">
        <f t="shared" si="12"/>
        <v>0</v>
      </c>
      <c r="I79" s="31">
        <f t="shared" si="12"/>
        <v>0</v>
      </c>
      <c r="J79" s="31">
        <f t="shared" si="12"/>
        <v>0</v>
      </c>
      <c r="K79" s="31">
        <f t="shared" si="12"/>
        <v>0</v>
      </c>
      <c r="L79" s="31">
        <f t="shared" si="12"/>
        <v>0</v>
      </c>
      <c r="M79" s="31">
        <f t="shared" si="12"/>
        <v>0</v>
      </c>
    </row>
    <row r="80" spans="2:13" x14ac:dyDescent="0.3">
      <c r="B80" s="31" t="s">
        <v>156</v>
      </c>
      <c r="C80" s="31">
        <v>0</v>
      </c>
      <c r="D80" s="31">
        <f t="shared" si="12"/>
        <v>0</v>
      </c>
      <c r="E80" s="31">
        <f t="shared" si="12"/>
        <v>0</v>
      </c>
      <c r="F80" s="31">
        <f t="shared" si="12"/>
        <v>0</v>
      </c>
      <c r="G80" s="31">
        <f t="shared" si="12"/>
        <v>0</v>
      </c>
      <c r="H80" s="31">
        <f t="shared" si="12"/>
        <v>0</v>
      </c>
      <c r="I80" s="31">
        <f t="shared" si="12"/>
        <v>0</v>
      </c>
      <c r="J80" s="31">
        <f t="shared" si="12"/>
        <v>0</v>
      </c>
      <c r="K80" s="31">
        <f t="shared" si="12"/>
        <v>0</v>
      </c>
      <c r="L80" s="31">
        <f t="shared" si="12"/>
        <v>0</v>
      </c>
      <c r="M80" s="31">
        <f t="shared" si="12"/>
        <v>0</v>
      </c>
    </row>
    <row r="81" spans="2:13" x14ac:dyDescent="0.3">
      <c r="B81" s="31" t="s">
        <v>157</v>
      </c>
      <c r="C81" s="31">
        <v>0</v>
      </c>
      <c r="D81" s="31">
        <f t="shared" si="12"/>
        <v>0</v>
      </c>
      <c r="E81" s="31">
        <f t="shared" si="12"/>
        <v>0</v>
      </c>
      <c r="F81" s="31">
        <f t="shared" si="12"/>
        <v>0</v>
      </c>
      <c r="G81" s="31">
        <f t="shared" si="12"/>
        <v>0</v>
      </c>
      <c r="H81" s="31">
        <f t="shared" si="12"/>
        <v>0</v>
      </c>
      <c r="I81" s="31">
        <f t="shared" si="12"/>
        <v>0</v>
      </c>
      <c r="J81" s="31">
        <f t="shared" si="12"/>
        <v>0</v>
      </c>
      <c r="K81" s="31">
        <f t="shared" si="12"/>
        <v>0</v>
      </c>
      <c r="L81" s="31">
        <f t="shared" si="12"/>
        <v>0</v>
      </c>
      <c r="M81" s="31">
        <f t="shared" si="12"/>
        <v>0</v>
      </c>
    </row>
    <row r="82" spans="2:13" x14ac:dyDescent="0.3">
      <c r="B82" s="31" t="s">
        <v>158</v>
      </c>
      <c r="C82" s="31">
        <v>0</v>
      </c>
      <c r="D82" s="31">
        <f t="shared" si="12"/>
        <v>0</v>
      </c>
      <c r="E82" s="31">
        <f t="shared" si="12"/>
        <v>0</v>
      </c>
      <c r="F82" s="31">
        <f t="shared" si="12"/>
        <v>0</v>
      </c>
      <c r="G82" s="31">
        <f t="shared" si="12"/>
        <v>0</v>
      </c>
      <c r="H82" s="31">
        <f t="shared" si="12"/>
        <v>0</v>
      </c>
      <c r="I82" s="31">
        <f t="shared" si="12"/>
        <v>0</v>
      </c>
      <c r="J82" s="31">
        <f t="shared" si="12"/>
        <v>0</v>
      </c>
      <c r="K82" s="31">
        <f t="shared" si="12"/>
        <v>0</v>
      </c>
      <c r="L82" s="31">
        <f t="shared" si="12"/>
        <v>0</v>
      </c>
      <c r="M82" s="31">
        <f t="shared" si="12"/>
        <v>0</v>
      </c>
    </row>
    <row r="83" spans="2:13" x14ac:dyDescent="0.3">
      <c r="B83" s="31"/>
      <c r="C83" s="31"/>
      <c r="D83" s="31"/>
      <c r="E83" s="31"/>
      <c r="F83" s="31"/>
      <c r="G83" s="31"/>
      <c r="H83" s="31"/>
      <c r="I83" s="31"/>
      <c r="J83" s="31"/>
      <c r="K83" s="31"/>
    </row>
    <row r="84" spans="2:13" x14ac:dyDescent="0.3">
      <c r="B84" s="31" t="s">
        <v>131</v>
      </c>
      <c r="C84" s="31">
        <f t="shared" ref="C84:M84" si="13">SUM(C71:C83)</f>
        <v>217350</v>
      </c>
      <c r="D84" s="31">
        <f t="shared" si="13"/>
        <v>217350</v>
      </c>
      <c r="E84" s="31">
        <f t="shared" si="13"/>
        <v>217350</v>
      </c>
      <c r="F84" s="31">
        <f t="shared" si="13"/>
        <v>217350</v>
      </c>
      <c r="G84" s="31">
        <f t="shared" si="13"/>
        <v>217350</v>
      </c>
      <c r="H84" s="31">
        <f t="shared" si="13"/>
        <v>217350</v>
      </c>
      <c r="I84" s="31">
        <f t="shared" si="13"/>
        <v>217350</v>
      </c>
      <c r="J84" s="31">
        <f t="shared" si="13"/>
        <v>217350</v>
      </c>
      <c r="K84" s="31">
        <f t="shared" si="13"/>
        <v>217350</v>
      </c>
      <c r="L84" s="31">
        <f t="shared" si="13"/>
        <v>217350</v>
      </c>
      <c r="M84" s="31">
        <f t="shared" si="13"/>
        <v>217350</v>
      </c>
    </row>
    <row r="85" spans="2:13" x14ac:dyDescent="0.3">
      <c r="B85" s="31" t="s">
        <v>132</v>
      </c>
      <c r="C85" s="31">
        <f>C84*Premisas!B30</f>
        <v>18474.75</v>
      </c>
      <c r="D85" s="31">
        <f>D84*Premisas!C30</f>
        <v>18474.75</v>
      </c>
      <c r="E85" s="31">
        <f>E84*Premisas!D30</f>
        <v>18474.75</v>
      </c>
      <c r="F85" s="31">
        <f>F84*Premisas!E30</f>
        <v>18474.75</v>
      </c>
      <c r="G85" s="31">
        <f>G84*Premisas!F30</f>
        <v>18474.75</v>
      </c>
      <c r="H85" s="31">
        <f>H84*Premisas!G30</f>
        <v>18474.75</v>
      </c>
      <c r="I85" s="31">
        <f>I84*Premisas!H30</f>
        <v>18474.75</v>
      </c>
      <c r="J85" s="31">
        <f>J84*Premisas!I30</f>
        <v>18474.75</v>
      </c>
      <c r="K85" s="31">
        <f>K84*Premisas!J30</f>
        <v>18474.75</v>
      </c>
      <c r="L85" s="31">
        <f>L84*Premisas!K30</f>
        <v>18474.75</v>
      </c>
      <c r="M85" s="31">
        <f>M84*Premisas!L30</f>
        <v>18474.75</v>
      </c>
    </row>
  </sheetData>
  <pageMargins left="0.75" right="0.75" top="1" bottom="1" header="0.511811024" footer="0.511811024"/>
  <pageSetup paperSize="9" orientation="portrait" verticalDpi="1200" r:id="rId1"/>
  <headerFooter alignWithMargins="0">
    <oddHeader>&amp;A</oddHeader>
    <oddFooter>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9177-0CCB-4BB3-A970-81F7EC8205FE}">
  <dimension ref="A1:P76"/>
  <sheetViews>
    <sheetView topLeftCell="A9" workbookViewId="0">
      <selection activeCell="B31" sqref="B31"/>
    </sheetView>
  </sheetViews>
  <sheetFormatPr baseColWidth="10" defaultColWidth="11.44140625" defaultRowHeight="14.4" x14ac:dyDescent="0.3"/>
  <cols>
    <col min="1" max="1" width="11.5546875" style="30" bestFit="1" customWidth="1"/>
    <col min="2" max="10" width="14.6640625" style="30" bestFit="1" customWidth="1"/>
    <col min="11" max="14" width="13.6640625" style="30" bestFit="1" customWidth="1"/>
    <col min="15" max="15" width="12.33203125" style="30" bestFit="1" customWidth="1"/>
    <col min="16" max="16384" width="11.44140625" style="30"/>
  </cols>
  <sheetData>
    <row r="1" spans="1:16" ht="15" thickBot="1" x14ac:dyDescent="0.35">
      <c r="A1" s="30" t="s">
        <v>295</v>
      </c>
      <c r="B1" s="71">
        <f>Egresos!B215</f>
        <v>40809695.945999995</v>
      </c>
      <c r="C1" s="30" t="s">
        <v>296</v>
      </c>
      <c r="D1" s="70">
        <v>60</v>
      </c>
    </row>
    <row r="2" spans="1:16" ht="15" thickBot="1" x14ac:dyDescent="0.35">
      <c r="A2" s="30" t="s">
        <v>297</v>
      </c>
      <c r="B2" s="69">
        <f>[2]Premisas!B4</f>
        <v>0.16</v>
      </c>
    </row>
    <row r="4" spans="1:16" x14ac:dyDescent="0.3">
      <c r="A4" s="68">
        <v>2025</v>
      </c>
      <c r="B4" s="68">
        <v>1</v>
      </c>
      <c r="C4" s="68">
        <v>2</v>
      </c>
      <c r="D4" s="68">
        <v>3</v>
      </c>
      <c r="E4" s="68">
        <v>4</v>
      </c>
      <c r="F4" s="68">
        <v>5</v>
      </c>
      <c r="G4" s="68">
        <v>6</v>
      </c>
      <c r="H4" s="68">
        <v>7</v>
      </c>
      <c r="I4" s="68">
        <v>8</v>
      </c>
      <c r="J4" s="68">
        <v>9</v>
      </c>
      <c r="K4" s="68">
        <v>10</v>
      </c>
      <c r="L4" s="68">
        <v>11</v>
      </c>
      <c r="M4" s="68">
        <v>12</v>
      </c>
      <c r="N4" s="68" t="s">
        <v>298</v>
      </c>
    </row>
    <row r="5" spans="1:16" x14ac:dyDescent="0.3">
      <c r="A5" s="30" t="s">
        <v>295</v>
      </c>
      <c r="B5" s="43">
        <f>B1-B6</f>
        <v>40129534.346899994</v>
      </c>
      <c r="C5" s="43">
        <f>B5-B6</f>
        <v>39449372.747799993</v>
      </c>
      <c r="D5" s="43">
        <f t="shared" ref="D5:M5" si="0">C5-C6</f>
        <v>38769211.148699991</v>
      </c>
      <c r="E5" s="43">
        <f t="shared" si="0"/>
        <v>38089049.54959999</v>
      </c>
      <c r="F5" s="43">
        <f t="shared" si="0"/>
        <v>37408887.950499989</v>
      </c>
      <c r="G5" s="43">
        <f t="shared" si="0"/>
        <v>36728726.351399988</v>
      </c>
      <c r="H5" s="43">
        <f t="shared" si="0"/>
        <v>36048564.752299987</v>
      </c>
      <c r="I5" s="43">
        <f t="shared" si="0"/>
        <v>35368403.153199986</v>
      </c>
      <c r="J5" s="43">
        <f t="shared" si="0"/>
        <v>34688241.554099984</v>
      </c>
      <c r="K5" s="43">
        <f t="shared" si="0"/>
        <v>34008079.954999983</v>
      </c>
      <c r="L5" s="43">
        <f t="shared" si="0"/>
        <v>33327918.355899982</v>
      </c>
      <c r="M5" s="43">
        <f t="shared" si="0"/>
        <v>32647756.756799981</v>
      </c>
      <c r="N5" s="43">
        <f>M5</f>
        <v>32647756.756799981</v>
      </c>
    </row>
    <row r="6" spans="1:16" x14ac:dyDescent="0.3">
      <c r="A6" s="30" t="s">
        <v>299</v>
      </c>
      <c r="B6" s="43">
        <f>B1/D1</f>
        <v>680161.59909999988</v>
      </c>
      <c r="C6" s="43">
        <f t="shared" ref="C6:M6" si="1">B6</f>
        <v>680161.59909999988</v>
      </c>
      <c r="D6" s="43">
        <f t="shared" si="1"/>
        <v>680161.59909999988</v>
      </c>
      <c r="E6" s="43">
        <f t="shared" si="1"/>
        <v>680161.59909999988</v>
      </c>
      <c r="F6" s="43">
        <f t="shared" si="1"/>
        <v>680161.59909999988</v>
      </c>
      <c r="G6" s="43">
        <f t="shared" si="1"/>
        <v>680161.59909999988</v>
      </c>
      <c r="H6" s="43">
        <f t="shared" si="1"/>
        <v>680161.59909999988</v>
      </c>
      <c r="I6" s="43">
        <f t="shared" si="1"/>
        <v>680161.59909999988</v>
      </c>
      <c r="J6" s="43">
        <f t="shared" si="1"/>
        <v>680161.59909999988</v>
      </c>
      <c r="K6" s="43">
        <f t="shared" si="1"/>
        <v>680161.59909999988</v>
      </c>
      <c r="L6" s="43">
        <f t="shared" si="1"/>
        <v>680161.59909999988</v>
      </c>
      <c r="M6" s="43">
        <f t="shared" si="1"/>
        <v>680161.59909999988</v>
      </c>
      <c r="N6" s="43">
        <f>SUM(B6:M6)</f>
        <v>8161939.1891999999</v>
      </c>
      <c r="O6" s="33">
        <f>N5+N6</f>
        <v>40809695.94599998</v>
      </c>
    </row>
    <row r="7" spans="1:16" x14ac:dyDescent="0.3">
      <c r="A7" s="30" t="s">
        <v>300</v>
      </c>
      <c r="B7" s="43">
        <f>$B$2/12*B1</f>
        <v>544129.27928000002</v>
      </c>
      <c r="C7" s="43">
        <f>$B$2/12*B5</f>
        <v>535060.45795866661</v>
      </c>
      <c r="D7" s="43">
        <f t="shared" ref="D7:M7" si="2">$B$2/12*C5</f>
        <v>525991.63663733331</v>
      </c>
      <c r="E7" s="43">
        <f t="shared" si="2"/>
        <v>516922.81531599991</v>
      </c>
      <c r="F7" s="43">
        <f t="shared" si="2"/>
        <v>507853.99399466655</v>
      </c>
      <c r="G7" s="43">
        <f t="shared" si="2"/>
        <v>498785.1726733332</v>
      </c>
      <c r="H7" s="43">
        <f t="shared" si="2"/>
        <v>489716.35135199985</v>
      </c>
      <c r="I7" s="43">
        <f t="shared" si="2"/>
        <v>480647.5300306665</v>
      </c>
      <c r="J7" s="43">
        <f t="shared" si="2"/>
        <v>471578.70870933315</v>
      </c>
      <c r="K7" s="43">
        <f t="shared" si="2"/>
        <v>462509.8873879998</v>
      </c>
      <c r="L7" s="43">
        <f t="shared" si="2"/>
        <v>453441.06606666645</v>
      </c>
      <c r="M7" s="43">
        <f t="shared" si="2"/>
        <v>444372.2447453331</v>
      </c>
      <c r="N7" s="43">
        <f>SUM(B7:M7)</f>
        <v>5931009.1441519978</v>
      </c>
    </row>
    <row r="8" spans="1:16" ht="15" thickBot="1" x14ac:dyDescent="0.35">
      <c r="A8" s="30" t="s">
        <v>17</v>
      </c>
      <c r="B8" s="44">
        <f>SUM(B6:B7)</f>
        <v>1224290.8783799999</v>
      </c>
      <c r="C8" s="44">
        <f t="shared" ref="C8:M8" si="3">SUM(C6:C7)</f>
        <v>1215222.0570586664</v>
      </c>
      <c r="D8" s="44">
        <f t="shared" si="3"/>
        <v>1206153.2357373331</v>
      </c>
      <c r="E8" s="44">
        <f t="shared" si="3"/>
        <v>1197084.4144159998</v>
      </c>
      <c r="F8" s="44">
        <f t="shared" si="3"/>
        <v>1188015.5930946665</v>
      </c>
      <c r="G8" s="44">
        <f t="shared" si="3"/>
        <v>1178946.7717733332</v>
      </c>
      <c r="H8" s="44">
        <f t="shared" si="3"/>
        <v>1169877.9504519997</v>
      </c>
      <c r="I8" s="44">
        <f t="shared" si="3"/>
        <v>1160809.1291306664</v>
      </c>
      <c r="J8" s="44">
        <f t="shared" si="3"/>
        <v>1151740.3078093331</v>
      </c>
      <c r="K8" s="44">
        <f t="shared" si="3"/>
        <v>1142671.4864879996</v>
      </c>
      <c r="L8" s="44">
        <f t="shared" si="3"/>
        <v>1133602.6651666663</v>
      </c>
      <c r="M8" s="44">
        <f t="shared" si="3"/>
        <v>1124533.843845333</v>
      </c>
      <c r="N8" s="44">
        <f>SUM(B8:M8)</f>
        <v>14092948.333352</v>
      </c>
    </row>
    <row r="9" spans="1:16" ht="15" thickTop="1" x14ac:dyDescent="0.3"/>
    <row r="10" spans="1:16" x14ac:dyDescent="0.3">
      <c r="A10" s="68">
        <f>A4+1</f>
        <v>2026</v>
      </c>
      <c r="B10" s="68">
        <f>M4+1</f>
        <v>13</v>
      </c>
      <c r="C10" s="68">
        <f>B10+1</f>
        <v>14</v>
      </c>
      <c r="D10" s="68">
        <f t="shared" ref="D10:M10" si="4">C10+1</f>
        <v>15</v>
      </c>
      <c r="E10" s="68">
        <f t="shared" si="4"/>
        <v>16</v>
      </c>
      <c r="F10" s="68">
        <f t="shared" si="4"/>
        <v>17</v>
      </c>
      <c r="G10" s="68">
        <f t="shared" si="4"/>
        <v>18</v>
      </c>
      <c r="H10" s="68">
        <f t="shared" si="4"/>
        <v>19</v>
      </c>
      <c r="I10" s="68">
        <f t="shared" si="4"/>
        <v>20</v>
      </c>
      <c r="J10" s="68">
        <f t="shared" si="4"/>
        <v>21</v>
      </c>
      <c r="K10" s="68">
        <f t="shared" si="4"/>
        <v>22</v>
      </c>
      <c r="L10" s="68">
        <f t="shared" si="4"/>
        <v>23</v>
      </c>
      <c r="M10" s="68">
        <f t="shared" si="4"/>
        <v>24</v>
      </c>
      <c r="N10" s="68" t="s">
        <v>446</v>
      </c>
    </row>
    <row r="11" spans="1:16" x14ac:dyDescent="0.3">
      <c r="A11" s="30" t="s">
        <v>295</v>
      </c>
      <c r="B11" s="43">
        <f>M5-B12</f>
        <v>31967595.15769998</v>
      </c>
      <c r="C11" s="43">
        <f>B11-B12</f>
        <v>31287433.558599979</v>
      </c>
      <c r="D11" s="43">
        <f t="shared" ref="D11:M11" si="5">C11-C12</f>
        <v>30607271.959499978</v>
      </c>
      <c r="E11" s="43">
        <f t="shared" si="5"/>
        <v>29927110.360399976</v>
      </c>
      <c r="F11" s="43">
        <f t="shared" si="5"/>
        <v>29246948.761299975</v>
      </c>
      <c r="G11" s="43">
        <f t="shared" si="5"/>
        <v>28566787.162199974</v>
      </c>
      <c r="H11" s="43">
        <f t="shared" si="5"/>
        <v>27886625.563099973</v>
      </c>
      <c r="I11" s="43">
        <f t="shared" si="5"/>
        <v>27206463.963999972</v>
      </c>
      <c r="J11" s="43">
        <f t="shared" si="5"/>
        <v>26526302.364899971</v>
      </c>
      <c r="K11" s="43">
        <f t="shared" si="5"/>
        <v>25846140.765799969</v>
      </c>
      <c r="L11" s="43">
        <f t="shared" si="5"/>
        <v>25165979.166699968</v>
      </c>
      <c r="M11" s="43">
        <f t="shared" si="5"/>
        <v>24485817.567599967</v>
      </c>
      <c r="N11" s="43">
        <f>M11</f>
        <v>24485817.567599967</v>
      </c>
    </row>
    <row r="12" spans="1:16" x14ac:dyDescent="0.3">
      <c r="A12" s="30" t="s">
        <v>299</v>
      </c>
      <c r="B12" s="43">
        <f>M6</f>
        <v>680161.59909999988</v>
      </c>
      <c r="C12" s="43">
        <f t="shared" ref="C12:M12" si="6">B12</f>
        <v>680161.59909999988</v>
      </c>
      <c r="D12" s="43">
        <f t="shared" si="6"/>
        <v>680161.59909999988</v>
      </c>
      <c r="E12" s="43">
        <f t="shared" si="6"/>
        <v>680161.59909999988</v>
      </c>
      <c r="F12" s="43">
        <f t="shared" si="6"/>
        <v>680161.59909999988</v>
      </c>
      <c r="G12" s="43">
        <f t="shared" si="6"/>
        <v>680161.59909999988</v>
      </c>
      <c r="H12" s="43">
        <f t="shared" si="6"/>
        <v>680161.59909999988</v>
      </c>
      <c r="I12" s="43">
        <f t="shared" si="6"/>
        <v>680161.59909999988</v>
      </c>
      <c r="J12" s="43">
        <f t="shared" si="6"/>
        <v>680161.59909999988</v>
      </c>
      <c r="K12" s="43">
        <f t="shared" si="6"/>
        <v>680161.59909999988</v>
      </c>
      <c r="L12" s="43">
        <f t="shared" si="6"/>
        <v>680161.59909999988</v>
      </c>
      <c r="M12" s="43">
        <f t="shared" si="6"/>
        <v>680161.59909999988</v>
      </c>
      <c r="N12" s="43">
        <f>SUM(B12:M12)</f>
        <v>8161939.1891999999</v>
      </c>
      <c r="O12" s="33">
        <f>N11+N12</f>
        <v>32647756.756799966</v>
      </c>
      <c r="P12" s="33">
        <f>N5-O12</f>
        <v>0</v>
      </c>
    </row>
    <row r="13" spans="1:16" x14ac:dyDescent="0.3">
      <c r="A13" s="30" t="s">
        <v>300</v>
      </c>
      <c r="B13" s="43">
        <f>$B$2/12*M5</f>
        <v>435303.42342399975</v>
      </c>
      <c r="C13" s="43">
        <f>$B$2/12*B11</f>
        <v>426234.60210266645</v>
      </c>
      <c r="D13" s="43">
        <f t="shared" ref="D13:M13" si="7">$B$2/12*C11</f>
        <v>417165.7807813331</v>
      </c>
      <c r="E13" s="43">
        <f t="shared" si="7"/>
        <v>408096.95945999975</v>
      </c>
      <c r="F13" s="43">
        <f t="shared" si="7"/>
        <v>399028.1381386664</v>
      </c>
      <c r="G13" s="43">
        <f t="shared" si="7"/>
        <v>389959.31681733305</v>
      </c>
      <c r="H13" s="43">
        <f t="shared" si="7"/>
        <v>380890.4954959997</v>
      </c>
      <c r="I13" s="43">
        <f t="shared" si="7"/>
        <v>371821.67417466635</v>
      </c>
      <c r="J13" s="43">
        <f t="shared" si="7"/>
        <v>362752.852853333</v>
      </c>
      <c r="K13" s="43">
        <f t="shared" si="7"/>
        <v>353684.03153199964</v>
      </c>
      <c r="L13" s="43">
        <f t="shared" si="7"/>
        <v>344615.21021066629</v>
      </c>
      <c r="M13" s="43">
        <f t="shared" si="7"/>
        <v>335546.38888933294</v>
      </c>
      <c r="N13" s="43">
        <f>SUM(B13:M13)</f>
        <v>4625098.8738799971</v>
      </c>
    </row>
    <row r="14" spans="1:16" ht="12.75" customHeight="1" thickBot="1" x14ac:dyDescent="0.35">
      <c r="A14" s="30" t="s">
        <v>17</v>
      </c>
      <c r="B14" s="44">
        <f>SUM(B12:B13)</f>
        <v>1115465.0225239997</v>
      </c>
      <c r="C14" s="44">
        <f t="shared" ref="C14:M14" si="8">SUM(C12:C13)</f>
        <v>1106396.2012026664</v>
      </c>
      <c r="D14" s="44">
        <f t="shared" si="8"/>
        <v>1097327.3798813331</v>
      </c>
      <c r="E14" s="44">
        <f t="shared" si="8"/>
        <v>1088258.5585599996</v>
      </c>
      <c r="F14" s="44">
        <f t="shared" si="8"/>
        <v>1079189.7372386663</v>
      </c>
      <c r="G14" s="44">
        <f t="shared" si="8"/>
        <v>1070120.915917333</v>
      </c>
      <c r="H14" s="44">
        <f t="shared" si="8"/>
        <v>1061052.0945959995</v>
      </c>
      <c r="I14" s="44">
        <f t="shared" si="8"/>
        <v>1051983.2732746662</v>
      </c>
      <c r="J14" s="44">
        <f t="shared" si="8"/>
        <v>1042914.4519533329</v>
      </c>
      <c r="K14" s="44">
        <f t="shared" si="8"/>
        <v>1033845.6306319996</v>
      </c>
      <c r="L14" s="44">
        <f t="shared" si="8"/>
        <v>1024776.8093106662</v>
      </c>
      <c r="M14" s="44">
        <f t="shared" si="8"/>
        <v>1015707.9879893328</v>
      </c>
      <c r="N14" s="44">
        <f>SUM(B14:M14)</f>
        <v>12787038.063079994</v>
      </c>
    </row>
    <row r="15" spans="1:16" ht="15" thickTop="1" x14ac:dyDescent="0.3"/>
    <row r="16" spans="1:16" x14ac:dyDescent="0.3">
      <c r="A16" s="68">
        <f>A10+1</f>
        <v>2027</v>
      </c>
      <c r="B16" s="68">
        <f>M10+1</f>
        <v>25</v>
      </c>
      <c r="C16" s="68">
        <f>B16+1</f>
        <v>26</v>
      </c>
      <c r="D16" s="68">
        <f t="shared" ref="D16:M16" si="9">C16+1</f>
        <v>27</v>
      </c>
      <c r="E16" s="68">
        <f t="shared" si="9"/>
        <v>28</v>
      </c>
      <c r="F16" s="68">
        <f t="shared" si="9"/>
        <v>29</v>
      </c>
      <c r="G16" s="68">
        <f t="shared" si="9"/>
        <v>30</v>
      </c>
      <c r="H16" s="68">
        <f t="shared" si="9"/>
        <v>31</v>
      </c>
      <c r="I16" s="68">
        <f t="shared" si="9"/>
        <v>32</v>
      </c>
      <c r="J16" s="68">
        <f t="shared" si="9"/>
        <v>33</v>
      </c>
      <c r="K16" s="68">
        <f t="shared" si="9"/>
        <v>34</v>
      </c>
      <c r="L16" s="68">
        <f t="shared" si="9"/>
        <v>35</v>
      </c>
      <c r="M16" s="68">
        <f t="shared" si="9"/>
        <v>36</v>
      </c>
      <c r="N16" s="68"/>
    </row>
    <row r="17" spans="1:16" x14ac:dyDescent="0.3">
      <c r="A17" s="30" t="s">
        <v>295</v>
      </c>
      <c r="B17" s="43">
        <f>N11-M12</f>
        <v>23805655.968499966</v>
      </c>
      <c r="C17" s="43">
        <f>B17-C18</f>
        <v>23125494.369399965</v>
      </c>
      <c r="D17" s="43">
        <f t="shared" ref="D17:M17" si="10">C17-D18</f>
        <v>22445332.770299964</v>
      </c>
      <c r="E17" s="43">
        <f t="shared" si="10"/>
        <v>21765171.171199962</v>
      </c>
      <c r="F17" s="43">
        <f t="shared" si="10"/>
        <v>21085009.572099961</v>
      </c>
      <c r="G17" s="43">
        <f t="shared" si="10"/>
        <v>20404847.97299996</v>
      </c>
      <c r="H17" s="43">
        <f t="shared" si="10"/>
        <v>19724686.373899959</v>
      </c>
      <c r="I17" s="43">
        <f t="shared" si="10"/>
        <v>19044524.774799958</v>
      </c>
      <c r="J17" s="43">
        <f t="shared" si="10"/>
        <v>18364363.175699957</v>
      </c>
      <c r="K17" s="43">
        <f t="shared" si="10"/>
        <v>17684201.576599956</v>
      </c>
      <c r="L17" s="43">
        <f t="shared" si="10"/>
        <v>17004039.977499954</v>
      </c>
      <c r="M17" s="43">
        <f t="shared" si="10"/>
        <v>16323878.378399955</v>
      </c>
      <c r="N17" s="43">
        <f>M17</f>
        <v>16323878.378399955</v>
      </c>
      <c r="O17" s="33">
        <f>N17+N18</f>
        <v>24485817.567599956</v>
      </c>
      <c r="P17" s="33">
        <f>N11-O17</f>
        <v>0</v>
      </c>
    </row>
    <row r="18" spans="1:16" x14ac:dyDescent="0.3">
      <c r="A18" s="30" t="s">
        <v>299</v>
      </c>
      <c r="B18" s="43">
        <f>B12</f>
        <v>680161.59909999988</v>
      </c>
      <c r="C18" s="43">
        <f t="shared" ref="C18:M18" si="11">B18</f>
        <v>680161.59909999988</v>
      </c>
      <c r="D18" s="43">
        <f t="shared" si="11"/>
        <v>680161.59909999988</v>
      </c>
      <c r="E18" s="43">
        <f t="shared" si="11"/>
        <v>680161.59909999988</v>
      </c>
      <c r="F18" s="43">
        <f t="shared" si="11"/>
        <v>680161.59909999988</v>
      </c>
      <c r="G18" s="43">
        <f t="shared" si="11"/>
        <v>680161.59909999988</v>
      </c>
      <c r="H18" s="43">
        <f t="shared" si="11"/>
        <v>680161.59909999988</v>
      </c>
      <c r="I18" s="43">
        <f t="shared" si="11"/>
        <v>680161.59909999988</v>
      </c>
      <c r="J18" s="43">
        <f t="shared" si="11"/>
        <v>680161.59909999988</v>
      </c>
      <c r="K18" s="43">
        <f t="shared" si="11"/>
        <v>680161.59909999988</v>
      </c>
      <c r="L18" s="43">
        <f t="shared" si="11"/>
        <v>680161.59909999988</v>
      </c>
      <c r="M18" s="43">
        <f t="shared" si="11"/>
        <v>680161.59909999988</v>
      </c>
      <c r="N18" s="43">
        <f>SUM(B18:M18)</f>
        <v>8161939.1891999999</v>
      </c>
    </row>
    <row r="19" spans="1:16" x14ac:dyDescent="0.3">
      <c r="A19" s="30" t="s">
        <v>300</v>
      </c>
      <c r="B19" s="43">
        <f>$B$2/12*M11</f>
        <v>326477.56756799959</v>
      </c>
      <c r="C19" s="43">
        <f>$B$2/12*B17</f>
        <v>317408.74624666624</v>
      </c>
      <c r="D19" s="43">
        <f t="shared" ref="D19:M19" si="12">$B$2/12*C17</f>
        <v>308339.92492533289</v>
      </c>
      <c r="E19" s="43">
        <f t="shared" si="12"/>
        <v>299271.10360399954</v>
      </c>
      <c r="F19" s="43">
        <f t="shared" si="12"/>
        <v>290202.28228266619</v>
      </c>
      <c r="G19" s="43">
        <f t="shared" si="12"/>
        <v>281133.46096133284</v>
      </c>
      <c r="H19" s="43">
        <f t="shared" si="12"/>
        <v>272064.63963999948</v>
      </c>
      <c r="I19" s="43">
        <f t="shared" si="12"/>
        <v>262995.81831866613</v>
      </c>
      <c r="J19" s="43">
        <f t="shared" si="12"/>
        <v>253926.99699733278</v>
      </c>
      <c r="K19" s="43">
        <f t="shared" si="12"/>
        <v>244858.17567599943</v>
      </c>
      <c r="L19" s="43">
        <f t="shared" si="12"/>
        <v>235789.35435466608</v>
      </c>
      <c r="M19" s="43">
        <f t="shared" si="12"/>
        <v>226720.53303333273</v>
      </c>
      <c r="N19" s="43">
        <f>SUM(B19:M19)</f>
        <v>3319188.6036079936</v>
      </c>
    </row>
    <row r="20" spans="1:16" ht="15" thickBot="1" x14ac:dyDescent="0.35">
      <c r="A20" s="30" t="s">
        <v>17</v>
      </c>
      <c r="B20" s="44">
        <f>SUM(B18:B19)</f>
        <v>1006639.1666679995</v>
      </c>
      <c r="C20" s="44">
        <f t="shared" ref="C20:M20" si="13">SUM(C18:C19)</f>
        <v>997570.34534666617</v>
      </c>
      <c r="D20" s="44">
        <f t="shared" si="13"/>
        <v>988501.52402533276</v>
      </c>
      <c r="E20" s="44">
        <f t="shared" si="13"/>
        <v>979432.70270399936</v>
      </c>
      <c r="F20" s="44">
        <f t="shared" si="13"/>
        <v>970363.88138266606</v>
      </c>
      <c r="G20" s="44">
        <f t="shared" si="13"/>
        <v>961295.06006133277</v>
      </c>
      <c r="H20" s="44">
        <f t="shared" si="13"/>
        <v>952226.23873999936</v>
      </c>
      <c r="I20" s="44">
        <f t="shared" si="13"/>
        <v>943157.41741866595</v>
      </c>
      <c r="J20" s="44">
        <f t="shared" si="13"/>
        <v>934088.59609733266</v>
      </c>
      <c r="K20" s="44">
        <f t="shared" si="13"/>
        <v>925019.77477599937</v>
      </c>
      <c r="L20" s="44">
        <f t="shared" si="13"/>
        <v>915950.95345466596</v>
      </c>
      <c r="M20" s="44">
        <f t="shared" si="13"/>
        <v>906882.13213333255</v>
      </c>
      <c r="N20" s="44">
        <f>SUM(B20:M20)</f>
        <v>11481127.792807993</v>
      </c>
    </row>
    <row r="21" spans="1:16" ht="15" thickTop="1" x14ac:dyDescent="0.3"/>
    <row r="22" spans="1:16" x14ac:dyDescent="0.3">
      <c r="A22" s="68">
        <f>A16+1</f>
        <v>2028</v>
      </c>
      <c r="B22" s="68">
        <f>M16+1</f>
        <v>37</v>
      </c>
      <c r="C22" s="68">
        <f>B22+1</f>
        <v>38</v>
      </c>
      <c r="D22" s="68">
        <f t="shared" ref="D22:M22" si="14">C22+1</f>
        <v>39</v>
      </c>
      <c r="E22" s="68">
        <f t="shared" si="14"/>
        <v>40</v>
      </c>
      <c r="F22" s="68">
        <f t="shared" si="14"/>
        <v>41</v>
      </c>
      <c r="G22" s="68">
        <f t="shared" si="14"/>
        <v>42</v>
      </c>
      <c r="H22" s="68">
        <f t="shared" si="14"/>
        <v>43</v>
      </c>
      <c r="I22" s="68">
        <f t="shared" si="14"/>
        <v>44</v>
      </c>
      <c r="J22" s="68">
        <f t="shared" si="14"/>
        <v>45</v>
      </c>
      <c r="K22" s="68">
        <f t="shared" si="14"/>
        <v>46</v>
      </c>
      <c r="L22" s="68">
        <f t="shared" si="14"/>
        <v>47</v>
      </c>
      <c r="M22" s="68">
        <f t="shared" si="14"/>
        <v>48</v>
      </c>
      <c r="N22" s="68"/>
    </row>
    <row r="23" spans="1:16" x14ac:dyDescent="0.3">
      <c r="A23" s="30" t="s">
        <v>295</v>
      </c>
      <c r="B23" s="43">
        <f>N17-B24</f>
        <v>15643716.779299956</v>
      </c>
      <c r="C23" s="43">
        <f>B23-C24</f>
        <v>14963555.180199957</v>
      </c>
      <c r="D23" s="43">
        <f t="shared" ref="D23:M23" si="15">C23-D24</f>
        <v>14283393.581099957</v>
      </c>
      <c r="E23" s="43">
        <f t="shared" si="15"/>
        <v>13603231.981999958</v>
      </c>
      <c r="F23" s="43">
        <f t="shared" si="15"/>
        <v>12923070.382899959</v>
      </c>
      <c r="G23" s="43">
        <f t="shared" si="15"/>
        <v>12242908.783799959</v>
      </c>
      <c r="H23" s="43">
        <f t="shared" si="15"/>
        <v>11562747.18469996</v>
      </c>
      <c r="I23" s="43">
        <f t="shared" si="15"/>
        <v>10882585.585599961</v>
      </c>
      <c r="J23" s="43">
        <f t="shared" si="15"/>
        <v>10202423.986499961</v>
      </c>
      <c r="K23" s="43">
        <f t="shared" si="15"/>
        <v>9522262.3873999622</v>
      </c>
      <c r="L23" s="43">
        <f t="shared" si="15"/>
        <v>8842100.7882999629</v>
      </c>
      <c r="M23" s="43">
        <f t="shared" si="15"/>
        <v>8161939.1891999627</v>
      </c>
      <c r="N23" s="43">
        <f>M23</f>
        <v>8161939.1891999627</v>
      </c>
      <c r="O23" s="33">
        <f>N23+N24</f>
        <v>16323878.378399963</v>
      </c>
      <c r="P23" s="33">
        <f>N17-O23</f>
        <v>0</v>
      </c>
    </row>
    <row r="24" spans="1:16" x14ac:dyDescent="0.3">
      <c r="A24" s="30" t="s">
        <v>299</v>
      </c>
      <c r="B24" s="43">
        <f t="shared" ref="B24:M24" si="16">B18</f>
        <v>680161.59909999988</v>
      </c>
      <c r="C24" s="43">
        <f t="shared" si="16"/>
        <v>680161.59909999988</v>
      </c>
      <c r="D24" s="43">
        <f t="shared" si="16"/>
        <v>680161.59909999988</v>
      </c>
      <c r="E24" s="43">
        <f t="shared" si="16"/>
        <v>680161.59909999988</v>
      </c>
      <c r="F24" s="43">
        <f t="shared" si="16"/>
        <v>680161.59909999988</v>
      </c>
      <c r="G24" s="43">
        <f t="shared" si="16"/>
        <v>680161.59909999988</v>
      </c>
      <c r="H24" s="43">
        <f t="shared" si="16"/>
        <v>680161.59909999988</v>
      </c>
      <c r="I24" s="43">
        <f t="shared" si="16"/>
        <v>680161.59909999988</v>
      </c>
      <c r="J24" s="43">
        <f t="shared" si="16"/>
        <v>680161.59909999988</v>
      </c>
      <c r="K24" s="43">
        <f t="shared" si="16"/>
        <v>680161.59909999988</v>
      </c>
      <c r="L24" s="43">
        <f t="shared" si="16"/>
        <v>680161.59909999988</v>
      </c>
      <c r="M24" s="43">
        <f t="shared" si="16"/>
        <v>680161.59909999988</v>
      </c>
      <c r="N24" s="43">
        <f>SUM(B24:M24)</f>
        <v>8161939.1891999999</v>
      </c>
    </row>
    <row r="25" spans="1:16" x14ac:dyDescent="0.3">
      <c r="A25" s="30" t="s">
        <v>300</v>
      </c>
      <c r="B25" s="43">
        <f>$B$2/12*M17</f>
        <v>217651.71171199941</v>
      </c>
      <c r="C25" s="43">
        <f>$B$2/12*B23</f>
        <v>208582.89039066609</v>
      </c>
      <c r="D25" s="43">
        <f t="shared" ref="D25:M25" si="17">$B$2/12*C23</f>
        <v>199514.06906933276</v>
      </c>
      <c r="E25" s="43">
        <f t="shared" si="17"/>
        <v>190445.24774799944</v>
      </c>
      <c r="F25" s="43">
        <f t="shared" si="17"/>
        <v>181376.42642666612</v>
      </c>
      <c r="G25" s="43">
        <f t="shared" si="17"/>
        <v>172307.6051053328</v>
      </c>
      <c r="H25" s="43">
        <f t="shared" si="17"/>
        <v>163238.78378399948</v>
      </c>
      <c r="I25" s="43">
        <f t="shared" si="17"/>
        <v>154169.96246266615</v>
      </c>
      <c r="J25" s="43">
        <f t="shared" si="17"/>
        <v>145101.14114133283</v>
      </c>
      <c r="K25" s="43">
        <f t="shared" si="17"/>
        <v>136032.31981999951</v>
      </c>
      <c r="L25" s="43">
        <f t="shared" si="17"/>
        <v>126963.49849866617</v>
      </c>
      <c r="M25" s="43">
        <f t="shared" si="17"/>
        <v>117894.67717733285</v>
      </c>
      <c r="N25" s="43">
        <f>SUM(B25:M25)</f>
        <v>2013278.3333359938</v>
      </c>
    </row>
    <row r="26" spans="1:16" ht="15" thickBot="1" x14ac:dyDescent="0.35">
      <c r="A26" s="30" t="s">
        <v>17</v>
      </c>
      <c r="B26" s="44">
        <f>SUM(B24:B25)</f>
        <v>897813.31081199925</v>
      </c>
      <c r="C26" s="44">
        <f t="shared" ref="C26:M26" si="18">SUM(C24:C25)</f>
        <v>888744.48949066596</v>
      </c>
      <c r="D26" s="44">
        <f t="shared" si="18"/>
        <v>879675.66816933267</v>
      </c>
      <c r="E26" s="44">
        <f t="shared" si="18"/>
        <v>870606.84684799938</v>
      </c>
      <c r="F26" s="44">
        <f t="shared" si="18"/>
        <v>861538.02552666597</v>
      </c>
      <c r="G26" s="44">
        <f t="shared" si="18"/>
        <v>852469.20420533267</v>
      </c>
      <c r="H26" s="44">
        <f t="shared" si="18"/>
        <v>843400.38288399938</v>
      </c>
      <c r="I26" s="44">
        <f t="shared" si="18"/>
        <v>834331.56156266597</v>
      </c>
      <c r="J26" s="44">
        <f t="shared" si="18"/>
        <v>825262.74024133268</v>
      </c>
      <c r="K26" s="44">
        <f t="shared" si="18"/>
        <v>816193.91891999939</v>
      </c>
      <c r="L26" s="44">
        <f t="shared" si="18"/>
        <v>807125.09759866609</v>
      </c>
      <c r="M26" s="44">
        <f t="shared" si="18"/>
        <v>798056.27627733268</v>
      </c>
      <c r="N26" s="44">
        <f>SUM(B26:M26)</f>
        <v>10175217.522535993</v>
      </c>
    </row>
    <row r="27" spans="1:16" ht="15" thickTop="1" x14ac:dyDescent="0.3"/>
    <row r="28" spans="1:16" x14ac:dyDescent="0.3">
      <c r="A28" s="68">
        <f>A22+1</f>
        <v>2029</v>
      </c>
      <c r="B28" s="68">
        <f>M22+1</f>
        <v>49</v>
      </c>
      <c r="C28" s="68">
        <f>B28+1</f>
        <v>50</v>
      </c>
      <c r="D28" s="68">
        <f t="shared" ref="D28:M28" si="19">C28+1</f>
        <v>51</v>
      </c>
      <c r="E28" s="68">
        <f t="shared" si="19"/>
        <v>52</v>
      </c>
      <c r="F28" s="68">
        <f t="shared" si="19"/>
        <v>53</v>
      </c>
      <c r="G28" s="68">
        <f t="shared" si="19"/>
        <v>54</v>
      </c>
      <c r="H28" s="68">
        <f t="shared" si="19"/>
        <v>55</v>
      </c>
      <c r="I28" s="68">
        <f t="shared" si="19"/>
        <v>56</v>
      </c>
      <c r="J28" s="68">
        <f t="shared" si="19"/>
        <v>57</v>
      </c>
      <c r="K28" s="68">
        <f t="shared" si="19"/>
        <v>58</v>
      </c>
      <c r="L28" s="68">
        <f t="shared" si="19"/>
        <v>59</v>
      </c>
      <c r="M28" s="68">
        <f t="shared" si="19"/>
        <v>60</v>
      </c>
      <c r="N28" s="68"/>
    </row>
    <row r="29" spans="1:16" x14ac:dyDescent="0.3">
      <c r="A29" s="30" t="s">
        <v>295</v>
      </c>
      <c r="B29" s="43">
        <f>M23-M24</f>
        <v>7481777.5900999624</v>
      </c>
      <c r="C29" s="43">
        <f>B29-B30</f>
        <v>6801615.9909999622</v>
      </c>
      <c r="D29" s="43">
        <f t="shared" ref="D29:M29" si="20">C29-C30</f>
        <v>6121454.391899962</v>
      </c>
      <c r="E29" s="43">
        <f t="shared" si="20"/>
        <v>5441292.7927999618</v>
      </c>
      <c r="F29" s="43">
        <f t="shared" si="20"/>
        <v>4761131.1936999615</v>
      </c>
      <c r="G29" s="43">
        <f t="shared" si="20"/>
        <v>4080969.5945999618</v>
      </c>
      <c r="H29" s="43">
        <f t="shared" si="20"/>
        <v>3400807.995499962</v>
      </c>
      <c r="I29" s="43">
        <f t="shared" si="20"/>
        <v>2720646.3963999623</v>
      </c>
      <c r="J29" s="43">
        <f t="shared" si="20"/>
        <v>2040484.7972999625</v>
      </c>
      <c r="K29" s="43">
        <f t="shared" si="20"/>
        <v>1360323.1981999627</v>
      </c>
      <c r="L29" s="43">
        <f t="shared" si="20"/>
        <v>680161.59909996286</v>
      </c>
      <c r="M29" s="43">
        <f t="shared" si="20"/>
        <v>-3.7020072340965271E-8</v>
      </c>
      <c r="N29" s="43">
        <f>M29</f>
        <v>-3.7020072340965271E-8</v>
      </c>
    </row>
    <row r="30" spans="1:16" x14ac:dyDescent="0.3">
      <c r="A30" s="30" t="s">
        <v>299</v>
      </c>
      <c r="B30" s="43">
        <f>B18</f>
        <v>680161.59909999988</v>
      </c>
      <c r="C30" s="43">
        <f>C24</f>
        <v>680161.59909999988</v>
      </c>
      <c r="D30" s="43">
        <f>C30</f>
        <v>680161.59909999988</v>
      </c>
      <c r="E30" s="43">
        <f t="shared" ref="E30:M30" si="21">D30</f>
        <v>680161.59909999988</v>
      </c>
      <c r="F30" s="43">
        <f t="shared" si="21"/>
        <v>680161.59909999988</v>
      </c>
      <c r="G30" s="43">
        <f t="shared" si="21"/>
        <v>680161.59909999988</v>
      </c>
      <c r="H30" s="43">
        <f t="shared" si="21"/>
        <v>680161.59909999988</v>
      </c>
      <c r="I30" s="43">
        <f t="shared" si="21"/>
        <v>680161.59909999988</v>
      </c>
      <c r="J30" s="43">
        <f t="shared" si="21"/>
        <v>680161.59909999988</v>
      </c>
      <c r="K30" s="43">
        <f t="shared" si="21"/>
        <v>680161.59909999988</v>
      </c>
      <c r="L30" s="43">
        <f t="shared" si="21"/>
        <v>680161.59909999988</v>
      </c>
      <c r="M30" s="43">
        <f t="shared" si="21"/>
        <v>680161.59909999988</v>
      </c>
      <c r="N30" s="43">
        <f>SUM(B30:M30)</f>
        <v>8161939.1891999999</v>
      </c>
    </row>
    <row r="31" spans="1:16" x14ac:dyDescent="0.3">
      <c r="A31" s="30" t="s">
        <v>300</v>
      </c>
      <c r="B31" s="43">
        <f>B29*[1]Premisas!$F$5/12</f>
        <v>149635.55180199925</v>
      </c>
      <c r="C31" s="43">
        <f>C29*[1]Premisas!$F$5/12</f>
        <v>136032.31981999925</v>
      </c>
      <c r="D31" s="43">
        <f>D29*[1]Premisas!$F$5/12</f>
        <v>122429.08783799924</v>
      </c>
      <c r="E31" s="43">
        <f>E29*[1]Premisas!$F$5/12</f>
        <v>108825.85585599922</v>
      </c>
      <c r="F31" s="43">
        <f>F29*[1]Premisas!$F$5/12</f>
        <v>95222.623873999226</v>
      </c>
      <c r="G31" s="43">
        <f>G29*[1]Premisas!$F$5/12</f>
        <v>81619.391891999228</v>
      </c>
      <c r="H31" s="43">
        <f>H29*[1]Premisas!$F$5/12</f>
        <v>68016.159909999245</v>
      </c>
      <c r="I31" s="43">
        <f>I29*[1]Premisas!$F$5/12</f>
        <v>54412.927927999241</v>
      </c>
      <c r="J31" s="43">
        <f>J29*[1]Premisas!$F$5/12</f>
        <v>40809.69594599925</v>
      </c>
      <c r="K31" s="43">
        <f>K29*[1]Premisas!$F$5/12</f>
        <v>27206.463963999253</v>
      </c>
      <c r="L31" s="43">
        <f>L29*[1]Premisas!$F$5/12</f>
        <v>13603.231981999257</v>
      </c>
      <c r="M31" s="43">
        <f>M29*[1]Premisas!$F$5/12</f>
        <v>-7.4040144681930535E-10</v>
      </c>
      <c r="N31" s="43">
        <f>SUM(B31:M31)</f>
        <v>897813.31081199087</v>
      </c>
    </row>
    <row r="32" spans="1:16" ht="15" thickBot="1" x14ac:dyDescent="0.35">
      <c r="A32" s="30" t="s">
        <v>17</v>
      </c>
      <c r="B32" s="44">
        <f>SUM(B30:B31)</f>
        <v>829797.15090199909</v>
      </c>
      <c r="C32" s="44">
        <f t="shared" ref="C32:M32" si="22">SUM(C30:C31)</f>
        <v>816193.91891999915</v>
      </c>
      <c r="D32" s="44">
        <f t="shared" si="22"/>
        <v>802590.6869379991</v>
      </c>
      <c r="E32" s="44">
        <f t="shared" si="22"/>
        <v>788987.45495599904</v>
      </c>
      <c r="F32" s="44">
        <f t="shared" si="22"/>
        <v>775384.2229739991</v>
      </c>
      <c r="G32" s="44">
        <f t="shared" si="22"/>
        <v>761780.99099199916</v>
      </c>
      <c r="H32" s="44">
        <f t="shared" si="22"/>
        <v>748177.75900999911</v>
      </c>
      <c r="I32" s="44">
        <f t="shared" si="22"/>
        <v>734574.52702799917</v>
      </c>
      <c r="J32" s="44">
        <f t="shared" si="22"/>
        <v>720971.29504599911</v>
      </c>
      <c r="K32" s="44">
        <f t="shared" si="22"/>
        <v>707368.06306399917</v>
      </c>
      <c r="L32" s="44">
        <f t="shared" si="22"/>
        <v>693764.83108199912</v>
      </c>
      <c r="M32" s="44">
        <f t="shared" si="22"/>
        <v>680161.59909999918</v>
      </c>
      <c r="N32" s="44">
        <f>SUM(B32:M32)</f>
        <v>9059752.5000119898</v>
      </c>
    </row>
    <row r="33" spans="1:1" ht="12.75" customHeight="1" thickTop="1" x14ac:dyDescent="0.3"/>
    <row r="34" spans="1:1" x14ac:dyDescent="0.3">
      <c r="A34" s="30">
        <f>A28+1</f>
        <v>2030</v>
      </c>
    </row>
    <row r="35" spans="1:1" x14ac:dyDescent="0.3">
      <c r="A35" s="30" t="s">
        <v>295</v>
      </c>
    </row>
    <row r="36" spans="1:1" x14ac:dyDescent="0.3">
      <c r="A36" s="30" t="s">
        <v>299</v>
      </c>
    </row>
    <row r="37" spans="1:1" x14ac:dyDescent="0.3">
      <c r="A37" s="30" t="s">
        <v>300</v>
      </c>
    </row>
    <row r="38" spans="1:1" x14ac:dyDescent="0.3">
      <c r="A38" s="30" t="s">
        <v>17</v>
      </c>
    </row>
    <row r="40" spans="1:1" x14ac:dyDescent="0.3">
      <c r="A40" s="30">
        <f>A34+1</f>
        <v>2031</v>
      </c>
    </row>
    <row r="41" spans="1:1" x14ac:dyDescent="0.3">
      <c r="A41" s="30" t="s">
        <v>295</v>
      </c>
    </row>
    <row r="42" spans="1:1" x14ac:dyDescent="0.3">
      <c r="A42" s="30" t="s">
        <v>299</v>
      </c>
    </row>
    <row r="43" spans="1:1" x14ac:dyDescent="0.3">
      <c r="A43" s="30" t="s">
        <v>300</v>
      </c>
    </row>
    <row r="44" spans="1:1" x14ac:dyDescent="0.3">
      <c r="A44" s="30" t="s">
        <v>17</v>
      </c>
    </row>
    <row r="46" spans="1:1" x14ac:dyDescent="0.3">
      <c r="A46" s="30">
        <f>A40+1</f>
        <v>2032</v>
      </c>
    </row>
    <row r="47" spans="1:1" x14ac:dyDescent="0.3">
      <c r="A47" s="30" t="s">
        <v>295</v>
      </c>
    </row>
    <row r="48" spans="1:1" x14ac:dyDescent="0.3">
      <c r="A48" s="30" t="s">
        <v>299</v>
      </c>
    </row>
    <row r="49" spans="1:1" x14ac:dyDescent="0.3">
      <c r="A49" s="30" t="s">
        <v>300</v>
      </c>
    </row>
    <row r="50" spans="1:1" x14ac:dyDescent="0.3">
      <c r="A50" s="30" t="s">
        <v>17</v>
      </c>
    </row>
    <row r="52" spans="1:1" x14ac:dyDescent="0.3">
      <c r="A52" s="30">
        <v>2029</v>
      </c>
    </row>
    <row r="53" spans="1:1" x14ac:dyDescent="0.3">
      <c r="A53" s="30" t="s">
        <v>295</v>
      </c>
    </row>
    <row r="54" spans="1:1" x14ac:dyDescent="0.3">
      <c r="A54" s="30" t="s">
        <v>299</v>
      </c>
    </row>
    <row r="55" spans="1:1" x14ac:dyDescent="0.3">
      <c r="A55" s="30" t="s">
        <v>300</v>
      </c>
    </row>
    <row r="56" spans="1:1" x14ac:dyDescent="0.3">
      <c r="A56" s="30" t="s">
        <v>17</v>
      </c>
    </row>
    <row r="58" spans="1:1" x14ac:dyDescent="0.3">
      <c r="A58" s="30">
        <v>2030</v>
      </c>
    </row>
    <row r="59" spans="1:1" x14ac:dyDescent="0.3">
      <c r="A59" s="30" t="s">
        <v>295</v>
      </c>
    </row>
    <row r="60" spans="1:1" x14ac:dyDescent="0.3">
      <c r="A60" s="30" t="s">
        <v>299</v>
      </c>
    </row>
    <row r="61" spans="1:1" x14ac:dyDescent="0.3">
      <c r="A61" s="30" t="s">
        <v>300</v>
      </c>
    </row>
    <row r="62" spans="1:1" x14ac:dyDescent="0.3">
      <c r="A62" s="30" t="s">
        <v>17</v>
      </c>
    </row>
    <row r="64" spans="1:1" x14ac:dyDescent="0.3">
      <c r="A64" s="30">
        <v>2031</v>
      </c>
    </row>
    <row r="65" spans="1:1" x14ac:dyDescent="0.3">
      <c r="A65" s="30" t="s">
        <v>295</v>
      </c>
    </row>
    <row r="66" spans="1:1" x14ac:dyDescent="0.3">
      <c r="A66" s="30" t="s">
        <v>299</v>
      </c>
    </row>
    <row r="67" spans="1:1" x14ac:dyDescent="0.3">
      <c r="A67" s="30" t="s">
        <v>300</v>
      </c>
    </row>
    <row r="68" spans="1:1" x14ac:dyDescent="0.3">
      <c r="A68" s="30" t="s">
        <v>17</v>
      </c>
    </row>
    <row r="70" spans="1:1" x14ac:dyDescent="0.3">
      <c r="A70" s="30">
        <v>2032</v>
      </c>
    </row>
    <row r="71" spans="1:1" x14ac:dyDescent="0.3">
      <c r="A71" s="30" t="s">
        <v>295</v>
      </c>
    </row>
    <row r="72" spans="1:1" x14ac:dyDescent="0.3">
      <c r="A72" s="30" t="s">
        <v>299</v>
      </c>
    </row>
    <row r="73" spans="1:1" x14ac:dyDescent="0.3">
      <c r="A73" s="30" t="s">
        <v>300</v>
      </c>
    </row>
    <row r="74" spans="1:1" x14ac:dyDescent="0.3">
      <c r="A74" s="30" t="s">
        <v>17</v>
      </c>
    </row>
    <row r="76" spans="1:1" x14ac:dyDescent="0.3">
      <c r="A76" s="30">
        <v>2033</v>
      </c>
    </row>
  </sheetData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7B40-E514-4ADE-A491-885AF7B07816}">
  <dimension ref="A3:O220"/>
  <sheetViews>
    <sheetView topLeftCell="A200" workbookViewId="0">
      <selection activeCell="B206" sqref="B206"/>
    </sheetView>
  </sheetViews>
  <sheetFormatPr baseColWidth="10" defaultColWidth="8.88671875" defaultRowHeight="14.4" x14ac:dyDescent="0.3"/>
  <cols>
    <col min="1" max="1" width="27.6640625" customWidth="1"/>
    <col min="2" max="2" width="15.77734375" bestFit="1" customWidth="1"/>
    <col min="3" max="3" width="15.77734375" customWidth="1"/>
    <col min="4" max="4" width="17.77734375" customWidth="1"/>
    <col min="5" max="5" width="20.77734375" bestFit="1" customWidth="1"/>
    <col min="6" max="8" width="15.77734375" bestFit="1" customWidth="1"/>
    <col min="9" max="9" width="22.77734375" customWidth="1"/>
    <col min="10" max="12" width="17.44140625" bestFit="1" customWidth="1"/>
    <col min="13" max="13" width="20.77734375" bestFit="1" customWidth="1"/>
    <col min="14" max="14" width="9.88671875" bestFit="1" customWidth="1"/>
    <col min="15" max="15" width="11.44140625" bestFit="1" customWidth="1"/>
  </cols>
  <sheetData>
    <row r="3" spans="1:15" x14ac:dyDescent="0.3">
      <c r="A3" s="35" t="s">
        <v>185</v>
      </c>
      <c r="B3" s="35" t="s">
        <v>186</v>
      </c>
      <c r="C3" s="35" t="s">
        <v>187</v>
      </c>
      <c r="E3" s="35" t="s">
        <v>188</v>
      </c>
      <c r="F3" s="35" t="s">
        <v>186</v>
      </c>
      <c r="G3" s="35" t="s">
        <v>187</v>
      </c>
      <c r="I3" s="35" t="s">
        <v>189</v>
      </c>
      <c r="J3" s="35" t="s">
        <v>186</v>
      </c>
      <c r="K3" s="35" t="s">
        <v>187</v>
      </c>
      <c r="M3" s="35" t="s">
        <v>190</v>
      </c>
      <c r="N3" s="35" t="s">
        <v>186</v>
      </c>
      <c r="O3" s="35" t="s">
        <v>187</v>
      </c>
    </row>
    <row r="4" spans="1:15" x14ac:dyDescent="0.3">
      <c r="A4" s="20" t="s">
        <v>191</v>
      </c>
      <c r="B4" s="20"/>
      <c r="C4" s="36">
        <v>12000</v>
      </c>
      <c r="E4" s="20" t="s">
        <v>191</v>
      </c>
      <c r="F4" s="20"/>
      <c r="G4" s="36">
        <v>10000</v>
      </c>
      <c r="I4" s="20" t="s">
        <v>191</v>
      </c>
      <c r="J4" s="20"/>
      <c r="K4" s="36">
        <v>15000</v>
      </c>
      <c r="M4" s="20" t="s">
        <v>191</v>
      </c>
      <c r="N4" s="20"/>
      <c r="O4" s="36">
        <v>15000</v>
      </c>
    </row>
    <row r="5" spans="1:15" x14ac:dyDescent="0.3">
      <c r="A5" s="20" t="s">
        <v>192</v>
      </c>
      <c r="B5" s="37">
        <v>0.03</v>
      </c>
      <c r="C5" s="36">
        <f>C4*B5</f>
        <v>360</v>
      </c>
      <c r="E5" s="20" t="s">
        <v>192</v>
      </c>
      <c r="F5" s="37">
        <v>0.03</v>
      </c>
      <c r="G5" s="36">
        <f>G4*F5</f>
        <v>300</v>
      </c>
      <c r="I5" s="20" t="s">
        <v>192</v>
      </c>
      <c r="J5" s="37">
        <v>0.03</v>
      </c>
      <c r="K5" s="36">
        <f>K4*J5</f>
        <v>450</v>
      </c>
      <c r="M5" s="20" t="s">
        <v>192</v>
      </c>
      <c r="N5" s="37">
        <v>0.03</v>
      </c>
      <c r="O5" s="36">
        <f>O4*N5</f>
        <v>450</v>
      </c>
    </row>
    <row r="6" spans="1:15" x14ac:dyDescent="0.3">
      <c r="A6" s="20" t="s">
        <v>193</v>
      </c>
      <c r="B6" s="37">
        <v>0.2</v>
      </c>
      <c r="C6" s="36">
        <f>C4*B6</f>
        <v>2400</v>
      </c>
      <c r="E6" s="20" t="s">
        <v>193</v>
      </c>
      <c r="F6" s="37">
        <v>0.2</v>
      </c>
      <c r="G6" s="36">
        <f>G4*F6</f>
        <v>2000</v>
      </c>
      <c r="I6" s="20" t="s">
        <v>193</v>
      </c>
      <c r="J6" s="37">
        <v>0.2</v>
      </c>
      <c r="K6" s="36">
        <f>K4*J6</f>
        <v>3000</v>
      </c>
      <c r="M6" s="20" t="s">
        <v>193</v>
      </c>
      <c r="N6" s="37">
        <v>0.2</v>
      </c>
      <c r="O6" s="36">
        <f>O4*N6</f>
        <v>3000</v>
      </c>
    </row>
    <row r="7" spans="1:15" x14ac:dyDescent="0.3">
      <c r="A7" s="20" t="s">
        <v>194</v>
      </c>
      <c r="B7" s="37">
        <v>0.13</v>
      </c>
      <c r="C7" s="36">
        <f>C4*B7</f>
        <v>1560</v>
      </c>
      <c r="E7" s="20" t="s">
        <v>194</v>
      </c>
      <c r="F7" s="37">
        <v>0.13</v>
      </c>
      <c r="G7" s="36">
        <f>G4*F7</f>
        <v>1300</v>
      </c>
      <c r="I7" s="20" t="s">
        <v>194</v>
      </c>
      <c r="J7" s="37">
        <v>0.13</v>
      </c>
      <c r="K7" s="36">
        <f>K4*J7</f>
        <v>1950</v>
      </c>
      <c r="M7" s="20" t="s">
        <v>194</v>
      </c>
      <c r="N7" s="37">
        <v>0.13</v>
      </c>
      <c r="O7" s="36">
        <f>O4*N7</f>
        <v>1950</v>
      </c>
    </row>
    <row r="8" spans="1:15" x14ac:dyDescent="0.3">
      <c r="A8" s="20" t="s">
        <v>195</v>
      </c>
      <c r="B8" s="20"/>
      <c r="C8" s="36"/>
      <c r="E8" s="20" t="s">
        <v>195</v>
      </c>
      <c r="F8" s="20"/>
      <c r="G8" s="36"/>
      <c r="I8" s="20" t="s">
        <v>195</v>
      </c>
      <c r="J8" s="20"/>
      <c r="K8" s="36"/>
      <c r="M8" s="20" t="s">
        <v>195</v>
      </c>
      <c r="N8" s="20"/>
      <c r="O8" s="36"/>
    </row>
    <row r="9" spans="1:15" x14ac:dyDescent="0.3">
      <c r="A9" s="20" t="s">
        <v>196</v>
      </c>
      <c r="B9" s="20">
        <v>0.28846100000000002</v>
      </c>
      <c r="C9" s="36">
        <f>(C4/30)*B9</f>
        <v>115.38440000000001</v>
      </c>
      <c r="E9" s="20" t="s">
        <v>196</v>
      </c>
      <c r="F9" s="20">
        <v>0.28846100000000002</v>
      </c>
      <c r="G9" s="36">
        <f>(G4/30)*F9</f>
        <v>96.153666666666666</v>
      </c>
      <c r="I9" s="20" t="s">
        <v>196</v>
      </c>
      <c r="J9" s="20">
        <v>0.28846100000000002</v>
      </c>
      <c r="K9" s="36">
        <f>(K4/30)*J9</f>
        <v>144.23050000000001</v>
      </c>
      <c r="M9" s="20" t="s">
        <v>196</v>
      </c>
      <c r="N9" s="20">
        <v>0.28846100000000002</v>
      </c>
      <c r="O9" s="36">
        <f>(O4/30)*N9</f>
        <v>144.23050000000001</v>
      </c>
    </row>
    <row r="10" spans="1:15" x14ac:dyDescent="0.3">
      <c r="A10" s="20" t="s">
        <v>197</v>
      </c>
      <c r="B10" s="37">
        <v>7.0000000000000007E-2</v>
      </c>
      <c r="C10" s="36">
        <f>C4*B10</f>
        <v>840.00000000000011</v>
      </c>
      <c r="E10" s="20" t="s">
        <v>197</v>
      </c>
      <c r="F10" s="37">
        <v>7.0000000000000007E-2</v>
      </c>
      <c r="G10" s="36">
        <f>G4*F10</f>
        <v>700.00000000000011</v>
      </c>
      <c r="I10" s="20" t="s">
        <v>197</v>
      </c>
      <c r="J10" s="37">
        <v>7.0000000000000007E-2</v>
      </c>
      <c r="K10" s="36">
        <f>K4*J10</f>
        <v>1050</v>
      </c>
      <c r="M10" s="20" t="s">
        <v>197</v>
      </c>
      <c r="N10" s="37">
        <v>7.0000000000000007E-2</v>
      </c>
      <c r="O10" s="36">
        <f>O4*N10</f>
        <v>1050</v>
      </c>
    </row>
    <row r="11" spans="1:15" x14ac:dyDescent="0.3">
      <c r="A11" s="20" t="s">
        <v>198</v>
      </c>
      <c r="B11" s="37">
        <v>0.02</v>
      </c>
      <c r="C11" s="36">
        <f>C4*B11</f>
        <v>240</v>
      </c>
      <c r="E11" s="20" t="s">
        <v>198</v>
      </c>
      <c r="F11" s="37">
        <v>0.02</v>
      </c>
      <c r="G11" s="36">
        <f>G4*F11</f>
        <v>200</v>
      </c>
      <c r="I11" s="20" t="s">
        <v>198</v>
      </c>
      <c r="J11" s="37">
        <v>0.02</v>
      </c>
      <c r="K11" s="36">
        <f>K4*J11</f>
        <v>300</v>
      </c>
      <c r="M11" s="20" t="s">
        <v>198</v>
      </c>
      <c r="N11" s="37">
        <v>0.02</v>
      </c>
      <c r="O11" s="36">
        <f>O4*N11</f>
        <v>300</v>
      </c>
    </row>
    <row r="12" spans="1:15" x14ac:dyDescent="0.3">
      <c r="A12" s="20" t="s">
        <v>199</v>
      </c>
      <c r="B12" s="37">
        <v>0.16</v>
      </c>
      <c r="C12" s="36">
        <f>C4*B12</f>
        <v>1920</v>
      </c>
      <c r="E12" s="20" t="s">
        <v>199</v>
      </c>
      <c r="F12" s="37">
        <v>0.10879999999999999</v>
      </c>
      <c r="G12" s="36">
        <f>G4*F12</f>
        <v>1088</v>
      </c>
      <c r="I12" s="20" t="s">
        <v>199</v>
      </c>
      <c r="J12" s="37">
        <v>0.1792</v>
      </c>
      <c r="K12" s="36">
        <f>K4*J12</f>
        <v>2688</v>
      </c>
      <c r="M12" s="20" t="s">
        <v>199</v>
      </c>
      <c r="N12" s="37">
        <v>0.1792</v>
      </c>
      <c r="O12" s="36">
        <f>O4*N12</f>
        <v>2688</v>
      </c>
    </row>
    <row r="13" spans="1:15" x14ac:dyDescent="0.3">
      <c r="A13" s="20"/>
      <c r="B13" s="20"/>
      <c r="C13" s="36">
        <f>SUM(C5:C11)</f>
        <v>5515.3843999999999</v>
      </c>
      <c r="E13" s="20"/>
      <c r="F13" s="20"/>
      <c r="G13" s="36">
        <f>SUM(G5:G11)</f>
        <v>4596.153666666667</v>
      </c>
      <c r="I13" s="20"/>
      <c r="J13" s="20"/>
      <c r="K13" s="36">
        <f>SUM(K5:K11)</f>
        <v>6894.2304999999997</v>
      </c>
      <c r="M13" s="20"/>
      <c r="N13" s="20"/>
      <c r="O13" s="36">
        <f>SUM(O5:O11)</f>
        <v>6894.2304999999997</v>
      </c>
    </row>
    <row r="14" spans="1:15" x14ac:dyDescent="0.3">
      <c r="A14" s="20" t="s">
        <v>200</v>
      </c>
      <c r="B14" s="20"/>
      <c r="C14" s="36">
        <f>C4+C13</f>
        <v>17515.384399999999</v>
      </c>
      <c r="E14" s="20" t="s">
        <v>200</v>
      </c>
      <c r="F14" s="20"/>
      <c r="G14" s="36">
        <f>G4+G13</f>
        <v>14596.153666666667</v>
      </c>
      <c r="I14" s="20" t="s">
        <v>200</v>
      </c>
      <c r="J14" s="20"/>
      <c r="K14" s="36">
        <f>K4+K13</f>
        <v>21894.230499999998</v>
      </c>
      <c r="M14" s="20" t="s">
        <v>200</v>
      </c>
      <c r="N14" s="20"/>
      <c r="O14" s="36">
        <f>O4+O13</f>
        <v>21894.230499999998</v>
      </c>
    </row>
    <row r="15" spans="1:15" x14ac:dyDescent="0.3">
      <c r="C15" s="29"/>
      <c r="G15" s="29"/>
    </row>
    <row r="16" spans="1:15" x14ac:dyDescent="0.3">
      <c r="C16" s="29"/>
      <c r="G16" s="29"/>
    </row>
    <row r="17" spans="1:15" x14ac:dyDescent="0.3">
      <c r="A17" s="35" t="s">
        <v>201</v>
      </c>
      <c r="B17" s="35" t="s">
        <v>186</v>
      </c>
      <c r="C17" s="35" t="s">
        <v>187</v>
      </c>
      <c r="E17" s="35" t="s">
        <v>202</v>
      </c>
      <c r="F17" s="35" t="s">
        <v>186</v>
      </c>
      <c r="G17" s="35" t="s">
        <v>187</v>
      </c>
      <c r="I17" s="35" t="s">
        <v>203</v>
      </c>
      <c r="J17" s="35" t="s">
        <v>186</v>
      </c>
      <c r="K17" s="35" t="s">
        <v>187</v>
      </c>
      <c r="M17" s="35" t="s">
        <v>204</v>
      </c>
      <c r="N17" s="35" t="s">
        <v>186</v>
      </c>
      <c r="O17" s="35" t="s">
        <v>187</v>
      </c>
    </row>
    <row r="18" spans="1:15" x14ac:dyDescent="0.3">
      <c r="A18" s="20" t="s">
        <v>191</v>
      </c>
      <c r="B18" s="20"/>
      <c r="C18" s="36">
        <v>15000</v>
      </c>
      <c r="E18" s="20" t="s">
        <v>191</v>
      </c>
      <c r="F18" s="20"/>
      <c r="G18" s="36">
        <v>16500</v>
      </c>
      <c r="I18" s="20" t="s">
        <v>191</v>
      </c>
      <c r="J18" s="20"/>
      <c r="K18" s="36">
        <v>16500</v>
      </c>
      <c r="M18" s="20" t="s">
        <v>191</v>
      </c>
      <c r="N18" s="20"/>
      <c r="O18" s="36">
        <v>16500</v>
      </c>
    </row>
    <row r="19" spans="1:15" x14ac:dyDescent="0.3">
      <c r="A19" s="20" t="s">
        <v>192</v>
      </c>
      <c r="B19" s="37">
        <v>0.03</v>
      </c>
      <c r="C19" s="36">
        <f>C18*B19</f>
        <v>450</v>
      </c>
      <c r="E19" s="20" t="s">
        <v>192</v>
      </c>
      <c r="F19" s="37">
        <v>0.03</v>
      </c>
      <c r="G19" s="36">
        <f>G18*F19</f>
        <v>495</v>
      </c>
      <c r="I19" s="20" t="s">
        <v>192</v>
      </c>
      <c r="J19" s="37">
        <v>0.03</v>
      </c>
      <c r="K19" s="36">
        <f>K18*J19</f>
        <v>495</v>
      </c>
      <c r="M19" s="20" t="s">
        <v>192</v>
      </c>
      <c r="N19" s="37">
        <v>0.03</v>
      </c>
      <c r="O19" s="36">
        <f>O18*N19</f>
        <v>495</v>
      </c>
    </row>
    <row r="20" spans="1:15" x14ac:dyDescent="0.3">
      <c r="A20" s="20" t="s">
        <v>193</v>
      </c>
      <c r="B20" s="37">
        <v>0.2</v>
      </c>
      <c r="C20" s="36">
        <f>C18*B20</f>
        <v>3000</v>
      </c>
      <c r="E20" s="20" t="s">
        <v>193</v>
      </c>
      <c r="F20" s="37">
        <v>0.2</v>
      </c>
      <c r="G20" s="36">
        <f>G18*F20</f>
        <v>3300</v>
      </c>
      <c r="I20" s="20" t="s">
        <v>193</v>
      </c>
      <c r="J20" s="37">
        <v>0.2</v>
      </c>
      <c r="K20" s="36">
        <f>K18*J20</f>
        <v>3300</v>
      </c>
      <c r="M20" s="20" t="s">
        <v>193</v>
      </c>
      <c r="N20" s="37">
        <v>0.2</v>
      </c>
      <c r="O20" s="36">
        <f>O18*N20</f>
        <v>3300</v>
      </c>
    </row>
    <row r="21" spans="1:15" x14ac:dyDescent="0.3">
      <c r="A21" s="20" t="s">
        <v>194</v>
      </c>
      <c r="B21" s="37">
        <v>0.13</v>
      </c>
      <c r="C21" s="36">
        <f>C18*B21</f>
        <v>1950</v>
      </c>
      <c r="E21" s="20" t="s">
        <v>194</v>
      </c>
      <c r="F21" s="37">
        <v>0.13</v>
      </c>
      <c r="G21" s="36">
        <f>G18*F21</f>
        <v>2145</v>
      </c>
      <c r="I21" s="20" t="s">
        <v>194</v>
      </c>
      <c r="J21" s="37">
        <v>0.13</v>
      </c>
      <c r="K21" s="36">
        <f>K18*J21</f>
        <v>2145</v>
      </c>
      <c r="M21" s="20" t="s">
        <v>194</v>
      </c>
      <c r="N21" s="37">
        <v>0.13</v>
      </c>
      <c r="O21" s="36">
        <f>O18*N21</f>
        <v>2145</v>
      </c>
    </row>
    <row r="22" spans="1:15" x14ac:dyDescent="0.3">
      <c r="A22" s="20" t="s">
        <v>195</v>
      </c>
      <c r="B22" s="20"/>
      <c r="C22" s="36"/>
      <c r="E22" s="20" t="s">
        <v>195</v>
      </c>
      <c r="F22" s="20"/>
      <c r="G22" s="36"/>
      <c r="I22" s="20" t="s">
        <v>195</v>
      </c>
      <c r="J22" s="20"/>
      <c r="K22" s="36"/>
      <c r="M22" s="20" t="s">
        <v>195</v>
      </c>
      <c r="N22" s="20"/>
      <c r="O22" s="36"/>
    </row>
    <row r="23" spans="1:15" x14ac:dyDescent="0.3">
      <c r="A23" s="20" t="s">
        <v>196</v>
      </c>
      <c r="B23" s="20">
        <v>0.28846100000000002</v>
      </c>
      <c r="C23" s="36">
        <f>(C18/30)*B23</f>
        <v>144.23050000000001</v>
      </c>
      <c r="E23" s="20" t="s">
        <v>196</v>
      </c>
      <c r="F23" s="20">
        <v>0.28846100000000002</v>
      </c>
      <c r="G23" s="36">
        <f>(G18/30)*F23</f>
        <v>158.65355000000002</v>
      </c>
      <c r="I23" s="20" t="s">
        <v>196</v>
      </c>
      <c r="J23" s="20">
        <v>0.28846100000000002</v>
      </c>
      <c r="K23" s="36">
        <f>(K18/30)*J23</f>
        <v>158.65355000000002</v>
      </c>
      <c r="M23" s="20" t="s">
        <v>196</v>
      </c>
      <c r="N23" s="20">
        <v>0.28846100000000002</v>
      </c>
      <c r="O23" s="36">
        <f>(O18/30)*N23</f>
        <v>158.65355000000002</v>
      </c>
    </row>
    <row r="24" spans="1:15" x14ac:dyDescent="0.3">
      <c r="A24" s="20" t="s">
        <v>197</v>
      </c>
      <c r="B24" s="37">
        <v>7.0000000000000007E-2</v>
      </c>
      <c r="C24" s="36">
        <f>C18*B24</f>
        <v>1050</v>
      </c>
      <c r="E24" s="20" t="s">
        <v>197</v>
      </c>
      <c r="F24" s="37">
        <v>7.0000000000000007E-2</v>
      </c>
      <c r="G24" s="36">
        <f>G18*F24</f>
        <v>1155</v>
      </c>
      <c r="I24" s="20" t="s">
        <v>197</v>
      </c>
      <c r="J24" s="37">
        <v>7.0000000000000007E-2</v>
      </c>
      <c r="K24" s="36">
        <f>K18*J24</f>
        <v>1155</v>
      </c>
      <c r="M24" s="20" t="s">
        <v>197</v>
      </c>
      <c r="N24" s="37">
        <v>7.0000000000000007E-2</v>
      </c>
      <c r="O24" s="36">
        <f>O18*N24</f>
        <v>1155</v>
      </c>
    </row>
    <row r="25" spans="1:15" x14ac:dyDescent="0.3">
      <c r="A25" s="20" t="s">
        <v>198</v>
      </c>
      <c r="B25" s="37">
        <v>0.02</v>
      </c>
      <c r="C25" s="36">
        <f>C18*B25</f>
        <v>300</v>
      </c>
      <c r="E25" s="20" t="s">
        <v>198</v>
      </c>
      <c r="F25" s="37">
        <v>0.02</v>
      </c>
      <c r="G25" s="36">
        <f>G18*F25</f>
        <v>330</v>
      </c>
      <c r="I25" s="20" t="s">
        <v>198</v>
      </c>
      <c r="J25" s="37">
        <v>0.02</v>
      </c>
      <c r="K25" s="36">
        <f>K18*J25</f>
        <v>330</v>
      </c>
      <c r="M25" s="20" t="s">
        <v>198</v>
      </c>
      <c r="N25" s="37">
        <v>0.02</v>
      </c>
      <c r="O25" s="36">
        <f>O18*N25</f>
        <v>330</v>
      </c>
    </row>
    <row r="26" spans="1:15" x14ac:dyDescent="0.3">
      <c r="A26" s="20" t="s">
        <v>199</v>
      </c>
      <c r="B26" s="37">
        <v>0.1792</v>
      </c>
      <c r="C26" s="36"/>
      <c r="E26" s="20" t="s">
        <v>199</v>
      </c>
      <c r="F26" s="37">
        <v>0.21360000000000001</v>
      </c>
      <c r="G26" s="36">
        <f>F26*G18</f>
        <v>3524.4</v>
      </c>
      <c r="I26" s="20" t="s">
        <v>199</v>
      </c>
      <c r="J26" s="37">
        <v>0.21360000000000001</v>
      </c>
      <c r="K26" s="36">
        <f>J26*K18</f>
        <v>3524.4</v>
      </c>
      <c r="M26" s="20" t="s">
        <v>199</v>
      </c>
      <c r="N26" s="37">
        <v>0.21360000000000001</v>
      </c>
      <c r="O26" s="36">
        <f>N26*O18</f>
        <v>3524.4</v>
      </c>
    </row>
    <row r="27" spans="1:15" x14ac:dyDescent="0.3">
      <c r="A27" s="20"/>
      <c r="B27" s="20"/>
      <c r="C27" s="36">
        <f>SUM(C19:C25)</f>
        <v>6894.2304999999997</v>
      </c>
      <c r="E27" s="20"/>
      <c r="F27" s="20"/>
      <c r="G27" s="36">
        <f>SUM(G19:G25)</f>
        <v>7583.65355</v>
      </c>
      <c r="I27" s="20"/>
      <c r="J27" s="20"/>
      <c r="K27" s="36">
        <f>SUM(K19:K25)</f>
        <v>7583.65355</v>
      </c>
      <c r="M27" s="20"/>
      <c r="N27" s="20"/>
      <c r="O27" s="36">
        <f>SUM(O19:O25)</f>
        <v>7583.65355</v>
      </c>
    </row>
    <row r="28" spans="1:15" x14ac:dyDescent="0.3">
      <c r="A28" s="20" t="s">
        <v>200</v>
      </c>
      <c r="B28" s="20"/>
      <c r="C28" s="36">
        <f>C18+C27</f>
        <v>21894.230499999998</v>
      </c>
      <c r="E28" s="20" t="s">
        <v>200</v>
      </c>
      <c r="F28" s="20"/>
      <c r="G28" s="36">
        <f>G18+G27</f>
        <v>24083.653549999999</v>
      </c>
      <c r="I28" s="20" t="s">
        <v>200</v>
      </c>
      <c r="J28" s="20"/>
      <c r="K28" s="36">
        <f>K18+K27</f>
        <v>24083.653549999999</v>
      </c>
      <c r="M28" s="20" t="s">
        <v>200</v>
      </c>
      <c r="N28" s="20"/>
      <c r="O28" s="36">
        <f>O18+O27</f>
        <v>24083.653549999999</v>
      </c>
    </row>
    <row r="29" spans="1:15" x14ac:dyDescent="0.3">
      <c r="C29" s="29"/>
    </row>
    <row r="30" spans="1:15" x14ac:dyDescent="0.3">
      <c r="C30" s="29"/>
    </row>
    <row r="31" spans="1:15" x14ac:dyDescent="0.3">
      <c r="A31" s="35" t="s">
        <v>205</v>
      </c>
      <c r="B31" s="35" t="s">
        <v>186</v>
      </c>
      <c r="C31" s="35" t="s">
        <v>187</v>
      </c>
      <c r="E31" s="35" t="s">
        <v>206</v>
      </c>
      <c r="F31" s="35" t="s">
        <v>186</v>
      </c>
      <c r="G31" s="35" t="s">
        <v>187</v>
      </c>
      <c r="I31" s="35" t="s">
        <v>207</v>
      </c>
      <c r="J31" s="35" t="s">
        <v>186</v>
      </c>
      <c r="K31" s="35" t="s">
        <v>187</v>
      </c>
      <c r="M31" s="35" t="s">
        <v>208</v>
      </c>
      <c r="N31" s="35" t="s">
        <v>186</v>
      </c>
      <c r="O31" s="35" t="s">
        <v>187</v>
      </c>
    </row>
    <row r="32" spans="1:15" x14ac:dyDescent="0.3">
      <c r="A32" s="20" t="s">
        <v>191</v>
      </c>
      <c r="B32" s="20"/>
      <c r="C32" s="36">
        <v>21000</v>
      </c>
      <c r="E32" s="20" t="s">
        <v>191</v>
      </c>
      <c r="F32" s="20"/>
      <c r="G32" s="36">
        <v>21000</v>
      </c>
      <c r="I32" s="20" t="s">
        <v>191</v>
      </c>
      <c r="J32" s="20"/>
      <c r="K32" s="36">
        <v>16500</v>
      </c>
      <c r="M32" s="20" t="s">
        <v>191</v>
      </c>
      <c r="N32" s="20"/>
      <c r="O32" s="36">
        <v>21000</v>
      </c>
    </row>
    <row r="33" spans="1:15" x14ac:dyDescent="0.3">
      <c r="A33" s="20" t="s">
        <v>192</v>
      </c>
      <c r="B33" s="37">
        <v>0.03</v>
      </c>
      <c r="C33" s="36">
        <f>C32*B33</f>
        <v>630</v>
      </c>
      <c r="E33" s="20" t="s">
        <v>192</v>
      </c>
      <c r="F33" s="37">
        <v>0.03</v>
      </c>
      <c r="G33" s="36">
        <f>G32*F33</f>
        <v>630</v>
      </c>
      <c r="I33" s="20" t="s">
        <v>192</v>
      </c>
      <c r="J33" s="37">
        <v>0.03</v>
      </c>
      <c r="K33" s="36">
        <f>K32*J33</f>
        <v>495</v>
      </c>
      <c r="M33" s="20" t="s">
        <v>192</v>
      </c>
      <c r="N33" s="37">
        <v>0.03</v>
      </c>
      <c r="O33" s="36">
        <f>O32*N33</f>
        <v>630</v>
      </c>
    </row>
    <row r="34" spans="1:15" x14ac:dyDescent="0.3">
      <c r="A34" s="20" t="s">
        <v>193</v>
      </c>
      <c r="B34" s="37">
        <v>0.2</v>
      </c>
      <c r="C34" s="36">
        <f>C32*B34</f>
        <v>4200</v>
      </c>
      <c r="E34" s="20" t="s">
        <v>193</v>
      </c>
      <c r="F34" s="37">
        <v>0.2</v>
      </c>
      <c r="G34" s="36">
        <f>G32*F34</f>
        <v>4200</v>
      </c>
      <c r="I34" s="20" t="s">
        <v>193</v>
      </c>
      <c r="J34" s="37">
        <v>0.2</v>
      </c>
      <c r="K34" s="36">
        <f>K32*J34</f>
        <v>3300</v>
      </c>
      <c r="M34" s="20" t="s">
        <v>193</v>
      </c>
      <c r="N34" s="37">
        <v>0.2</v>
      </c>
      <c r="O34" s="36">
        <f>O32*N34</f>
        <v>4200</v>
      </c>
    </row>
    <row r="35" spans="1:15" x14ac:dyDescent="0.3">
      <c r="A35" s="20" t="s">
        <v>194</v>
      </c>
      <c r="B35" s="37">
        <v>0.13</v>
      </c>
      <c r="C35" s="36">
        <f>C32*B35</f>
        <v>2730</v>
      </c>
      <c r="E35" s="20" t="s">
        <v>194</v>
      </c>
      <c r="F35" s="37">
        <v>0.13</v>
      </c>
      <c r="G35" s="36">
        <f>G32*F35</f>
        <v>2730</v>
      </c>
      <c r="I35" s="20" t="s">
        <v>194</v>
      </c>
      <c r="J35" s="37">
        <v>0.13</v>
      </c>
      <c r="K35" s="36">
        <f>K32*J35</f>
        <v>2145</v>
      </c>
      <c r="M35" s="20" t="s">
        <v>194</v>
      </c>
      <c r="N35" s="37">
        <v>0.13</v>
      </c>
      <c r="O35" s="36">
        <f>O32*N35</f>
        <v>2730</v>
      </c>
    </row>
    <row r="36" spans="1:15" x14ac:dyDescent="0.3">
      <c r="A36" s="20" t="s">
        <v>195</v>
      </c>
      <c r="B36" s="20"/>
      <c r="C36" s="36"/>
      <c r="E36" s="20" t="s">
        <v>195</v>
      </c>
      <c r="F36" s="20"/>
      <c r="G36" s="36"/>
      <c r="I36" s="20" t="s">
        <v>195</v>
      </c>
      <c r="J36" s="20"/>
      <c r="K36" s="36"/>
      <c r="M36" s="20" t="s">
        <v>195</v>
      </c>
      <c r="N36" s="20"/>
      <c r="O36" s="36"/>
    </row>
    <row r="37" spans="1:15" x14ac:dyDescent="0.3">
      <c r="A37" s="20" t="s">
        <v>196</v>
      </c>
      <c r="B37" s="20">
        <v>0.28846100000000002</v>
      </c>
      <c r="C37" s="36">
        <f>(C32/30)*B37</f>
        <v>201.92270000000002</v>
      </c>
      <c r="E37" s="20" t="s">
        <v>196</v>
      </c>
      <c r="F37" s="20">
        <v>0.28846100000000002</v>
      </c>
      <c r="G37" s="36">
        <f>(G32/30)*F37</f>
        <v>201.92270000000002</v>
      </c>
      <c r="I37" s="20" t="s">
        <v>196</v>
      </c>
      <c r="J37" s="20">
        <v>0.28846100000000002</v>
      </c>
      <c r="K37" s="36">
        <f>(K32/30)*J37</f>
        <v>158.65355000000002</v>
      </c>
      <c r="M37" s="20" t="s">
        <v>196</v>
      </c>
      <c r="N37" s="20">
        <v>0.28846100000000002</v>
      </c>
      <c r="O37" s="36">
        <f>(O32/30)*N37</f>
        <v>201.92270000000002</v>
      </c>
    </row>
    <row r="38" spans="1:15" x14ac:dyDescent="0.3">
      <c r="A38" s="20" t="s">
        <v>197</v>
      </c>
      <c r="B38" s="37">
        <v>7.0000000000000007E-2</v>
      </c>
      <c r="C38" s="36">
        <f>C32*B38</f>
        <v>1470.0000000000002</v>
      </c>
      <c r="E38" s="20" t="s">
        <v>197</v>
      </c>
      <c r="F38" s="37">
        <v>7.0000000000000007E-2</v>
      </c>
      <c r="G38" s="36">
        <f>G32*F38</f>
        <v>1470.0000000000002</v>
      </c>
      <c r="I38" s="20" t="s">
        <v>197</v>
      </c>
      <c r="J38" s="37">
        <v>7.0000000000000007E-2</v>
      </c>
      <c r="K38" s="36">
        <f>K32*J38</f>
        <v>1155</v>
      </c>
      <c r="M38" s="20" t="s">
        <v>197</v>
      </c>
      <c r="N38" s="37">
        <v>7.0000000000000007E-2</v>
      </c>
      <c r="O38" s="36">
        <f>O32*N38</f>
        <v>1470.0000000000002</v>
      </c>
    </row>
    <row r="39" spans="1:15" x14ac:dyDescent="0.3">
      <c r="A39" s="20" t="s">
        <v>198</v>
      </c>
      <c r="B39" s="37">
        <v>0.02</v>
      </c>
      <c r="C39" s="36">
        <f>C32*B39</f>
        <v>420</v>
      </c>
      <c r="E39" s="20" t="s">
        <v>198</v>
      </c>
      <c r="F39" s="37">
        <v>0.02</v>
      </c>
      <c r="G39" s="36">
        <f>G32*F39</f>
        <v>420</v>
      </c>
      <c r="I39" s="20" t="s">
        <v>198</v>
      </c>
      <c r="J39" s="37">
        <v>0.02</v>
      </c>
      <c r="K39" s="36">
        <f>K32*J39</f>
        <v>330</v>
      </c>
      <c r="M39" s="20" t="s">
        <v>198</v>
      </c>
      <c r="N39" s="37">
        <v>0.02</v>
      </c>
      <c r="O39" s="36">
        <f>O32*N39</f>
        <v>420</v>
      </c>
    </row>
    <row r="40" spans="1:15" x14ac:dyDescent="0.3">
      <c r="A40" s="20" t="s">
        <v>199</v>
      </c>
      <c r="B40" s="37">
        <v>0.21360000000000001</v>
      </c>
      <c r="C40" s="36">
        <f>B40*C32</f>
        <v>4485.6000000000004</v>
      </c>
      <c r="E40" s="20" t="s">
        <v>199</v>
      </c>
      <c r="F40" s="37">
        <v>0.21360000000000001</v>
      </c>
      <c r="G40" s="36">
        <f>F40*G32</f>
        <v>4485.6000000000004</v>
      </c>
      <c r="I40" s="20" t="s">
        <v>199</v>
      </c>
      <c r="J40" s="37">
        <v>0.21360000000000001</v>
      </c>
      <c r="K40" s="36">
        <f>J40*K32</f>
        <v>3524.4</v>
      </c>
      <c r="M40" s="20" t="s">
        <v>199</v>
      </c>
      <c r="N40" s="37">
        <v>0.21360000000000001</v>
      </c>
      <c r="O40" s="36">
        <f>N40*O32</f>
        <v>4485.6000000000004</v>
      </c>
    </row>
    <row r="41" spans="1:15" x14ac:dyDescent="0.3">
      <c r="A41" s="20"/>
      <c r="B41" s="20"/>
      <c r="C41" s="36">
        <f>SUM(C33:C39)</f>
        <v>9651.922700000001</v>
      </c>
      <c r="E41" s="20"/>
      <c r="F41" s="20"/>
      <c r="G41" s="36">
        <f>SUM(G33:G39)</f>
        <v>9651.922700000001</v>
      </c>
      <c r="I41" s="20"/>
      <c r="J41" s="20"/>
      <c r="K41" s="36">
        <f>SUM(K33:K39)</f>
        <v>7583.65355</v>
      </c>
      <c r="M41" s="20"/>
      <c r="N41" s="20"/>
      <c r="O41" s="36">
        <f>SUM(O33:O39)</f>
        <v>9651.922700000001</v>
      </c>
    </row>
    <row r="42" spans="1:15" x14ac:dyDescent="0.3">
      <c r="A42" s="20" t="s">
        <v>200</v>
      </c>
      <c r="B42" s="20"/>
      <c r="C42" s="36">
        <f>C32+C41</f>
        <v>30651.922700000003</v>
      </c>
      <c r="E42" s="20" t="s">
        <v>200</v>
      </c>
      <c r="F42" s="20"/>
      <c r="G42" s="36">
        <f>G32+G41</f>
        <v>30651.922700000003</v>
      </c>
      <c r="I42" s="20" t="s">
        <v>200</v>
      </c>
      <c r="J42" s="20"/>
      <c r="K42" s="36">
        <f>K32+K41</f>
        <v>24083.653549999999</v>
      </c>
      <c r="M42" s="20" t="s">
        <v>200</v>
      </c>
      <c r="N42" s="20"/>
      <c r="O42" s="36">
        <f>O32+O41</f>
        <v>30651.922700000003</v>
      </c>
    </row>
    <row r="45" spans="1:15" x14ac:dyDescent="0.3">
      <c r="A45" s="35" t="s">
        <v>209</v>
      </c>
      <c r="B45" s="35" t="s">
        <v>186</v>
      </c>
      <c r="C45" s="35" t="s">
        <v>187</v>
      </c>
    </row>
    <row r="46" spans="1:15" x14ac:dyDescent="0.3">
      <c r="A46" s="20" t="s">
        <v>191</v>
      </c>
      <c r="B46" s="20"/>
      <c r="C46" s="36">
        <v>35000</v>
      </c>
    </row>
    <row r="47" spans="1:15" x14ac:dyDescent="0.3">
      <c r="A47" s="20" t="s">
        <v>192</v>
      </c>
      <c r="B47" s="37">
        <v>0.03</v>
      </c>
      <c r="C47" s="36">
        <f>C46*B47</f>
        <v>1050</v>
      </c>
    </row>
    <row r="48" spans="1:15" x14ac:dyDescent="0.3">
      <c r="A48" s="20" t="s">
        <v>193</v>
      </c>
      <c r="B48" s="37">
        <v>0.2</v>
      </c>
      <c r="C48" s="36">
        <f>C46*B48</f>
        <v>7000</v>
      </c>
    </row>
    <row r="49" spans="1:15" x14ac:dyDescent="0.3">
      <c r="A49" s="20" t="s">
        <v>194</v>
      </c>
      <c r="B49" s="37">
        <v>0.13</v>
      </c>
      <c r="C49" s="36">
        <f>C46*B49</f>
        <v>4550</v>
      </c>
    </row>
    <row r="50" spans="1:15" x14ac:dyDescent="0.3">
      <c r="A50" s="20" t="s">
        <v>195</v>
      </c>
      <c r="B50" s="20"/>
      <c r="C50" s="36"/>
    </row>
    <row r="51" spans="1:15" x14ac:dyDescent="0.3">
      <c r="A51" s="20" t="s">
        <v>196</v>
      </c>
      <c r="B51" s="20">
        <v>0.28846100000000002</v>
      </c>
      <c r="C51" s="36">
        <f>(C46/30)*B51</f>
        <v>336.53783333333337</v>
      </c>
    </row>
    <row r="52" spans="1:15" x14ac:dyDescent="0.3">
      <c r="A52" s="20" t="s">
        <v>197</v>
      </c>
      <c r="B52" s="37">
        <v>7.0000000000000007E-2</v>
      </c>
      <c r="C52" s="36">
        <f>C46*B52</f>
        <v>2450.0000000000005</v>
      </c>
    </row>
    <row r="53" spans="1:15" x14ac:dyDescent="0.3">
      <c r="A53" s="20" t="s">
        <v>198</v>
      </c>
      <c r="B53" s="37">
        <v>0.02</v>
      </c>
      <c r="C53" s="36">
        <f>C46*B53</f>
        <v>700</v>
      </c>
    </row>
    <row r="54" spans="1:15" x14ac:dyDescent="0.3">
      <c r="A54" s="20" t="s">
        <v>199</v>
      </c>
      <c r="B54" s="37">
        <v>0.23519999999999999</v>
      </c>
      <c r="C54" s="36">
        <f>C46*B54</f>
        <v>8232</v>
      </c>
    </row>
    <row r="55" spans="1:15" x14ac:dyDescent="0.3">
      <c r="A55" s="20"/>
      <c r="B55" s="20"/>
      <c r="C55" s="36">
        <f>SUM(C47:C53)</f>
        <v>16086.537833333334</v>
      </c>
    </row>
    <row r="56" spans="1:15" x14ac:dyDescent="0.3">
      <c r="A56" s="20" t="s">
        <v>200</v>
      </c>
      <c r="B56" s="20"/>
      <c r="C56" s="36">
        <f>C46+C55</f>
        <v>51086.537833333336</v>
      </c>
    </row>
    <row r="59" spans="1:15" x14ac:dyDescent="0.3">
      <c r="A59" t="s">
        <v>210</v>
      </c>
    </row>
    <row r="61" spans="1:15" x14ac:dyDescent="0.3">
      <c r="A61" s="35" t="s">
        <v>211</v>
      </c>
      <c r="B61" s="35" t="s">
        <v>186</v>
      </c>
      <c r="C61" s="35" t="s">
        <v>187</v>
      </c>
      <c r="E61" s="35" t="s">
        <v>212</v>
      </c>
      <c r="F61" s="35" t="s">
        <v>186</v>
      </c>
      <c r="G61" s="35" t="s">
        <v>187</v>
      </c>
      <c r="I61" s="35" t="s">
        <v>213</v>
      </c>
      <c r="J61" s="35" t="s">
        <v>186</v>
      </c>
      <c r="K61" s="35" t="s">
        <v>187</v>
      </c>
      <c r="M61" s="35" t="s">
        <v>214</v>
      </c>
      <c r="N61" s="35" t="s">
        <v>186</v>
      </c>
      <c r="O61" s="35" t="s">
        <v>187</v>
      </c>
    </row>
    <row r="62" spans="1:15" x14ac:dyDescent="0.3">
      <c r="A62" s="20" t="s">
        <v>191</v>
      </c>
      <c r="B62" s="20"/>
      <c r="C62" s="36">
        <v>21000</v>
      </c>
      <c r="E62" s="20" t="s">
        <v>191</v>
      </c>
      <c r="F62" s="20"/>
      <c r="G62" s="36">
        <v>25000</v>
      </c>
      <c r="I62" s="20" t="s">
        <v>191</v>
      </c>
      <c r="J62" s="20"/>
      <c r="K62" s="36">
        <v>21000</v>
      </c>
      <c r="M62" s="20" t="s">
        <v>191</v>
      </c>
      <c r="N62" s="20"/>
      <c r="O62" s="36">
        <v>21000</v>
      </c>
    </row>
    <row r="63" spans="1:15" x14ac:dyDescent="0.3">
      <c r="A63" s="20" t="s">
        <v>192</v>
      </c>
      <c r="B63" s="37">
        <v>0.03</v>
      </c>
      <c r="C63" s="36">
        <f>C62*B63</f>
        <v>630</v>
      </c>
      <c r="E63" s="20" t="s">
        <v>192</v>
      </c>
      <c r="F63" s="37">
        <v>0.03</v>
      </c>
      <c r="G63" s="36">
        <f>G62*F63</f>
        <v>750</v>
      </c>
      <c r="I63" s="20" t="s">
        <v>192</v>
      </c>
      <c r="J63" s="37">
        <v>0.03</v>
      </c>
      <c r="K63" s="36">
        <f>K62*J63</f>
        <v>630</v>
      </c>
      <c r="M63" s="20" t="s">
        <v>192</v>
      </c>
      <c r="N63" s="37">
        <v>0.03</v>
      </c>
      <c r="O63" s="36">
        <f>O62*N63</f>
        <v>630</v>
      </c>
    </row>
    <row r="64" spans="1:15" x14ac:dyDescent="0.3">
      <c r="A64" s="20" t="s">
        <v>193</v>
      </c>
      <c r="B64" s="37">
        <v>0.2</v>
      </c>
      <c r="C64" s="36">
        <f>C62*B64</f>
        <v>4200</v>
      </c>
      <c r="E64" s="20" t="s">
        <v>193</v>
      </c>
      <c r="F64" s="37">
        <v>0.2</v>
      </c>
      <c r="G64" s="36">
        <f>G62*F64</f>
        <v>5000</v>
      </c>
      <c r="I64" s="20" t="s">
        <v>193</v>
      </c>
      <c r="J64" s="37">
        <v>0.2</v>
      </c>
      <c r="K64" s="36">
        <f>K62*J64</f>
        <v>4200</v>
      </c>
      <c r="M64" s="20" t="s">
        <v>193</v>
      </c>
      <c r="N64" s="37">
        <v>0.2</v>
      </c>
      <c r="O64" s="36">
        <f>O62*N64</f>
        <v>4200</v>
      </c>
    </row>
    <row r="65" spans="1:15" x14ac:dyDescent="0.3">
      <c r="A65" s="20" t="s">
        <v>194</v>
      </c>
      <c r="B65" s="37">
        <v>0.13</v>
      </c>
      <c r="C65" s="36">
        <f>C62*B65</f>
        <v>2730</v>
      </c>
      <c r="E65" s="20" t="s">
        <v>194</v>
      </c>
      <c r="F65" s="37">
        <v>0.13</v>
      </c>
      <c r="G65" s="36">
        <f>G62*F65</f>
        <v>3250</v>
      </c>
      <c r="I65" s="20" t="s">
        <v>194</v>
      </c>
      <c r="J65" s="37">
        <v>0.13</v>
      </c>
      <c r="K65" s="36">
        <f>K62*J65</f>
        <v>2730</v>
      </c>
      <c r="M65" s="20" t="s">
        <v>194</v>
      </c>
      <c r="N65" s="37">
        <v>0.13</v>
      </c>
      <c r="O65" s="36">
        <f>O62*N65</f>
        <v>2730</v>
      </c>
    </row>
    <row r="66" spans="1:15" x14ac:dyDescent="0.3">
      <c r="A66" s="20" t="s">
        <v>195</v>
      </c>
      <c r="B66" s="20"/>
      <c r="C66" s="36"/>
      <c r="E66" s="20" t="s">
        <v>195</v>
      </c>
      <c r="F66" s="20"/>
      <c r="G66" s="36"/>
      <c r="I66" s="20" t="s">
        <v>195</v>
      </c>
      <c r="J66" s="20"/>
      <c r="K66" s="36"/>
      <c r="M66" s="20" t="s">
        <v>195</v>
      </c>
      <c r="N66" s="20"/>
      <c r="O66" s="36"/>
    </row>
    <row r="67" spans="1:15" x14ac:dyDescent="0.3">
      <c r="A67" s="20" t="s">
        <v>196</v>
      </c>
      <c r="B67" s="20">
        <v>0.28846100000000002</v>
      </c>
      <c r="C67" s="36">
        <f>(C62/30)*B67</f>
        <v>201.92270000000002</v>
      </c>
      <c r="E67" s="20" t="s">
        <v>196</v>
      </c>
      <c r="F67" s="20">
        <v>0.28846100000000002</v>
      </c>
      <c r="G67" s="36">
        <f>(G62/30)*F67</f>
        <v>240.38416666666669</v>
      </c>
      <c r="I67" s="20" t="s">
        <v>196</v>
      </c>
      <c r="J67" s="20">
        <v>0.28846100000000002</v>
      </c>
      <c r="K67" s="36">
        <f>(K62/30)*J67</f>
        <v>201.92270000000002</v>
      </c>
      <c r="M67" s="20" t="s">
        <v>196</v>
      </c>
      <c r="N67" s="20">
        <v>0.28846100000000002</v>
      </c>
      <c r="O67" s="36">
        <f>(O62/30)*N67</f>
        <v>201.92270000000002</v>
      </c>
    </row>
    <row r="68" spans="1:15" x14ac:dyDescent="0.3">
      <c r="A68" s="20" t="s">
        <v>197</v>
      </c>
      <c r="B68" s="37">
        <v>7.0000000000000007E-2</v>
      </c>
      <c r="C68" s="36">
        <f>C62*B68</f>
        <v>1470.0000000000002</v>
      </c>
      <c r="E68" s="20" t="s">
        <v>197</v>
      </c>
      <c r="F68" s="37">
        <v>7.0000000000000007E-2</v>
      </c>
      <c r="G68" s="36">
        <f>G62*F68</f>
        <v>1750.0000000000002</v>
      </c>
      <c r="I68" s="20" t="s">
        <v>197</v>
      </c>
      <c r="J68" s="37">
        <v>7.0000000000000007E-2</v>
      </c>
      <c r="K68" s="36">
        <f>K62*J68</f>
        <v>1470.0000000000002</v>
      </c>
      <c r="M68" s="20" t="s">
        <v>197</v>
      </c>
      <c r="N68" s="37">
        <v>7.0000000000000007E-2</v>
      </c>
      <c r="O68" s="36">
        <f>O62*N68</f>
        <v>1470.0000000000002</v>
      </c>
    </row>
    <row r="69" spans="1:15" x14ac:dyDescent="0.3">
      <c r="A69" s="20" t="s">
        <v>198</v>
      </c>
      <c r="B69" s="37">
        <v>0.02</v>
      </c>
      <c r="C69" s="36">
        <f>C62*B69</f>
        <v>420</v>
      </c>
      <c r="E69" s="20" t="s">
        <v>198</v>
      </c>
      <c r="F69" s="37">
        <v>0.02</v>
      </c>
      <c r="G69" s="36">
        <f>G62*F69</f>
        <v>500</v>
      </c>
      <c r="I69" s="20" t="s">
        <v>198</v>
      </c>
      <c r="J69" s="37">
        <v>0.02</v>
      </c>
      <c r="K69" s="36">
        <f>K62*J69</f>
        <v>420</v>
      </c>
      <c r="M69" s="20" t="s">
        <v>198</v>
      </c>
      <c r="N69" s="37">
        <v>0.02</v>
      </c>
      <c r="O69" s="36">
        <f>O62*N69</f>
        <v>420</v>
      </c>
    </row>
    <row r="70" spans="1:15" x14ac:dyDescent="0.3">
      <c r="A70" s="20" t="s">
        <v>199</v>
      </c>
      <c r="B70" s="37">
        <v>0.21360000000000001</v>
      </c>
      <c r="C70" s="36">
        <f>B70*C62</f>
        <v>4485.6000000000004</v>
      </c>
      <c r="E70" s="20" t="s">
        <v>199</v>
      </c>
      <c r="F70" s="37">
        <v>0.21360000000000001</v>
      </c>
      <c r="G70" s="36">
        <f>F70*G62</f>
        <v>5340</v>
      </c>
      <c r="I70" s="20" t="s">
        <v>199</v>
      </c>
      <c r="J70" s="37">
        <v>0.21360000000000001</v>
      </c>
      <c r="K70" s="36">
        <f>J70*K62</f>
        <v>4485.6000000000004</v>
      </c>
      <c r="M70" s="20" t="s">
        <v>199</v>
      </c>
      <c r="N70" s="37">
        <v>0.21360000000000001</v>
      </c>
      <c r="O70" s="36">
        <f>N70*O62</f>
        <v>4485.6000000000004</v>
      </c>
    </row>
    <row r="71" spans="1:15" x14ac:dyDescent="0.3">
      <c r="A71" s="20"/>
      <c r="B71" s="20"/>
      <c r="C71" s="36">
        <f>SUM(C63:C69)</f>
        <v>9651.922700000001</v>
      </c>
      <c r="E71" s="20"/>
      <c r="F71" s="20"/>
      <c r="G71" s="36">
        <f>SUM(G63:G69)</f>
        <v>11490.384166666667</v>
      </c>
      <c r="I71" s="20"/>
      <c r="J71" s="20"/>
      <c r="K71" s="36">
        <f>SUM(K63:K69)</f>
        <v>9651.922700000001</v>
      </c>
      <c r="M71" s="20"/>
      <c r="N71" s="20"/>
      <c r="O71" s="36">
        <f>SUM(O63:O69)</f>
        <v>9651.922700000001</v>
      </c>
    </row>
    <row r="72" spans="1:15" x14ac:dyDescent="0.3">
      <c r="A72" s="20" t="s">
        <v>200</v>
      </c>
      <c r="B72" s="20"/>
      <c r="C72" s="36">
        <f>C62+C71</f>
        <v>30651.922700000003</v>
      </c>
      <c r="E72" s="20" t="s">
        <v>200</v>
      </c>
      <c r="F72" s="20"/>
      <c r="G72" s="36">
        <f>G62+G71</f>
        <v>36490.38416666667</v>
      </c>
      <c r="I72" s="20" t="s">
        <v>200</v>
      </c>
      <c r="J72" s="20"/>
      <c r="K72" s="36">
        <f>K62+K71</f>
        <v>30651.922700000003</v>
      </c>
      <c r="M72" s="20" t="s">
        <v>200</v>
      </c>
      <c r="N72" s="20"/>
      <c r="O72" s="36">
        <f>O62+O71</f>
        <v>30651.922700000003</v>
      </c>
    </row>
    <row r="75" spans="1:15" x14ac:dyDescent="0.3">
      <c r="A75" s="35" t="s">
        <v>215</v>
      </c>
      <c r="B75" s="35" t="s">
        <v>186</v>
      </c>
      <c r="C75" s="35" t="s">
        <v>187</v>
      </c>
      <c r="E75" s="35" t="s">
        <v>216</v>
      </c>
      <c r="F75" s="35" t="s">
        <v>186</v>
      </c>
      <c r="G75" s="35" t="s">
        <v>187</v>
      </c>
      <c r="I75" s="35" t="s">
        <v>217</v>
      </c>
      <c r="J75" s="35" t="s">
        <v>186</v>
      </c>
      <c r="K75" s="35" t="s">
        <v>187</v>
      </c>
      <c r="M75" s="35" t="s">
        <v>218</v>
      </c>
      <c r="N75" s="35" t="s">
        <v>186</v>
      </c>
      <c r="O75" s="35" t="s">
        <v>187</v>
      </c>
    </row>
    <row r="76" spans="1:15" x14ac:dyDescent="0.3">
      <c r="A76" s="20" t="s">
        <v>191</v>
      </c>
      <c r="B76" s="20"/>
      <c r="C76" s="36">
        <v>18000</v>
      </c>
      <c r="E76" s="20" t="s">
        <v>191</v>
      </c>
      <c r="F76" s="20"/>
      <c r="G76" s="36">
        <v>25000</v>
      </c>
      <c r="I76" s="20" t="s">
        <v>191</v>
      </c>
      <c r="J76" s="20"/>
      <c r="K76" s="36">
        <v>25000</v>
      </c>
      <c r="M76" s="20" t="s">
        <v>191</v>
      </c>
      <c r="N76" s="20"/>
      <c r="O76" s="36">
        <v>35000</v>
      </c>
    </row>
    <row r="77" spans="1:15" x14ac:dyDescent="0.3">
      <c r="A77" s="20" t="s">
        <v>192</v>
      </c>
      <c r="B77" s="37">
        <v>0.03</v>
      </c>
      <c r="C77" s="36">
        <f>C76*B77</f>
        <v>540</v>
      </c>
      <c r="E77" s="20" t="s">
        <v>192</v>
      </c>
      <c r="F77" s="37">
        <v>0.03</v>
      </c>
      <c r="G77" s="36">
        <f>G76*F77</f>
        <v>750</v>
      </c>
      <c r="I77" s="20" t="s">
        <v>192</v>
      </c>
      <c r="J77" s="37">
        <v>0.03</v>
      </c>
      <c r="K77" s="36">
        <f>K76*J77</f>
        <v>750</v>
      </c>
      <c r="M77" s="20" t="s">
        <v>192</v>
      </c>
      <c r="N77" s="37">
        <v>0.03</v>
      </c>
      <c r="O77" s="36">
        <f>O76*N77</f>
        <v>1050</v>
      </c>
    </row>
    <row r="78" spans="1:15" x14ac:dyDescent="0.3">
      <c r="A78" s="20" t="s">
        <v>193</v>
      </c>
      <c r="B78" s="37">
        <v>0.2</v>
      </c>
      <c r="C78" s="36">
        <f>C76*B78</f>
        <v>3600</v>
      </c>
      <c r="E78" s="20" t="s">
        <v>193</v>
      </c>
      <c r="F78" s="37">
        <v>0.2</v>
      </c>
      <c r="G78" s="36">
        <f>G76*F78</f>
        <v>5000</v>
      </c>
      <c r="I78" s="20" t="s">
        <v>193</v>
      </c>
      <c r="J78" s="37">
        <v>0.2</v>
      </c>
      <c r="K78" s="36">
        <f>K76*J78</f>
        <v>5000</v>
      </c>
      <c r="M78" s="20" t="s">
        <v>193</v>
      </c>
      <c r="N78" s="37">
        <v>0.2</v>
      </c>
      <c r="O78" s="36">
        <f>O76*N78</f>
        <v>7000</v>
      </c>
    </row>
    <row r="79" spans="1:15" x14ac:dyDescent="0.3">
      <c r="A79" s="20" t="s">
        <v>194</v>
      </c>
      <c r="B79" s="37">
        <v>0.13</v>
      </c>
      <c r="C79" s="36">
        <f>C76*B79</f>
        <v>2340</v>
      </c>
      <c r="E79" s="20" t="s">
        <v>194</v>
      </c>
      <c r="F79" s="37">
        <v>0.13</v>
      </c>
      <c r="G79" s="36">
        <f>G76*F79</f>
        <v>3250</v>
      </c>
      <c r="I79" s="20" t="s">
        <v>194</v>
      </c>
      <c r="J79" s="37">
        <v>0.13</v>
      </c>
      <c r="K79" s="36">
        <f>K76*J79</f>
        <v>3250</v>
      </c>
      <c r="M79" s="20" t="s">
        <v>194</v>
      </c>
      <c r="N79" s="37">
        <v>0.13</v>
      </c>
      <c r="O79" s="36">
        <f>O76*N79</f>
        <v>4550</v>
      </c>
    </row>
    <row r="80" spans="1:15" x14ac:dyDescent="0.3">
      <c r="A80" s="20" t="s">
        <v>195</v>
      </c>
      <c r="B80" s="20"/>
      <c r="C80" s="36"/>
      <c r="E80" s="20" t="s">
        <v>195</v>
      </c>
      <c r="F80" s="20"/>
      <c r="G80" s="36"/>
      <c r="I80" s="20" t="s">
        <v>195</v>
      </c>
      <c r="J80" s="20"/>
      <c r="K80" s="36"/>
      <c r="M80" s="20" t="s">
        <v>195</v>
      </c>
      <c r="N80" s="20"/>
      <c r="O80" s="36"/>
    </row>
    <row r="81" spans="1:15" x14ac:dyDescent="0.3">
      <c r="A81" s="20" t="s">
        <v>196</v>
      </c>
      <c r="B81" s="20">
        <v>0.28846100000000002</v>
      </c>
      <c r="C81" s="36">
        <f>(C76/30)*B81</f>
        <v>173.07660000000001</v>
      </c>
      <c r="E81" s="20" t="s">
        <v>196</v>
      </c>
      <c r="F81" s="20">
        <v>0.28846100000000002</v>
      </c>
      <c r="G81" s="36">
        <f>(G76/30)*F81</f>
        <v>240.38416666666669</v>
      </c>
      <c r="I81" s="20" t="s">
        <v>196</v>
      </c>
      <c r="J81" s="20">
        <v>0.28846100000000002</v>
      </c>
      <c r="K81" s="36">
        <f>(K76/30)*J81</f>
        <v>240.38416666666669</v>
      </c>
      <c r="M81" s="20" t="s">
        <v>196</v>
      </c>
      <c r="N81" s="20">
        <v>0.28846100000000002</v>
      </c>
      <c r="O81" s="36">
        <f>(O76/30)*N81</f>
        <v>336.53783333333337</v>
      </c>
    </row>
    <row r="82" spans="1:15" x14ac:dyDescent="0.3">
      <c r="A82" s="20" t="s">
        <v>197</v>
      </c>
      <c r="B82" s="37">
        <v>7.0000000000000007E-2</v>
      </c>
      <c r="C82" s="36">
        <f>C76*B82</f>
        <v>1260.0000000000002</v>
      </c>
      <c r="E82" s="20" t="s">
        <v>197</v>
      </c>
      <c r="F82" s="37">
        <v>7.0000000000000007E-2</v>
      </c>
      <c r="G82" s="36">
        <f>G76*F82</f>
        <v>1750.0000000000002</v>
      </c>
      <c r="I82" s="20" t="s">
        <v>197</v>
      </c>
      <c r="J82" s="37">
        <v>7.0000000000000007E-2</v>
      </c>
      <c r="K82" s="36">
        <f>K76*J82</f>
        <v>1750.0000000000002</v>
      </c>
      <c r="M82" s="20" t="s">
        <v>197</v>
      </c>
      <c r="N82" s="37">
        <v>7.0000000000000007E-2</v>
      </c>
      <c r="O82" s="36">
        <f>O76*N82</f>
        <v>2450.0000000000005</v>
      </c>
    </row>
    <row r="83" spans="1:15" x14ac:dyDescent="0.3">
      <c r="A83" s="20" t="s">
        <v>198</v>
      </c>
      <c r="B83" s="37">
        <v>0.02</v>
      </c>
      <c r="C83" s="36">
        <f>C76*B83</f>
        <v>360</v>
      </c>
      <c r="E83" s="20" t="s">
        <v>198</v>
      </c>
      <c r="F83" s="37">
        <v>0.02</v>
      </c>
      <c r="G83" s="36">
        <f>G76*F83</f>
        <v>500</v>
      </c>
      <c r="I83" s="20" t="s">
        <v>198</v>
      </c>
      <c r="J83" s="37">
        <v>0.02</v>
      </c>
      <c r="K83" s="36">
        <f>K76*J83</f>
        <v>500</v>
      </c>
      <c r="M83" s="20" t="s">
        <v>198</v>
      </c>
      <c r="N83" s="37">
        <v>0.02</v>
      </c>
      <c r="O83" s="36">
        <f>O76*N83</f>
        <v>700</v>
      </c>
    </row>
    <row r="84" spans="1:15" x14ac:dyDescent="0.3">
      <c r="A84" s="20" t="s">
        <v>199</v>
      </c>
      <c r="B84" s="37">
        <v>0.21360000000000001</v>
      </c>
      <c r="C84" s="36">
        <f>B84*C76</f>
        <v>3844.8</v>
      </c>
      <c r="E84" s="20" t="s">
        <v>199</v>
      </c>
      <c r="F84" s="37">
        <v>0.21360000000000001</v>
      </c>
      <c r="G84" s="36">
        <f>F84*G76</f>
        <v>5340</v>
      </c>
      <c r="I84" s="20" t="s">
        <v>199</v>
      </c>
      <c r="J84" s="37">
        <v>0.21360000000000001</v>
      </c>
      <c r="K84" s="36">
        <f>J84*K76</f>
        <v>5340</v>
      </c>
      <c r="M84" s="20" t="s">
        <v>199</v>
      </c>
      <c r="N84" s="37">
        <v>0.23519999999999999</v>
      </c>
      <c r="O84" s="36">
        <f>N84*O76</f>
        <v>8232</v>
      </c>
    </row>
    <row r="85" spans="1:15" x14ac:dyDescent="0.3">
      <c r="A85" s="20"/>
      <c r="B85" s="20"/>
      <c r="C85" s="36">
        <f>SUM(C77:C83)</f>
        <v>8273.0766000000003</v>
      </c>
      <c r="E85" s="20"/>
      <c r="F85" s="20"/>
      <c r="G85" s="36">
        <f>SUM(G77:G83)</f>
        <v>11490.384166666667</v>
      </c>
      <c r="I85" s="20"/>
      <c r="J85" s="20"/>
      <c r="K85" s="36">
        <f>SUM(K77:K83)</f>
        <v>11490.384166666667</v>
      </c>
      <c r="M85" s="20"/>
      <c r="N85" s="20"/>
      <c r="O85" s="36">
        <f>SUM(O77:O83)</f>
        <v>16086.537833333334</v>
      </c>
    </row>
    <row r="86" spans="1:15" x14ac:dyDescent="0.3">
      <c r="A86" s="20" t="s">
        <v>200</v>
      </c>
      <c r="B86" s="20"/>
      <c r="C86" s="36">
        <f>C76+C85</f>
        <v>26273.0766</v>
      </c>
      <c r="E86" s="20" t="s">
        <v>200</v>
      </c>
      <c r="F86" s="20"/>
      <c r="G86" s="36">
        <f>G76+G85</f>
        <v>36490.38416666667</v>
      </c>
      <c r="I86" s="20" t="s">
        <v>200</v>
      </c>
      <c r="J86" s="20"/>
      <c r="K86" s="36">
        <f>K76+K85</f>
        <v>36490.38416666667</v>
      </c>
      <c r="M86" s="20" t="s">
        <v>200</v>
      </c>
      <c r="N86" s="20"/>
      <c r="O86" s="36">
        <f>O76+O85</f>
        <v>51086.537833333336</v>
      </c>
    </row>
    <row r="89" spans="1:15" x14ac:dyDescent="0.3">
      <c r="A89" s="35" t="s">
        <v>219</v>
      </c>
      <c r="B89" s="35" t="s">
        <v>186</v>
      </c>
      <c r="C89" s="35" t="s">
        <v>187</v>
      </c>
    </row>
    <row r="90" spans="1:15" x14ac:dyDescent="0.3">
      <c r="A90" s="20" t="s">
        <v>191</v>
      </c>
      <c r="B90" s="20"/>
      <c r="C90" s="36">
        <v>50000</v>
      </c>
    </row>
    <row r="91" spans="1:15" x14ac:dyDescent="0.3">
      <c r="A91" s="20" t="s">
        <v>192</v>
      </c>
      <c r="B91" s="37">
        <v>0.03</v>
      </c>
      <c r="C91" s="36">
        <f>C90*B91</f>
        <v>1500</v>
      </c>
    </row>
    <row r="92" spans="1:15" x14ac:dyDescent="0.3">
      <c r="A92" s="20" t="s">
        <v>193</v>
      </c>
      <c r="B92" s="37">
        <v>0.2</v>
      </c>
      <c r="C92" s="36">
        <f>C90*B92</f>
        <v>10000</v>
      </c>
    </row>
    <row r="93" spans="1:15" x14ac:dyDescent="0.3">
      <c r="A93" s="20" t="s">
        <v>194</v>
      </c>
      <c r="B93" s="37">
        <v>0.13</v>
      </c>
      <c r="C93" s="36">
        <f>C90*B93</f>
        <v>6500</v>
      </c>
    </row>
    <row r="94" spans="1:15" x14ac:dyDescent="0.3">
      <c r="A94" s="20" t="s">
        <v>195</v>
      </c>
      <c r="B94" s="20"/>
      <c r="C94" s="36"/>
    </row>
    <row r="95" spans="1:15" x14ac:dyDescent="0.3">
      <c r="A95" s="20" t="s">
        <v>196</v>
      </c>
      <c r="B95" s="20">
        <v>0.28846100000000002</v>
      </c>
      <c r="C95" s="36">
        <f>(C90/30)*B95</f>
        <v>480.76833333333337</v>
      </c>
    </row>
    <row r="96" spans="1:15" x14ac:dyDescent="0.3">
      <c r="A96" s="20" t="s">
        <v>197</v>
      </c>
      <c r="B96" s="37">
        <v>7.0000000000000007E-2</v>
      </c>
      <c r="C96" s="36">
        <f>C90*B96</f>
        <v>3500.0000000000005</v>
      </c>
    </row>
    <row r="97" spans="1:11" x14ac:dyDescent="0.3">
      <c r="A97" s="20" t="s">
        <v>198</v>
      </c>
      <c r="B97" s="37">
        <v>0.02</v>
      </c>
      <c r="C97" s="36">
        <f>C90*B97</f>
        <v>1000</v>
      </c>
    </row>
    <row r="98" spans="1:11" x14ac:dyDescent="0.3">
      <c r="A98" s="20" t="s">
        <v>199</v>
      </c>
      <c r="B98" s="37">
        <v>0.3</v>
      </c>
      <c r="C98" s="36">
        <f>B98*C90</f>
        <v>15000</v>
      </c>
    </row>
    <row r="99" spans="1:11" x14ac:dyDescent="0.3">
      <c r="A99" s="20"/>
      <c r="B99" s="20"/>
      <c r="C99" s="36">
        <f>SUM(C91:C97)</f>
        <v>22980.768333333333</v>
      </c>
    </row>
    <row r="100" spans="1:11" x14ac:dyDescent="0.3">
      <c r="A100" s="20" t="s">
        <v>200</v>
      </c>
      <c r="B100" s="20"/>
      <c r="C100" s="36">
        <f>C90+C99</f>
        <v>72980.768333333341</v>
      </c>
    </row>
    <row r="103" spans="1:11" x14ac:dyDescent="0.3">
      <c r="A103" s="35" t="s">
        <v>220</v>
      </c>
      <c r="B103" s="35" t="s">
        <v>186</v>
      </c>
      <c r="C103" s="35" t="s">
        <v>187</v>
      </c>
      <c r="E103" s="35" t="s">
        <v>221</v>
      </c>
      <c r="F103" s="35" t="s">
        <v>186</v>
      </c>
      <c r="G103" s="35" t="s">
        <v>187</v>
      </c>
      <c r="I103" s="35" t="s">
        <v>222</v>
      </c>
      <c r="J103" s="35" t="s">
        <v>186</v>
      </c>
      <c r="K103" s="35" t="s">
        <v>187</v>
      </c>
    </row>
    <row r="104" spans="1:11" x14ac:dyDescent="0.3">
      <c r="A104" s="20" t="s">
        <v>191</v>
      </c>
      <c r="B104" s="20"/>
      <c r="C104" s="36">
        <v>10000</v>
      </c>
      <c r="E104" s="20" t="s">
        <v>191</v>
      </c>
      <c r="F104" s="20"/>
      <c r="G104" s="36">
        <v>10000</v>
      </c>
      <c r="I104" s="20" t="s">
        <v>191</v>
      </c>
      <c r="J104" s="20"/>
      <c r="K104" s="36">
        <v>15000</v>
      </c>
    </row>
    <row r="105" spans="1:11" x14ac:dyDescent="0.3">
      <c r="A105" s="20" t="s">
        <v>192</v>
      </c>
      <c r="B105" s="37">
        <v>0.03</v>
      </c>
      <c r="C105" s="36">
        <f>C104*B105</f>
        <v>300</v>
      </c>
      <c r="E105" s="20" t="s">
        <v>192</v>
      </c>
      <c r="F105" s="37">
        <v>0.03</v>
      </c>
      <c r="G105" s="36">
        <f>G104*F105</f>
        <v>300</v>
      </c>
      <c r="I105" s="20" t="s">
        <v>192</v>
      </c>
      <c r="J105" s="37">
        <v>0.03</v>
      </c>
      <c r="K105" s="36">
        <f>K104*J105</f>
        <v>450</v>
      </c>
    </row>
    <row r="106" spans="1:11" x14ac:dyDescent="0.3">
      <c r="A106" s="20" t="s">
        <v>193</v>
      </c>
      <c r="B106" s="37">
        <v>0.2</v>
      </c>
      <c r="C106" s="36">
        <f>C104*B106</f>
        <v>2000</v>
      </c>
      <c r="E106" s="20" t="s">
        <v>193</v>
      </c>
      <c r="F106" s="37">
        <v>0.2</v>
      </c>
      <c r="G106" s="36">
        <f>G104*F106</f>
        <v>2000</v>
      </c>
      <c r="I106" s="20" t="s">
        <v>193</v>
      </c>
      <c r="J106" s="37">
        <v>0.2</v>
      </c>
      <c r="K106" s="36">
        <f>K104*J106</f>
        <v>3000</v>
      </c>
    </row>
    <row r="107" spans="1:11" x14ac:dyDescent="0.3">
      <c r="A107" s="20" t="s">
        <v>194</v>
      </c>
      <c r="B107" s="37">
        <v>0.13</v>
      </c>
      <c r="C107" s="36">
        <f>C104*B107</f>
        <v>1300</v>
      </c>
      <c r="E107" s="20" t="s">
        <v>194</v>
      </c>
      <c r="F107" s="37">
        <v>0.13</v>
      </c>
      <c r="G107" s="36">
        <f>G104*F107</f>
        <v>1300</v>
      </c>
      <c r="I107" s="20" t="s">
        <v>194</v>
      </c>
      <c r="J107" s="37">
        <v>0.13</v>
      </c>
      <c r="K107" s="36">
        <f>K104*J107</f>
        <v>1950</v>
      </c>
    </row>
    <row r="108" spans="1:11" x14ac:dyDescent="0.3">
      <c r="A108" s="20" t="s">
        <v>195</v>
      </c>
      <c r="B108" s="20"/>
      <c r="C108" s="36"/>
      <c r="E108" s="20" t="s">
        <v>195</v>
      </c>
      <c r="F108" s="20"/>
      <c r="G108" s="36"/>
      <c r="I108" s="20" t="s">
        <v>195</v>
      </c>
      <c r="J108" s="20"/>
      <c r="K108" s="36"/>
    </row>
    <row r="109" spans="1:11" x14ac:dyDescent="0.3">
      <c r="A109" s="20" t="s">
        <v>196</v>
      </c>
      <c r="B109" s="20">
        <v>0.28846100000000002</v>
      </c>
      <c r="C109" s="36">
        <f>(C104/30)*B109</f>
        <v>96.153666666666666</v>
      </c>
      <c r="E109" s="20" t="s">
        <v>196</v>
      </c>
      <c r="F109" s="20">
        <v>0.28846100000000002</v>
      </c>
      <c r="G109" s="36">
        <f>(G104/30)*F109</f>
        <v>96.153666666666666</v>
      </c>
      <c r="I109" s="20" t="s">
        <v>196</v>
      </c>
      <c r="J109" s="20">
        <v>0.28846100000000002</v>
      </c>
      <c r="K109" s="36">
        <f>(K104/30)*J109</f>
        <v>144.23050000000001</v>
      </c>
    </row>
    <row r="110" spans="1:11" x14ac:dyDescent="0.3">
      <c r="A110" s="20" t="s">
        <v>197</v>
      </c>
      <c r="B110" s="37">
        <v>7.0000000000000007E-2</v>
      </c>
      <c r="C110" s="36">
        <f>C104*B110</f>
        <v>700.00000000000011</v>
      </c>
      <c r="E110" s="20" t="s">
        <v>197</v>
      </c>
      <c r="F110" s="37">
        <v>7.0000000000000007E-2</v>
      </c>
      <c r="G110" s="36">
        <f>G104*F110</f>
        <v>700.00000000000011</v>
      </c>
      <c r="I110" s="20" t="s">
        <v>197</v>
      </c>
      <c r="J110" s="37">
        <v>7.0000000000000007E-2</v>
      </c>
      <c r="K110" s="36">
        <f>K104*J110</f>
        <v>1050</v>
      </c>
    </row>
    <row r="111" spans="1:11" x14ac:dyDescent="0.3">
      <c r="A111" s="20" t="s">
        <v>198</v>
      </c>
      <c r="B111" s="37">
        <v>0.02</v>
      </c>
      <c r="C111" s="36">
        <f>C104*B111</f>
        <v>200</v>
      </c>
      <c r="E111" s="20" t="s">
        <v>198</v>
      </c>
      <c r="F111" s="37">
        <v>0.02</v>
      </c>
      <c r="G111" s="36">
        <f>G104*F111</f>
        <v>200</v>
      </c>
      <c r="I111" s="20" t="s">
        <v>198</v>
      </c>
      <c r="J111" s="37">
        <v>0.02</v>
      </c>
      <c r="K111" s="36">
        <f>K104*J111</f>
        <v>300</v>
      </c>
    </row>
    <row r="112" spans="1:11" x14ac:dyDescent="0.3">
      <c r="A112" s="20" t="s">
        <v>199</v>
      </c>
      <c r="B112" s="37">
        <v>0.10879999999999999</v>
      </c>
      <c r="C112" s="36">
        <f>C104*B112</f>
        <v>1088</v>
      </c>
      <c r="E112" s="20" t="s">
        <v>199</v>
      </c>
      <c r="F112" s="37">
        <v>0.10879999999999999</v>
      </c>
      <c r="G112" s="36">
        <f>G104*F112</f>
        <v>1088</v>
      </c>
      <c r="I112" s="20" t="s">
        <v>199</v>
      </c>
      <c r="J112" s="37">
        <v>0.13</v>
      </c>
      <c r="K112" s="36">
        <f>K104*J112</f>
        <v>1950</v>
      </c>
    </row>
    <row r="113" spans="1:11" x14ac:dyDescent="0.3">
      <c r="A113" s="20"/>
      <c r="B113" s="20"/>
      <c r="C113" s="36">
        <f>SUM(C105:C111)</f>
        <v>4596.153666666667</v>
      </c>
      <c r="E113" s="20"/>
      <c r="F113" s="20"/>
      <c r="G113" s="36">
        <f>SUM(G105:G111)</f>
        <v>4596.153666666667</v>
      </c>
      <c r="I113" s="20"/>
      <c r="J113" s="20"/>
      <c r="K113" s="36">
        <f>SUM(K105:K111)</f>
        <v>6894.2304999999997</v>
      </c>
    </row>
    <row r="114" spans="1:11" x14ac:dyDescent="0.3">
      <c r="A114" s="20" t="s">
        <v>200</v>
      </c>
      <c r="B114" s="20"/>
      <c r="C114" s="36">
        <f>C104+C113</f>
        <v>14596.153666666667</v>
      </c>
      <c r="E114" s="20" t="s">
        <v>200</v>
      </c>
      <c r="F114" s="20"/>
      <c r="G114" s="36">
        <f>G104+G113</f>
        <v>14596.153666666667</v>
      </c>
      <c r="I114" s="20" t="s">
        <v>200</v>
      </c>
      <c r="J114" s="20"/>
      <c r="K114" s="36">
        <f>K104+K113</f>
        <v>21894.230499999998</v>
      </c>
    </row>
    <row r="119" spans="1:11" x14ac:dyDescent="0.3">
      <c r="A119" s="38" t="s">
        <v>223</v>
      </c>
      <c r="B119" s="38" t="s">
        <v>76</v>
      </c>
      <c r="C119" s="38" t="s">
        <v>224</v>
      </c>
    </row>
    <row r="120" spans="1:11" x14ac:dyDescent="0.3">
      <c r="A120" t="s">
        <v>225</v>
      </c>
      <c r="B120">
        <f>Capacidad!C41</f>
        <v>23</v>
      </c>
      <c r="C120" s="39">
        <f>B120*C14*12</f>
        <v>4834246.0943999998</v>
      </c>
    </row>
    <row r="121" spans="1:11" x14ac:dyDescent="0.3">
      <c r="A121" t="s">
        <v>226</v>
      </c>
      <c r="B121">
        <f>Capacidad!C42</f>
        <v>2</v>
      </c>
      <c r="C121" s="39">
        <f>C28*B121*12</f>
        <v>525461.53199999989</v>
      </c>
    </row>
    <row r="122" spans="1:11" x14ac:dyDescent="0.3">
      <c r="A122" s="24" t="str">
        <f>E3</f>
        <v>MOID Materiales</v>
      </c>
      <c r="B122" s="24">
        <v>2</v>
      </c>
      <c r="C122" s="83">
        <f>G14*B122*12</f>
        <v>350307.68800000002</v>
      </c>
    </row>
    <row r="123" spans="1:11" x14ac:dyDescent="0.3">
      <c r="A123" s="24" t="str">
        <f>E17</f>
        <v>MOID Técnico Calidad</v>
      </c>
      <c r="B123" s="24">
        <v>1</v>
      </c>
      <c r="C123" s="83">
        <f>G28*B123*12</f>
        <v>289003.84259999997</v>
      </c>
    </row>
    <row r="124" spans="1:11" x14ac:dyDescent="0.3">
      <c r="A124" s="24" t="str">
        <f>I3</f>
        <v>MOID Técnico Pruebas</v>
      </c>
      <c r="B124" s="24">
        <v>1</v>
      </c>
      <c r="C124" s="83">
        <f>B124*K14*12</f>
        <v>262730.76599999995</v>
      </c>
    </row>
    <row r="125" spans="1:11" x14ac:dyDescent="0.3">
      <c r="A125" s="24" t="str">
        <f>M3</f>
        <v>MOID Almacen</v>
      </c>
      <c r="B125" s="24">
        <v>1</v>
      </c>
      <c r="C125" s="83">
        <f>B125*O14*12</f>
        <v>262730.76599999995</v>
      </c>
    </row>
    <row r="126" spans="1:11" x14ac:dyDescent="0.3">
      <c r="A126" s="24" t="str">
        <f>I17</f>
        <v>MOID Técnico Producto</v>
      </c>
      <c r="B126" s="24">
        <v>1</v>
      </c>
      <c r="C126" s="83">
        <f>B126*K28*12</f>
        <v>289003.84259999997</v>
      </c>
    </row>
    <row r="127" spans="1:11" x14ac:dyDescent="0.3">
      <c r="A127" s="24" t="str">
        <f>M17</f>
        <v>MOID Técnico Logística</v>
      </c>
      <c r="B127" s="24">
        <v>1</v>
      </c>
      <c r="C127" s="83">
        <f>O28*B127*12</f>
        <v>289003.84259999997</v>
      </c>
    </row>
    <row r="128" spans="1:11" x14ac:dyDescent="0.3">
      <c r="A128" s="77" t="str">
        <f>M31</f>
        <v>Ingeniero de Mtto</v>
      </c>
      <c r="B128" s="77">
        <v>1</v>
      </c>
      <c r="C128" s="82">
        <f>B128*O42*12</f>
        <v>367823.07240000006</v>
      </c>
    </row>
    <row r="129" spans="1:8" x14ac:dyDescent="0.3">
      <c r="A129" s="77" t="str">
        <f>A31</f>
        <v>IM Ingeniero Procesos</v>
      </c>
      <c r="B129" s="77">
        <v>1</v>
      </c>
      <c r="C129" s="82">
        <f>C42*B129*12</f>
        <v>367823.07240000006</v>
      </c>
    </row>
    <row r="130" spans="1:8" x14ac:dyDescent="0.3">
      <c r="A130" s="77" t="str">
        <f>E31</f>
        <v>IM Ingeniero de Calidad</v>
      </c>
      <c r="B130" s="77">
        <v>1</v>
      </c>
      <c r="C130" s="82">
        <f>G42*B130*12</f>
        <v>367823.07240000006</v>
      </c>
    </row>
    <row r="131" spans="1:8" x14ac:dyDescent="0.3">
      <c r="A131" s="77" t="str">
        <f>I31</f>
        <v>Ingeniero de Producto</v>
      </c>
      <c r="B131" s="77">
        <v>1</v>
      </c>
      <c r="C131" s="82">
        <f>K42*1*12</f>
        <v>289003.84259999997</v>
      </c>
    </row>
    <row r="132" spans="1:8" x14ac:dyDescent="0.3">
      <c r="A132" s="77" t="str">
        <f>A45</f>
        <v>Gerente de Operaciones</v>
      </c>
      <c r="B132" s="77">
        <v>1</v>
      </c>
      <c r="C132" s="82">
        <f>C56*12</f>
        <v>613038.45400000003</v>
      </c>
    </row>
    <row r="133" spans="1:8" x14ac:dyDescent="0.3">
      <c r="A133" t="str">
        <f>A61</f>
        <v>Recursos humanos</v>
      </c>
      <c r="B133">
        <v>2</v>
      </c>
      <c r="C133" s="39">
        <f>B133*C72*12</f>
        <v>735646.14480000013</v>
      </c>
    </row>
    <row r="134" spans="1:8" x14ac:dyDescent="0.3">
      <c r="A134" t="str">
        <f>E61</f>
        <v>Finanzas y Contabilidad</v>
      </c>
      <c r="B134">
        <v>2</v>
      </c>
      <c r="C134" s="39">
        <f>B134*G72*12</f>
        <v>875769.22000000009</v>
      </c>
    </row>
    <row r="135" spans="1:8" x14ac:dyDescent="0.3">
      <c r="A135" t="str">
        <f>I61</f>
        <v>Compras</v>
      </c>
      <c r="B135">
        <v>3</v>
      </c>
      <c r="C135" s="39">
        <f>B135*K72*12</f>
        <v>1103469.2172000003</v>
      </c>
    </row>
    <row r="136" spans="1:8" x14ac:dyDescent="0.3">
      <c r="A136" t="str">
        <f>M61</f>
        <v>IT</v>
      </c>
      <c r="B136">
        <v>2</v>
      </c>
      <c r="C136" s="39">
        <f>B136*O72*12</f>
        <v>735646.14480000013</v>
      </c>
    </row>
    <row r="137" spans="1:8" x14ac:dyDescent="0.3">
      <c r="A137" t="str">
        <f>A75</f>
        <v>Mercadotecnia</v>
      </c>
      <c r="B137">
        <v>1</v>
      </c>
      <c r="C137" s="39">
        <f>B137*C86*12</f>
        <v>315276.9192</v>
      </c>
    </row>
    <row r="138" spans="1:8" x14ac:dyDescent="0.3">
      <c r="A138" t="str">
        <f>E75</f>
        <v>Logística</v>
      </c>
      <c r="B138">
        <v>1</v>
      </c>
      <c r="C138" s="39">
        <f>G86*12</f>
        <v>437884.61000000004</v>
      </c>
    </row>
    <row r="139" spans="1:8" x14ac:dyDescent="0.3">
      <c r="A139" t="str">
        <f>I75</f>
        <v>Secretaria Ejecutiva</v>
      </c>
      <c r="B139">
        <v>1</v>
      </c>
      <c r="C139" s="39">
        <f>B139*K86*12</f>
        <v>437884.61000000004</v>
      </c>
    </row>
    <row r="140" spans="1:8" x14ac:dyDescent="0.3">
      <c r="A140" t="str">
        <f>M75</f>
        <v>Gerente Administrativo</v>
      </c>
      <c r="B140">
        <v>1</v>
      </c>
      <c r="C140" s="39">
        <f>B140*O86*12</f>
        <v>613038.45400000003</v>
      </c>
    </row>
    <row r="141" spans="1:8" x14ac:dyDescent="0.3">
      <c r="A141" t="str">
        <f>A89</f>
        <v>Gerente General</v>
      </c>
      <c r="B141">
        <v>1</v>
      </c>
      <c r="C141" s="39">
        <f>C100*B141*12</f>
        <v>875769.22000000009</v>
      </c>
    </row>
    <row r="142" spans="1:8" x14ac:dyDescent="0.3">
      <c r="A142" t="str">
        <f>A103</f>
        <v>Limpieza y Mtto</v>
      </c>
      <c r="B142">
        <v>5</v>
      </c>
      <c r="C142" s="39">
        <f>C114*B142*12</f>
        <v>875769.22000000009</v>
      </c>
      <c r="H142" s="88"/>
    </row>
    <row r="143" spans="1:8" x14ac:dyDescent="0.3">
      <c r="A143" t="str">
        <f>E103</f>
        <v>Seguridad</v>
      </c>
      <c r="B143">
        <v>3</v>
      </c>
      <c r="C143" s="39">
        <f>B143*G114*12</f>
        <v>525461.53200000001</v>
      </c>
      <c r="H143" s="88"/>
    </row>
    <row r="144" spans="1:8" x14ac:dyDescent="0.3">
      <c r="A144" t="str">
        <f>I103</f>
        <v>Secretaria</v>
      </c>
      <c r="B144">
        <v>1</v>
      </c>
      <c r="C144" s="39">
        <f>B144*K114*12</f>
        <v>262730.76599999995</v>
      </c>
      <c r="H144" s="88"/>
    </row>
    <row r="145" spans="1:12" x14ac:dyDescent="0.3">
      <c r="A145" t="s">
        <v>17</v>
      </c>
      <c r="C145" s="39">
        <f>SUM(C120:C144)</f>
        <v>16902345.945999999</v>
      </c>
      <c r="H145" s="88"/>
    </row>
    <row r="147" spans="1:12" x14ac:dyDescent="0.3">
      <c r="A147" t="s">
        <v>227</v>
      </c>
    </row>
    <row r="148" spans="1:12" x14ac:dyDescent="0.3">
      <c r="B148" s="39"/>
    </row>
    <row r="149" spans="1:12" x14ac:dyDescent="0.3">
      <c r="D149" s="39"/>
    </row>
    <row r="150" spans="1:12" x14ac:dyDescent="0.3">
      <c r="B150" s="24">
        <v>2025</v>
      </c>
      <c r="C150" s="24">
        <f>B150+1</f>
        <v>2026</v>
      </c>
      <c r="D150" s="24">
        <f>C150+1</f>
        <v>2027</v>
      </c>
      <c r="E150" s="24">
        <f t="shared" ref="E150:L150" si="0">D150+1</f>
        <v>2028</v>
      </c>
      <c r="F150" s="24">
        <f t="shared" si="0"/>
        <v>2029</v>
      </c>
      <c r="G150" s="24">
        <f t="shared" si="0"/>
        <v>2030</v>
      </c>
      <c r="H150" s="24">
        <f t="shared" si="0"/>
        <v>2031</v>
      </c>
      <c r="I150" s="24">
        <f t="shared" si="0"/>
        <v>2032</v>
      </c>
      <c r="J150" s="24">
        <f t="shared" si="0"/>
        <v>2033</v>
      </c>
      <c r="K150" s="24">
        <f t="shared" si="0"/>
        <v>2034</v>
      </c>
      <c r="L150" s="24">
        <f t="shared" si="0"/>
        <v>2035</v>
      </c>
    </row>
    <row r="151" spans="1:12" x14ac:dyDescent="0.3">
      <c r="A151" t="s">
        <v>228</v>
      </c>
      <c r="B151" s="39">
        <f>C120+C121</f>
        <v>5359707.6263999995</v>
      </c>
      <c r="C151" s="39">
        <f>B151*(1+Premisas!C12)</f>
        <v>5541937.6856975993</v>
      </c>
      <c r="D151" s="39">
        <f>C151*(1+Premisas!D12)</f>
        <v>5730363.5670113182</v>
      </c>
      <c r="E151" s="39">
        <f>D151*(1+Premisas!E12)</f>
        <v>5925195.9282897031</v>
      </c>
      <c r="F151" s="39">
        <f>E151*(1+Premisas!F12)</f>
        <v>6126652.5898515536</v>
      </c>
      <c r="G151" s="39">
        <f>F151*(1+Premisas!G12)</f>
        <v>6334958.7779065063</v>
      </c>
      <c r="H151" s="39">
        <f>G151*(1+Premisas!H12)</f>
        <v>6550347.3763553277</v>
      </c>
      <c r="I151" s="39">
        <f>H151*(1+Premisas!I12)</f>
        <v>6773059.1871514088</v>
      </c>
      <c r="J151" s="39">
        <f>I151*(1+Premisas!J12)</f>
        <v>7003343.1995145567</v>
      </c>
      <c r="K151" s="39">
        <f>J151*(1+Premisas!K12)</f>
        <v>7241456.8682980519</v>
      </c>
      <c r="L151" s="39">
        <f>K151*(1+Premisas!L12)</f>
        <v>7487666.4018201856</v>
      </c>
    </row>
    <row r="152" spans="1:12" x14ac:dyDescent="0.3">
      <c r="A152" t="s">
        <v>229</v>
      </c>
      <c r="B152" s="39">
        <f>SUM(C122:C127)</f>
        <v>1742780.7478</v>
      </c>
      <c r="C152" s="39">
        <f>B152*(1+Premisas!C12)</f>
        <v>1802035.2932252001</v>
      </c>
      <c r="D152" s="39">
        <f>C152*(1+Premisas!D12)</f>
        <v>1863304.4931948569</v>
      </c>
      <c r="E152" s="39">
        <f>D152*(1+Premisas!E12)</f>
        <v>1926656.845963482</v>
      </c>
      <c r="F152" s="39">
        <f>E152*(1+Premisas!F12)</f>
        <v>1992163.1787262405</v>
      </c>
      <c r="G152" s="39">
        <f>F152*(1+Premisas!G12)</f>
        <v>2059896.7268029328</v>
      </c>
      <c r="H152" s="39">
        <f>G152*(1+Premisas!H12)</f>
        <v>2129933.2155142324</v>
      </c>
      <c r="I152" s="39">
        <f>H152*(1+Premisas!I12)</f>
        <v>2202350.9448417164</v>
      </c>
      <c r="J152" s="39">
        <f>I152*(1+Premisas!J12)</f>
        <v>2277230.8769663349</v>
      </c>
      <c r="K152" s="39">
        <f>J152*(1+Premisas!K12)</f>
        <v>2354656.7267831904</v>
      </c>
      <c r="L152" s="39">
        <f>K152*(1+Premisas!L12)</f>
        <v>2434715.0554938191</v>
      </c>
    </row>
    <row r="153" spans="1:12" x14ac:dyDescent="0.3">
      <c r="A153" t="s">
        <v>230</v>
      </c>
      <c r="B153" s="39">
        <f>C128+C132+C129+C130+C131</f>
        <v>2005511.5138000003</v>
      </c>
      <c r="C153" s="39">
        <f>B153*(1+Premisas!C12)</f>
        <v>2073698.9052692004</v>
      </c>
      <c r="D153" s="39">
        <f>C153*(1+Premisas!D12)</f>
        <v>2144204.6680483534</v>
      </c>
      <c r="E153" s="39">
        <f>D153*(1+Premisas!E12)</f>
        <v>2217107.6267619976</v>
      </c>
      <c r="F153" s="39">
        <f>E153*(1+Premisas!F12)</f>
        <v>2292489.2860719054</v>
      </c>
      <c r="G153" s="39">
        <f>F153*(1+Premisas!G12)</f>
        <v>2370433.9217983503</v>
      </c>
      <c r="H153" s="39">
        <f>G153*(1+Premisas!H12)</f>
        <v>2451028.6751394942</v>
      </c>
      <c r="I153" s="39">
        <f>H153*(1+Premisas!I12)</f>
        <v>2534363.6500942372</v>
      </c>
      <c r="J153" s="39">
        <f>I153*(1+Premisas!J12)</f>
        <v>2620532.0141974413</v>
      </c>
      <c r="K153" s="39">
        <f>J153*(1+Premisas!K12)</f>
        <v>2709630.1026801541</v>
      </c>
      <c r="L153" s="39">
        <f>K153*(1+Premisas!L12)</f>
        <v>2801757.5261712796</v>
      </c>
    </row>
    <row r="154" spans="1:12" x14ac:dyDescent="0.3">
      <c r="A154" t="s">
        <v>231</v>
      </c>
      <c r="B154" s="39">
        <f>C133+C134+C135+C136+C137+C138+C139+C140+C141+C142+C143+C144</f>
        <v>7794346.0579999993</v>
      </c>
      <c r="C154" s="39">
        <f>B154*(1+Premisas!C12)</f>
        <v>8059353.8239719998</v>
      </c>
      <c r="D154" s="39">
        <f>C154*(1+Premisas!D12)</f>
        <v>8333371.8539870484</v>
      </c>
      <c r="E154" s="39">
        <f>D154*(1+Premisas!E12)</f>
        <v>8616706.4970226083</v>
      </c>
      <c r="F154" s="39">
        <f>E154*(1+Premisas!F12)</f>
        <v>8909674.517921377</v>
      </c>
      <c r="G154" s="39">
        <f>F154*(1+Premisas!G12)</f>
        <v>9212603.4515307043</v>
      </c>
      <c r="H154" s="39">
        <f>G154*(1+Premisas!H12)</f>
        <v>9525831.9688827489</v>
      </c>
      <c r="I154" s="39">
        <f>H154*(1+Premisas!I12)</f>
        <v>9849710.2558247633</v>
      </c>
      <c r="J154" s="39">
        <f>I154*(1+Premisas!J12)</f>
        <v>10184600.404522806</v>
      </c>
      <c r="K154" s="39">
        <f>J154*(1+Premisas!K12)</f>
        <v>10530876.818276582</v>
      </c>
      <c r="L154" s="39">
        <f>K154*(1+Premisas!L12)</f>
        <v>10888926.630097987</v>
      </c>
    </row>
    <row r="175" spans="1:12" x14ac:dyDescent="0.3">
      <c r="A175" t="s">
        <v>308</v>
      </c>
      <c r="B175" s="24">
        <v>2025</v>
      </c>
      <c r="C175" s="24">
        <f>B175+1</f>
        <v>2026</v>
      </c>
      <c r="D175" s="24">
        <f>C175+1</f>
        <v>2027</v>
      </c>
      <c r="E175" s="24">
        <f t="shared" ref="E175" si="1">D175+1</f>
        <v>2028</v>
      </c>
      <c r="F175" s="24">
        <f t="shared" ref="F175" si="2">E175+1</f>
        <v>2029</v>
      </c>
      <c r="G175" s="24">
        <f t="shared" ref="G175" si="3">F175+1</f>
        <v>2030</v>
      </c>
      <c r="H175" s="24">
        <f t="shared" ref="H175" si="4">G175+1</f>
        <v>2031</v>
      </c>
      <c r="I175" s="24">
        <f t="shared" ref="I175" si="5">H175+1</f>
        <v>2032</v>
      </c>
      <c r="J175" s="24">
        <f t="shared" ref="J175" si="6">I175+1</f>
        <v>2033</v>
      </c>
      <c r="K175" s="24">
        <f t="shared" ref="K175" si="7">J175+1</f>
        <v>2034</v>
      </c>
      <c r="L175" s="24">
        <f t="shared" ref="L175" si="8">K175+1</f>
        <v>2035</v>
      </c>
    </row>
    <row r="176" spans="1:12" x14ac:dyDescent="0.3">
      <c r="A176" t="s">
        <v>309</v>
      </c>
      <c r="B176" s="39">
        <f>BOM!F26</f>
        <v>6121.03</v>
      </c>
      <c r="C176" s="39">
        <f>B176*(1+Premisas!C12)</f>
        <v>6329.1450199999999</v>
      </c>
      <c r="D176" s="39">
        <f>C176*(1+Premisas!D12)</f>
        <v>6544.3359506799998</v>
      </c>
      <c r="E176" s="39">
        <f>D176*(1+Premisas!E12)</f>
        <v>6766.8433730031202</v>
      </c>
      <c r="F176" s="39">
        <f>E176*(1+Premisas!F12)</f>
        <v>6996.9160476852267</v>
      </c>
      <c r="G176" s="39">
        <f>F176*(1+Premisas!G12)</f>
        <v>7234.8111933065247</v>
      </c>
      <c r="H176" s="39">
        <f>G176*(1+Premisas!H12)</f>
        <v>7480.7947738789471</v>
      </c>
      <c r="I176" s="39">
        <f>H176*(1+Premisas!I12)</f>
        <v>7735.1417961908319</v>
      </c>
      <c r="J176" s="39">
        <f>I176*(1+Premisas!J12)</f>
        <v>7998.1366172613207</v>
      </c>
      <c r="K176" s="39">
        <f>J176*(1+Premisas!K12)</f>
        <v>8270.0732622482064</v>
      </c>
      <c r="L176" s="39">
        <f>K176*(1+Premisas!L12)</f>
        <v>8551.2557531646453</v>
      </c>
    </row>
    <row r="177" spans="1:12" x14ac:dyDescent="0.3">
      <c r="A177" t="s">
        <v>31</v>
      </c>
      <c r="B177" s="22">
        <f>Capacidad!E17</f>
        <v>20000</v>
      </c>
      <c r="C177" s="22">
        <f>Capacidad!F17</f>
        <v>99860</v>
      </c>
      <c r="D177" s="22">
        <f>Capacidad!G17</f>
        <v>100914.44444444444</v>
      </c>
      <c r="E177" s="22">
        <f>Capacidad!H17</f>
        <v>107977.77777777778</v>
      </c>
      <c r="F177" s="22">
        <f>Capacidad!I17</f>
        <v>115534.44444444444</v>
      </c>
      <c r="G177" s="22">
        <f>Capacidad!J17</f>
        <v>123624.44444444444</v>
      </c>
      <c r="H177" s="22">
        <f>Capacidad!K17</f>
        <v>132277.77777777778</v>
      </c>
      <c r="I177" s="22">
        <f>Capacidad!L17</f>
        <v>141537.77777777778</v>
      </c>
      <c r="J177" s="22">
        <f>Capacidad!M17</f>
        <v>152026.66666666666</v>
      </c>
      <c r="K177" s="22">
        <f>Capacidad!N17</f>
        <v>156914.44444444444</v>
      </c>
      <c r="L177" s="22">
        <f>Capacidad!O17</f>
        <v>166260</v>
      </c>
    </row>
    <row r="178" spans="1:12" x14ac:dyDescent="0.3">
      <c r="A178" t="s">
        <v>310</v>
      </c>
      <c r="B178" s="29">
        <f>B176*B177</f>
        <v>122420600</v>
      </c>
      <c r="C178" s="29">
        <f t="shared" ref="C178:L178" si="9">C176*C177</f>
        <v>632028421.69719994</v>
      </c>
      <c r="D178" s="29">
        <f t="shared" si="9"/>
        <v>660418026.72067726</v>
      </c>
      <c r="E178" s="29">
        <f t="shared" si="9"/>
        <v>730668709.98715913</v>
      </c>
      <c r="F178" s="29">
        <f t="shared" si="9"/>
        <v>808384808.39373052</v>
      </c>
      <c r="G178" s="29">
        <f t="shared" si="9"/>
        <v>894399514.43296719</v>
      </c>
      <c r="H178" s="29">
        <f t="shared" si="9"/>
        <v>989542908.70032072</v>
      </c>
      <c r="I178" s="29">
        <f t="shared" si="9"/>
        <v>1094814780.6288588</v>
      </c>
      <c r="J178" s="29">
        <f t="shared" si="9"/>
        <v>1215930049.4668477</v>
      </c>
      <c r="K178" s="29">
        <f t="shared" si="9"/>
        <v>1297693951.4605315</v>
      </c>
      <c r="L178" s="29">
        <f t="shared" si="9"/>
        <v>1421731781.5211539</v>
      </c>
    </row>
    <row r="183" spans="1:12" x14ac:dyDescent="0.3">
      <c r="A183" s="40" t="s">
        <v>232</v>
      </c>
      <c r="B183" s="40" t="s">
        <v>233</v>
      </c>
      <c r="C183" s="40" t="s">
        <v>33</v>
      </c>
      <c r="D183" s="40" t="s">
        <v>234</v>
      </c>
      <c r="E183" s="40" t="s">
        <v>235</v>
      </c>
    </row>
    <row r="184" spans="1:12" ht="144" x14ac:dyDescent="0.3">
      <c r="A184" s="20" t="s">
        <v>236</v>
      </c>
      <c r="B184" s="20" t="s">
        <v>237</v>
      </c>
      <c r="C184" s="41" t="s">
        <v>238</v>
      </c>
      <c r="D184" s="42">
        <v>60000</v>
      </c>
      <c r="E184" s="41" t="s">
        <v>239</v>
      </c>
    </row>
    <row r="185" spans="1:12" ht="72" x14ac:dyDescent="0.3">
      <c r="A185" s="20"/>
      <c r="B185" s="20" t="s">
        <v>240</v>
      </c>
      <c r="C185" s="41" t="s">
        <v>241</v>
      </c>
      <c r="D185" s="42">
        <v>8000</v>
      </c>
      <c r="E185" s="41" t="s">
        <v>242</v>
      </c>
    </row>
    <row r="186" spans="1:12" ht="72" x14ac:dyDescent="0.3">
      <c r="A186" s="20"/>
      <c r="B186" s="20" t="s">
        <v>243</v>
      </c>
      <c r="C186" s="41" t="s">
        <v>244</v>
      </c>
      <c r="D186" s="42">
        <v>5000</v>
      </c>
      <c r="E186" s="41" t="s">
        <v>245</v>
      </c>
    </row>
    <row r="187" spans="1:12" ht="129.6" x14ac:dyDescent="0.3">
      <c r="A187" s="20"/>
      <c r="B187" s="20" t="s">
        <v>246</v>
      </c>
      <c r="C187" s="41" t="s">
        <v>247</v>
      </c>
      <c r="D187" s="42">
        <v>8000</v>
      </c>
      <c r="E187" s="41" t="s">
        <v>248</v>
      </c>
    </row>
    <row r="188" spans="1:12" ht="86.4" x14ac:dyDescent="0.3">
      <c r="A188" s="20" t="s">
        <v>249</v>
      </c>
      <c r="B188" s="20" t="s">
        <v>250</v>
      </c>
      <c r="C188" s="41" t="s">
        <v>251</v>
      </c>
      <c r="D188" s="42">
        <v>30000</v>
      </c>
      <c r="E188" s="41" t="s">
        <v>252</v>
      </c>
    </row>
    <row r="189" spans="1:12" ht="72" x14ac:dyDescent="0.3">
      <c r="A189" s="20"/>
      <c r="B189" s="20" t="s">
        <v>221</v>
      </c>
      <c r="C189" s="41" t="s">
        <v>253</v>
      </c>
      <c r="D189" s="42">
        <v>25000</v>
      </c>
      <c r="E189" s="41" t="s">
        <v>254</v>
      </c>
    </row>
    <row r="190" spans="1:12" ht="72" x14ac:dyDescent="0.3">
      <c r="A190" s="20"/>
      <c r="B190" s="20" t="s">
        <v>255</v>
      </c>
      <c r="C190" s="41" t="s">
        <v>256</v>
      </c>
      <c r="D190" s="42">
        <v>15000</v>
      </c>
      <c r="E190" s="41" t="s">
        <v>257</v>
      </c>
    </row>
    <row r="191" spans="1:12" ht="129.6" x14ac:dyDescent="0.3">
      <c r="A191" s="20" t="s">
        <v>258</v>
      </c>
      <c r="B191" s="20" t="s">
        <v>259</v>
      </c>
      <c r="C191" s="41" t="s">
        <v>260</v>
      </c>
      <c r="D191" s="42">
        <v>0</v>
      </c>
      <c r="E191" s="41" t="s">
        <v>261</v>
      </c>
    </row>
    <row r="192" spans="1:12" ht="72" x14ac:dyDescent="0.3">
      <c r="A192" s="20"/>
      <c r="B192" s="20" t="s">
        <v>262</v>
      </c>
      <c r="C192" s="41" t="s">
        <v>263</v>
      </c>
      <c r="D192" s="42">
        <v>200000</v>
      </c>
      <c r="E192" s="41" t="s">
        <v>264</v>
      </c>
    </row>
    <row r="193" spans="1:12" ht="43.2" x14ac:dyDescent="0.3">
      <c r="A193" s="20"/>
      <c r="B193" s="20" t="s">
        <v>265</v>
      </c>
      <c r="C193" s="41" t="s">
        <v>266</v>
      </c>
      <c r="D193" s="42">
        <v>8000</v>
      </c>
      <c r="E193" s="41" t="s">
        <v>267</v>
      </c>
    </row>
    <row r="194" spans="1:12" ht="86.4" x14ac:dyDescent="0.3">
      <c r="A194" s="20"/>
      <c r="B194" s="20" t="s">
        <v>268</v>
      </c>
      <c r="C194" s="41" t="s">
        <v>269</v>
      </c>
      <c r="D194" s="42">
        <v>15000</v>
      </c>
      <c r="E194" s="41" t="s">
        <v>270</v>
      </c>
    </row>
    <row r="195" spans="1:12" ht="57.6" x14ac:dyDescent="0.3">
      <c r="A195" s="20"/>
      <c r="B195" s="20" t="s">
        <v>271</v>
      </c>
      <c r="C195" s="41" t="s">
        <v>272</v>
      </c>
      <c r="D195" s="42">
        <v>20000</v>
      </c>
      <c r="E195" s="41" t="s">
        <v>273</v>
      </c>
    </row>
    <row r="196" spans="1:12" ht="72" x14ac:dyDescent="0.3">
      <c r="A196" s="20"/>
      <c r="B196" s="20" t="s">
        <v>274</v>
      </c>
      <c r="C196" s="41" t="s">
        <v>275</v>
      </c>
      <c r="D196" s="42">
        <v>15000</v>
      </c>
      <c r="E196" s="41" t="s">
        <v>276</v>
      </c>
    </row>
    <row r="197" spans="1:12" ht="72" x14ac:dyDescent="0.3">
      <c r="A197" s="20"/>
      <c r="B197" s="20" t="s">
        <v>277</v>
      </c>
      <c r="C197" s="41" t="s">
        <v>278</v>
      </c>
      <c r="D197" s="42">
        <v>5000</v>
      </c>
      <c r="E197" s="41" t="s">
        <v>279</v>
      </c>
    </row>
    <row r="198" spans="1:12" ht="57.6" x14ac:dyDescent="0.3">
      <c r="A198" s="20"/>
      <c r="B198" s="20" t="s">
        <v>280</v>
      </c>
      <c r="C198" s="41" t="s">
        <v>281</v>
      </c>
      <c r="D198" s="42">
        <v>10000</v>
      </c>
      <c r="E198" s="41" t="s">
        <v>282</v>
      </c>
    </row>
    <row r="199" spans="1:12" ht="57.6" x14ac:dyDescent="0.3">
      <c r="A199" s="20"/>
      <c r="B199" s="20" t="s">
        <v>283</v>
      </c>
      <c r="C199" s="41" t="s">
        <v>284</v>
      </c>
      <c r="D199" s="42">
        <v>10000</v>
      </c>
      <c r="E199" s="41" t="s">
        <v>285</v>
      </c>
    </row>
    <row r="200" spans="1:12" ht="57.6" x14ac:dyDescent="0.3">
      <c r="A200" s="20"/>
      <c r="B200" s="20" t="s">
        <v>286</v>
      </c>
      <c r="C200" s="41" t="s">
        <v>287</v>
      </c>
      <c r="D200" s="42">
        <v>5000</v>
      </c>
      <c r="E200" s="41" t="s">
        <v>288</v>
      </c>
    </row>
    <row r="201" spans="1:12" ht="72" x14ac:dyDescent="0.3">
      <c r="A201" s="20"/>
      <c r="B201" s="20" t="s">
        <v>289</v>
      </c>
      <c r="C201" s="41" t="s">
        <v>290</v>
      </c>
      <c r="D201" s="42">
        <v>4000</v>
      </c>
      <c r="E201" s="41" t="s">
        <v>291</v>
      </c>
    </row>
    <row r="202" spans="1:12" x14ac:dyDescent="0.3">
      <c r="D202" s="22">
        <f>SUM(D184:D201)*12</f>
        <v>5316000</v>
      </c>
      <c r="E202" s="22"/>
    </row>
    <row r="205" spans="1:12" x14ac:dyDescent="0.3">
      <c r="B205" s="24">
        <v>2025</v>
      </c>
      <c r="C205" s="24">
        <f>B205+1</f>
        <v>2026</v>
      </c>
      <c r="D205" s="24">
        <f>C205+1</f>
        <v>2027</v>
      </c>
      <c r="E205" s="24">
        <f t="shared" ref="E205" si="10">D205+1</f>
        <v>2028</v>
      </c>
      <c r="F205" s="24">
        <f t="shared" ref="F205" si="11">E205+1</f>
        <v>2029</v>
      </c>
      <c r="G205" s="24">
        <f t="shared" ref="G205" si="12">F205+1</f>
        <v>2030</v>
      </c>
      <c r="H205" s="24">
        <f t="shared" ref="H205" si="13">G205+1</f>
        <v>2031</v>
      </c>
      <c r="I205" s="24">
        <f t="shared" ref="I205" si="14">H205+1</f>
        <v>2032</v>
      </c>
      <c r="J205" s="24">
        <f t="shared" ref="J205" si="15">I205+1</f>
        <v>2033</v>
      </c>
      <c r="K205" s="24">
        <f t="shared" ref="K205" si="16">J205+1</f>
        <v>2034</v>
      </c>
      <c r="L205" s="24">
        <f t="shared" ref="L205" si="17">K205+1</f>
        <v>2035</v>
      </c>
    </row>
    <row r="206" spans="1:12" x14ac:dyDescent="0.3">
      <c r="A206" t="s">
        <v>258</v>
      </c>
      <c r="B206" s="22">
        <f>D202</f>
        <v>5316000</v>
      </c>
      <c r="C206" s="22">
        <f>B206*(1+Premisas!C12)</f>
        <v>5496744</v>
      </c>
      <c r="D206" s="22">
        <f>C206*(1+Premisas!D12)</f>
        <v>5683633.2960000001</v>
      </c>
      <c r="E206" s="22">
        <f>D206*(1+Premisas!E12)</f>
        <v>5876876.8280640002</v>
      </c>
      <c r="F206" s="22">
        <f>E206*(1+Premisas!F12)</f>
        <v>6076690.6402181769</v>
      </c>
      <c r="G206" s="22">
        <f>F206*(1+Premisas!G12)</f>
        <v>6283298.1219855947</v>
      </c>
      <c r="H206" s="22">
        <f>G206*(1+Premisas!H12)</f>
        <v>6496930.258133105</v>
      </c>
      <c r="I206" s="22">
        <f>H206*(1+Premisas!I12)</f>
        <v>6717825.8869096311</v>
      </c>
      <c r="J206" s="22">
        <f>I206*(1+Premisas!J12)</f>
        <v>6946231.9670645585</v>
      </c>
      <c r="K206" s="22">
        <f>J206*(1+Premisas!K12)</f>
        <v>7182403.8539447533</v>
      </c>
      <c r="L206" s="22">
        <f>K206*(1+Premisas!L12)</f>
        <v>7426605.5849788748</v>
      </c>
    </row>
    <row r="208" spans="1:12" x14ac:dyDescent="0.3">
      <c r="A208" s="1" t="s">
        <v>301</v>
      </c>
    </row>
    <row r="209" spans="1:12" x14ac:dyDescent="0.3">
      <c r="A209" t="s">
        <v>302</v>
      </c>
      <c r="B209" s="45">
        <f>Depreciación.!C64</f>
        <v>6053000</v>
      </c>
      <c r="C209" s="45"/>
      <c r="E209" s="45"/>
    </row>
    <row r="210" spans="1:12" x14ac:dyDescent="0.3">
      <c r="A210" t="s">
        <v>303</v>
      </c>
      <c r="B210" s="45">
        <f>Depreciación.!C25</f>
        <v>8060000</v>
      </c>
      <c r="C210" s="22"/>
      <c r="E210" s="45"/>
    </row>
    <row r="211" spans="1:12" x14ac:dyDescent="0.3">
      <c r="A211" t="s">
        <v>304</v>
      </c>
      <c r="B211" s="45">
        <f>Depreciación.!C84</f>
        <v>217350</v>
      </c>
    </row>
    <row r="212" spans="1:12" x14ac:dyDescent="0.3">
      <c r="A212" t="s">
        <v>305</v>
      </c>
      <c r="B212" s="45">
        <f>Depreciación.!C46</f>
        <v>1440000</v>
      </c>
    </row>
    <row r="213" spans="1:12" x14ac:dyDescent="0.3">
      <c r="A213" t="s">
        <v>306</v>
      </c>
      <c r="B213" s="22">
        <f>B206+C145</f>
        <v>22218345.945999999</v>
      </c>
      <c r="D213" s="22"/>
    </row>
    <row r="214" spans="1:12" ht="15" thickBot="1" x14ac:dyDescent="0.35">
      <c r="A214" t="s">
        <v>307</v>
      </c>
      <c r="B214" s="10">
        <f>B210*0.35</f>
        <v>2821000</v>
      </c>
    </row>
    <row r="215" spans="1:12" ht="15" thickTop="1" x14ac:dyDescent="0.3">
      <c r="A215" t="s">
        <v>17</v>
      </c>
      <c r="B215" s="45">
        <f>SUM(B209:B214)</f>
        <v>40809695.945999995</v>
      </c>
      <c r="D215" s="86"/>
    </row>
    <row r="218" spans="1:12" x14ac:dyDescent="0.3">
      <c r="A218" t="s">
        <v>292</v>
      </c>
      <c r="B218" s="24">
        <v>2025</v>
      </c>
      <c r="C218" s="24">
        <f>B218+1</f>
        <v>2026</v>
      </c>
      <c r="D218" s="24">
        <f>C218+1</f>
        <v>2027</v>
      </c>
      <c r="E218" s="24">
        <f t="shared" ref="E218" si="18">D218+1</f>
        <v>2028</v>
      </c>
      <c r="F218" s="24">
        <f t="shared" ref="F218" si="19">E218+1</f>
        <v>2029</v>
      </c>
      <c r="G218" s="24">
        <f t="shared" ref="G218" si="20">F218+1</f>
        <v>2030</v>
      </c>
      <c r="H218" s="24">
        <f t="shared" ref="H218" si="21">G218+1</f>
        <v>2031</v>
      </c>
      <c r="I218" s="24">
        <f t="shared" ref="I218" si="22">H218+1</f>
        <v>2032</v>
      </c>
      <c r="J218" s="24">
        <f t="shared" ref="J218" si="23">I218+1</f>
        <v>2033</v>
      </c>
      <c r="K218" s="24">
        <f t="shared" ref="K218" si="24">J218+1</f>
        <v>2034</v>
      </c>
      <c r="L218" s="24">
        <f t="shared" ref="L218" si="25">K218+1</f>
        <v>2035</v>
      </c>
    </row>
    <row r="219" spans="1:12" x14ac:dyDescent="0.3">
      <c r="A219" t="s">
        <v>293</v>
      </c>
      <c r="B219" s="22">
        <f>Financiamiento!N6</f>
        <v>8161939.1891999999</v>
      </c>
      <c r="C219" s="22">
        <f>Financiamiento!N12</f>
        <v>8161939.1891999999</v>
      </c>
      <c r="D219" s="22">
        <f>Financiamiento!N18</f>
        <v>8161939.1891999999</v>
      </c>
      <c r="E219" s="22">
        <f>Financiamiento!N24</f>
        <v>8161939.1891999999</v>
      </c>
      <c r="F219" s="22">
        <f>Financiamiento!N30</f>
        <v>8161939.1891999999</v>
      </c>
    </row>
    <row r="220" spans="1:12" x14ac:dyDescent="0.3">
      <c r="A220" t="s">
        <v>294</v>
      </c>
      <c r="B220" s="22">
        <f>Financiamiento!N7</f>
        <v>5931009.1441519978</v>
      </c>
      <c r="C220" s="22">
        <f>Financiamiento!N13</f>
        <v>4625098.8738799971</v>
      </c>
      <c r="D220" s="22">
        <f>Financiamiento!N19</f>
        <v>3319188.6036079936</v>
      </c>
      <c r="E220" s="22">
        <f>Financiamiento!N25</f>
        <v>2013278.3333359938</v>
      </c>
      <c r="F220" s="22">
        <f>Financiamiento!N31</f>
        <v>897813.31081199087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BB3B8-B9FD-462E-84CC-C49F81F2FE2E}">
  <dimension ref="A2:L29"/>
  <sheetViews>
    <sheetView workbookViewId="0">
      <selection activeCell="B24" sqref="B24"/>
    </sheetView>
  </sheetViews>
  <sheetFormatPr baseColWidth="10" defaultColWidth="8.88671875" defaultRowHeight="14.4" x14ac:dyDescent="0.3"/>
  <cols>
    <col min="1" max="1" width="31.21875" customWidth="1"/>
    <col min="2" max="6" width="15.77734375" bestFit="1" customWidth="1"/>
    <col min="7" max="12" width="17.44140625" bestFit="1" customWidth="1"/>
  </cols>
  <sheetData>
    <row r="2" spans="1:12" x14ac:dyDescent="0.3">
      <c r="A2" t="s">
        <v>341</v>
      </c>
    </row>
    <row r="4" spans="1:12" x14ac:dyDescent="0.3">
      <c r="B4" s="24">
        <v>2025</v>
      </c>
      <c r="C4" s="24">
        <f>B4+1</f>
        <v>2026</v>
      </c>
      <c r="D4" s="24">
        <f t="shared" ref="D4:L4" si="0">C4+1</f>
        <v>2027</v>
      </c>
      <c r="E4" s="24">
        <f t="shared" si="0"/>
        <v>2028</v>
      </c>
      <c r="F4" s="24">
        <f t="shared" si="0"/>
        <v>2029</v>
      </c>
      <c r="G4" s="24">
        <f t="shared" si="0"/>
        <v>2030</v>
      </c>
      <c r="H4" s="24">
        <f t="shared" si="0"/>
        <v>2031</v>
      </c>
      <c r="I4" s="24">
        <f t="shared" si="0"/>
        <v>2032</v>
      </c>
      <c r="J4" s="24">
        <f t="shared" si="0"/>
        <v>2033</v>
      </c>
      <c r="K4" s="24">
        <f t="shared" si="0"/>
        <v>2034</v>
      </c>
      <c r="L4" s="24">
        <f t="shared" si="0"/>
        <v>2035</v>
      </c>
    </row>
    <row r="5" spans="1:12" x14ac:dyDescent="0.3">
      <c r="A5" s="78" t="s">
        <v>340</v>
      </c>
      <c r="B5" s="29">
        <f>Egresos!B178/Capacidad!E16</f>
        <v>7651.2875000000004</v>
      </c>
      <c r="C5" s="29">
        <f>Egresos!C178/Capacidad!F16</f>
        <v>7446.052964705882</v>
      </c>
      <c r="D5" s="29">
        <f>Egresos!D178/Capacidad!G16</f>
        <v>7271.4843896444427</v>
      </c>
      <c r="E5" s="29">
        <f>Egresos!E178/Capacidad!H16</f>
        <v>7518.7148588923556</v>
      </c>
      <c r="F5" s="29">
        <f>Egresos!F178/Capacidad!I16</f>
        <v>7774.3511640946954</v>
      </c>
      <c r="G5" s="29">
        <f>Egresos!G178/Capacidad!J16</f>
        <v>8038.6791036739151</v>
      </c>
      <c r="H5" s="29">
        <f>Egresos!H178/Capacidad!K16</f>
        <v>8311.9941931988305</v>
      </c>
      <c r="I5" s="29">
        <f>Egresos!I178/Capacidad!L16</f>
        <v>8594.6019957675908</v>
      </c>
      <c r="J5" s="29">
        <f>Egresos!J178/Capacidad!M16</f>
        <v>8886.8184636236892</v>
      </c>
      <c r="K5" s="29">
        <f>Egresos!K178/Capacidad!N16</f>
        <v>9188.970291386895</v>
      </c>
      <c r="L5" s="29">
        <f>Egresos!L178/Capacidad!O16</f>
        <v>9501.3952812940497</v>
      </c>
    </row>
    <row r="6" spans="1:12" x14ac:dyDescent="0.3">
      <c r="A6" s="77" t="s">
        <v>228</v>
      </c>
      <c r="B6" s="39">
        <f>Egresos!B151/Capacidad!E16</f>
        <v>334.98172664999998</v>
      </c>
      <c r="C6" s="39">
        <f>Egresos!C151/Capacidad!F16</f>
        <v>65.290673833927485</v>
      </c>
      <c r="D6" s="39">
        <f>Egresos!D151/Capacidad!G16</f>
        <v>63.093749017444019</v>
      </c>
      <c r="E6" s="39">
        <f>Egresos!E151/Capacidad!H16</f>
        <v>60.971351392155825</v>
      </c>
      <c r="F6" s="39">
        <f>Egresos!F151/Capacidad!I16</f>
        <v>58.920885448798856</v>
      </c>
      <c r="G6" s="39">
        <f>Egresos!G151/Capacidad!J16</f>
        <v>56.937308136708907</v>
      </c>
      <c r="H6" s="39">
        <f>Egresos!H151/Capacidad!K16</f>
        <v>55.021817525034251</v>
      </c>
      <c r="I6" s="39">
        <f>Egresos!I151/Capacidad!L16</f>
        <v>53.17040748564505</v>
      </c>
      <c r="J6" s="39">
        <f>Egresos!J151/Capacidad!M16</f>
        <v>51.185049402988923</v>
      </c>
      <c r="K6" s="39">
        <f>Egresos!K151/Capacidad!N16</f>
        <v>51.276752853983076</v>
      </c>
      <c r="L6" s="39">
        <f>Egresos!L151/Capacidad!O16</f>
        <v>50.039873302993875</v>
      </c>
    </row>
    <row r="7" spans="1:12" x14ac:dyDescent="0.3">
      <c r="A7" s="77" t="s">
        <v>229</v>
      </c>
      <c r="B7" s="39">
        <f>Egresos!B152/Capacidad!E16</f>
        <v>108.9237967375</v>
      </c>
      <c r="C7" s="39">
        <f>Egresos!C152/Capacidad!F16</f>
        <v>21.230137406783616</v>
      </c>
      <c r="D7" s="39">
        <f>Egresos!D152/Capacidad!G16</f>
        <v>20.515777866783271</v>
      </c>
      <c r="E7" s="39">
        <f>Egresos!E152/Capacidad!H16</f>
        <v>19.825651841567009</v>
      </c>
      <c r="F7" s="39">
        <f>Egresos!F152/Capacidad!I16</f>
        <v>19.158915366521196</v>
      </c>
      <c r="G7" s="39">
        <f>Egresos!G152/Capacidad!J16</f>
        <v>18.513928626152079</v>
      </c>
      <c r="H7" s="39">
        <f>Egresos!H152/Capacidad!K16</f>
        <v>17.891081188695779</v>
      </c>
      <c r="I7" s="39">
        <f>Egresos!I152/Capacidad!L16</f>
        <v>17.289070407913997</v>
      </c>
      <c r="J7" s="39">
        <f>Egresos!J152/Capacidad!M16</f>
        <v>16.643504626135289</v>
      </c>
      <c r="K7" s="39">
        <f>Egresos!K152/Capacidad!N16</f>
        <v>16.673323231932407</v>
      </c>
      <c r="L7" s="39">
        <f>Egresos!L152/Capacidad!O16</f>
        <v>16.271135273359125</v>
      </c>
    </row>
    <row r="8" spans="1:12" x14ac:dyDescent="0.3">
      <c r="A8" s="77" t="s">
        <v>230</v>
      </c>
      <c r="B8" s="39">
        <f>Egresos!B153/Capacidad!E16</f>
        <v>125.34446961250002</v>
      </c>
      <c r="C8" s="39">
        <f>Egresos!C153/Capacidad!F16</f>
        <v>24.430660633936927</v>
      </c>
      <c r="D8" s="39">
        <f>Egresos!D153/Capacidad!G16</f>
        <v>23.608608700971708</v>
      </c>
      <c r="E8" s="39">
        <f>Egresos!E153/Capacidad!H16</f>
        <v>22.814443576476616</v>
      </c>
      <c r="F8" s="39">
        <f>Egresos!F153/Capacidad!I16</f>
        <v>22.047194064991732</v>
      </c>
      <c r="G8" s="39">
        <f>Egresos!G153/Capacidad!J16</f>
        <v>21.304973142657424</v>
      </c>
      <c r="H8" s="39">
        <f>Egresos!H153/Capacidad!K16</f>
        <v>20.588229106589619</v>
      </c>
      <c r="I8" s="39">
        <f>Egresos!I153/Capacidad!L16</f>
        <v>19.895462931720132</v>
      </c>
      <c r="J8" s="39">
        <f>Egresos!J153/Capacidad!M16</f>
        <v>19.152575675301417</v>
      </c>
      <c r="K8" s="39">
        <f>Egresos!K153/Capacidad!N16</f>
        <v>19.18688954830413</v>
      </c>
      <c r="L8" s="39">
        <f>Egresos!L153/Capacidad!O16</f>
        <v>18.724070239192159</v>
      </c>
    </row>
    <row r="9" spans="1:12" x14ac:dyDescent="0.3">
      <c r="A9" s="77" t="s">
        <v>231</v>
      </c>
      <c r="B9" s="39">
        <f>Egresos!B154/Capacidad!E16</f>
        <v>487.14662862499995</v>
      </c>
      <c r="C9" s="39">
        <f>Egresos!C154/Capacidad!F16</f>
        <v>94.948855738881491</v>
      </c>
      <c r="D9" s="39">
        <f>Egresos!D154/Capacidad!G16</f>
        <v>91.753981414256828</v>
      </c>
      <c r="E9" s="39">
        <f>Egresos!E154/Capacidad!H16</f>
        <v>88.667488135651453</v>
      </c>
      <c r="F9" s="39">
        <f>Egresos!F154/Capacidad!I16</f>
        <v>85.68560138795911</v>
      </c>
      <c r="G9" s="39">
        <f>Egresos!G154/Capacidad!J16</f>
        <v>82.800987322991716</v>
      </c>
      <c r="H9" s="39">
        <f>Egresos!H154/Capacidad!K16</f>
        <v>80.015388230850476</v>
      </c>
      <c r="I9" s="39">
        <f>Egresos!I154/Capacidad!L16</f>
        <v>77.322978206248536</v>
      </c>
      <c r="J9" s="39">
        <f>Egresos!J154/Capacidad!M16</f>
        <v>74.435774458595034</v>
      </c>
      <c r="K9" s="39">
        <f>Egresos!K154/Capacidad!N16</f>
        <v>74.569134052361036</v>
      </c>
      <c r="L9" s="39">
        <f>Egresos!L154/Capacidad!O16</f>
        <v>72.770403986380018</v>
      </c>
    </row>
    <row r="10" spans="1:12" x14ac:dyDescent="0.3">
      <c r="A10" s="79" t="s">
        <v>258</v>
      </c>
      <c r="B10" s="29">
        <f>Egresos!B206/Capacidad!E16</f>
        <v>332.25</v>
      </c>
      <c r="C10" s="29">
        <f>Egresos!C206/Capacidad!F16</f>
        <v>64.758238003793551</v>
      </c>
      <c r="D10" s="29">
        <f>Egresos!D206/Capacidad!G16</f>
        <v>62.579228785660021</v>
      </c>
      <c r="E10" s="29">
        <f>Egresos!E206/Capacidad!H16</f>
        <v>60.474139000452773</v>
      </c>
      <c r="F10" s="29">
        <f>Egresos!F206/Capacidad!I16</f>
        <v>58.440394304903556</v>
      </c>
      <c r="G10" s="29">
        <f>Egresos!G206/Capacidad!J16</f>
        <v>56.472992773683693</v>
      </c>
      <c r="H10" s="29">
        <f>Egresos!H206/Capacidad!K16</f>
        <v>54.573122705863966</v>
      </c>
      <c r="I10" s="29">
        <f>Egresos!I206/Capacidad!L16</f>
        <v>52.736810642699481</v>
      </c>
      <c r="J10" s="29">
        <f>Egresos!J206/Capacidad!M16</f>
        <v>50.767642862835167</v>
      </c>
      <c r="K10" s="29">
        <f>Egresos!K206/Capacidad!N16</f>
        <v>50.858598485691097</v>
      </c>
      <c r="L10" s="29">
        <f>Egresos!L206/Capacidad!O16</f>
        <v>49.631805505292078</v>
      </c>
    </row>
    <row r="11" spans="1:12" x14ac:dyDescent="0.3">
      <c r="A11" s="80" t="s">
        <v>342</v>
      </c>
      <c r="B11" s="39">
        <f>SUM(B5:B10)</f>
        <v>9039.9341216250014</v>
      </c>
      <c r="C11" s="39">
        <f t="shared" ref="C11:L11" si="1">SUM(C5:C10)</f>
        <v>7716.7115303232049</v>
      </c>
      <c r="D11" s="39">
        <f t="shared" si="1"/>
        <v>7533.0357354295584</v>
      </c>
      <c r="E11" s="39">
        <f t="shared" si="1"/>
        <v>7771.4679328386601</v>
      </c>
      <c r="F11" s="39">
        <f t="shared" si="1"/>
        <v>8018.6041546678689</v>
      </c>
      <c r="G11" s="39">
        <f t="shared" si="1"/>
        <v>8274.7092936761092</v>
      </c>
      <c r="H11" s="39">
        <f t="shared" si="1"/>
        <v>8540.0838319558643</v>
      </c>
      <c r="I11" s="39">
        <f t="shared" si="1"/>
        <v>8815.0167254418175</v>
      </c>
      <c r="J11" s="39">
        <f t="shared" si="1"/>
        <v>9099.0030106495469</v>
      </c>
      <c r="K11" s="39">
        <f t="shared" si="1"/>
        <v>9401.5349895591662</v>
      </c>
      <c r="L11" s="39">
        <f t="shared" si="1"/>
        <v>9708.8325696012671</v>
      </c>
    </row>
    <row r="13" spans="1:12" x14ac:dyDescent="0.3">
      <c r="A13" t="s">
        <v>343</v>
      </c>
      <c r="B13" s="22">
        <f>Egresos!B219</f>
        <v>8161939.1891999999</v>
      </c>
      <c r="C13" s="22">
        <f>Egresos!C219</f>
        <v>8161939.1891999999</v>
      </c>
      <c r="D13" s="22">
        <f>Egresos!D219</f>
        <v>8161939.1891999999</v>
      </c>
      <c r="E13" s="22">
        <f>Egresos!E219</f>
        <v>8161939.1891999999</v>
      </c>
      <c r="F13" s="22">
        <f>Egresos!F219</f>
        <v>8161939.1891999999</v>
      </c>
      <c r="G13" s="22">
        <f>Egresos!G219</f>
        <v>0</v>
      </c>
      <c r="H13" s="22">
        <f>Egresos!H219</f>
        <v>0</v>
      </c>
      <c r="I13" s="22">
        <f>Egresos!I219</f>
        <v>0</v>
      </c>
      <c r="J13" s="22">
        <f>Egresos!J219</f>
        <v>0</v>
      </c>
      <c r="K13" s="22">
        <f>Egresos!K219</f>
        <v>0</v>
      </c>
      <c r="L13" s="22">
        <f>Egresos!L219</f>
        <v>0</v>
      </c>
    </row>
    <row r="14" spans="1:12" x14ac:dyDescent="0.3">
      <c r="A14" t="s">
        <v>344</v>
      </c>
      <c r="B14" s="22">
        <f>Egresos!B220</f>
        <v>5931009.1441519978</v>
      </c>
      <c r="C14" s="22">
        <f>Egresos!C220</f>
        <v>4625098.8738799971</v>
      </c>
      <c r="D14" s="22">
        <f>Egresos!D220</f>
        <v>3319188.6036079936</v>
      </c>
      <c r="E14" s="22">
        <f>Egresos!E220</f>
        <v>2013278.3333359938</v>
      </c>
      <c r="F14" s="22">
        <f>Egresos!F220</f>
        <v>897813.31081199087</v>
      </c>
    </row>
    <row r="16" spans="1:12" x14ac:dyDescent="0.3">
      <c r="A16" t="s">
        <v>345</v>
      </c>
      <c r="B16" s="39">
        <f>B11+B13+B14</f>
        <v>14101988.267473623</v>
      </c>
      <c r="C16" s="39">
        <f t="shared" ref="C16:L16" si="2">C11+C13+C14</f>
        <v>12794754.77461032</v>
      </c>
      <c r="D16" s="39">
        <f t="shared" si="2"/>
        <v>11488660.828543423</v>
      </c>
      <c r="E16" s="39">
        <f t="shared" si="2"/>
        <v>10182988.990468834</v>
      </c>
      <c r="F16" s="39">
        <f t="shared" si="2"/>
        <v>9067771.1041666586</v>
      </c>
      <c r="G16" s="39">
        <f t="shared" si="2"/>
        <v>8274.7092936761092</v>
      </c>
      <c r="H16" s="39">
        <f t="shared" si="2"/>
        <v>8540.0838319558643</v>
      </c>
      <c r="I16" s="39">
        <f t="shared" si="2"/>
        <v>8815.0167254418175</v>
      </c>
      <c r="J16" s="39">
        <f t="shared" si="2"/>
        <v>9099.0030106495469</v>
      </c>
      <c r="K16" s="39">
        <f t="shared" si="2"/>
        <v>9401.5349895591662</v>
      </c>
      <c r="L16" s="39">
        <f t="shared" si="2"/>
        <v>9708.8325696012671</v>
      </c>
    </row>
    <row r="18" spans="1:12" x14ac:dyDescent="0.3">
      <c r="A18" t="s">
        <v>346</v>
      </c>
    </row>
    <row r="19" spans="1:12" x14ac:dyDescent="0.3">
      <c r="A19" s="5">
        <v>0.1</v>
      </c>
      <c r="B19" s="39">
        <f>B11/(1-$A$19)</f>
        <v>10044.371246250001</v>
      </c>
      <c r="C19" s="39">
        <f t="shared" ref="C19:L19" si="3">C11/(1-$A$19)</f>
        <v>8574.1239225813388</v>
      </c>
      <c r="D19" s="39">
        <f t="shared" si="3"/>
        <v>8370.0397060328432</v>
      </c>
      <c r="E19" s="39">
        <f t="shared" si="3"/>
        <v>8634.9643698207328</v>
      </c>
      <c r="F19" s="39">
        <f t="shared" si="3"/>
        <v>8909.5601718531871</v>
      </c>
      <c r="G19" s="39">
        <f t="shared" si="3"/>
        <v>9194.1214374178981</v>
      </c>
      <c r="H19" s="39">
        <f t="shared" si="3"/>
        <v>9488.9820355065149</v>
      </c>
      <c r="I19" s="39">
        <f t="shared" si="3"/>
        <v>9794.4630282686867</v>
      </c>
      <c r="J19" s="39">
        <f t="shared" si="3"/>
        <v>10110.003345166164</v>
      </c>
      <c r="K19" s="39">
        <f t="shared" si="3"/>
        <v>10446.149988399073</v>
      </c>
      <c r="L19" s="39">
        <f t="shared" si="3"/>
        <v>10787.591744001407</v>
      </c>
    </row>
    <row r="20" spans="1:12" x14ac:dyDescent="0.3">
      <c r="A20" s="5">
        <v>0.2</v>
      </c>
      <c r="B20" s="39">
        <f>B11/(1-$A$20)</f>
        <v>11299.91765203125</v>
      </c>
      <c r="C20" s="39">
        <f t="shared" ref="C20:L20" si="4">C11/(1-$A$20)</f>
        <v>9645.8894129040054</v>
      </c>
      <c r="D20" s="39">
        <f t="shared" si="4"/>
        <v>9416.2946692869482</v>
      </c>
      <c r="E20" s="39">
        <f t="shared" si="4"/>
        <v>9714.3349160483249</v>
      </c>
      <c r="F20" s="39">
        <f t="shared" si="4"/>
        <v>10023.255193334835</v>
      </c>
      <c r="G20" s="39">
        <f t="shared" si="4"/>
        <v>10343.386617095135</v>
      </c>
      <c r="H20" s="39">
        <f t="shared" si="4"/>
        <v>10675.104789944829</v>
      </c>
      <c r="I20" s="39">
        <f t="shared" si="4"/>
        <v>11018.77090680227</v>
      </c>
      <c r="J20" s="39">
        <f t="shared" si="4"/>
        <v>11373.753763311934</v>
      </c>
      <c r="K20" s="39">
        <f t="shared" si="4"/>
        <v>11751.918736948957</v>
      </c>
      <c r="L20" s="39">
        <f t="shared" si="4"/>
        <v>12136.040712001583</v>
      </c>
    </row>
    <row r="21" spans="1:12" x14ac:dyDescent="0.3">
      <c r="A21" s="5">
        <v>0.3</v>
      </c>
      <c r="B21" s="39">
        <f>B11/(1-$A$21)</f>
        <v>12914.191602321431</v>
      </c>
      <c r="C21" s="39">
        <f t="shared" ref="C21:L21" si="5">C11/(1-$A$21)</f>
        <v>11023.873614747436</v>
      </c>
      <c r="D21" s="39">
        <f t="shared" si="5"/>
        <v>10761.479622042227</v>
      </c>
      <c r="E21" s="39">
        <f t="shared" si="5"/>
        <v>11102.097046912373</v>
      </c>
      <c r="F21" s="39">
        <f t="shared" si="5"/>
        <v>11455.14879238267</v>
      </c>
      <c r="G21" s="39">
        <f t="shared" si="5"/>
        <v>11821.013276680156</v>
      </c>
      <c r="H21" s="39">
        <f t="shared" si="5"/>
        <v>12200.11975993695</v>
      </c>
      <c r="I21" s="39">
        <f t="shared" si="5"/>
        <v>12592.881036345454</v>
      </c>
      <c r="J21" s="39">
        <f t="shared" si="5"/>
        <v>12998.575729499353</v>
      </c>
      <c r="K21" s="39">
        <f t="shared" si="5"/>
        <v>13430.764270798809</v>
      </c>
      <c r="L21" s="39">
        <f t="shared" si="5"/>
        <v>13869.760813716097</v>
      </c>
    </row>
    <row r="23" spans="1:12" x14ac:dyDescent="0.3">
      <c r="A23" t="s">
        <v>347</v>
      </c>
      <c r="B23" s="29">
        <f>BOM!D5</f>
        <v>7600</v>
      </c>
      <c r="C23" s="39">
        <f>B23*(1+Premisas!C12)</f>
        <v>7858.4000000000005</v>
      </c>
      <c r="D23" s="39">
        <f>C23*(1+Premisas!D12)</f>
        <v>8125.5856000000013</v>
      </c>
      <c r="E23" s="39">
        <f>D23*(1+Premisas!E12)</f>
        <v>8401.8555104000006</v>
      </c>
      <c r="F23" s="39">
        <f>E23*(1+Premisas!F12)</f>
        <v>8687.5185977536003</v>
      </c>
      <c r="G23" s="39">
        <f>F23*(1+Premisas!G12)</f>
        <v>8982.8942300772233</v>
      </c>
      <c r="H23" s="39">
        <f>G23*(1+Premisas!H12)</f>
        <v>9288.31263389985</v>
      </c>
      <c r="I23" s="39">
        <f>H23*(1+Premisas!I12)</f>
        <v>9604.115263452446</v>
      </c>
      <c r="J23" s="39">
        <f>I23*(1+Premisas!J12)</f>
        <v>9930.6551824098296</v>
      </c>
      <c r="K23" s="39">
        <f>J23*(1+Premisas!K12)</f>
        <v>10268.297458611763</v>
      </c>
      <c r="L23" s="39">
        <f>K23*(1+Premisas!L12)</f>
        <v>10617.419572204564</v>
      </c>
    </row>
    <row r="26" spans="1:12" x14ac:dyDescent="0.3">
      <c r="A26" t="s">
        <v>312</v>
      </c>
      <c r="B26" s="24">
        <v>2025</v>
      </c>
      <c r="C26" s="24">
        <f>B26+1</f>
        <v>2026</v>
      </c>
      <c r="D26" s="24">
        <f t="shared" ref="D26:L26" si="6">C26+1</f>
        <v>2027</v>
      </c>
      <c r="E26" s="24">
        <f t="shared" si="6"/>
        <v>2028</v>
      </c>
      <c r="F26" s="24">
        <f t="shared" si="6"/>
        <v>2029</v>
      </c>
      <c r="G26" s="24">
        <f t="shared" si="6"/>
        <v>2030</v>
      </c>
      <c r="H26" s="24">
        <f t="shared" si="6"/>
        <v>2031</v>
      </c>
      <c r="I26" s="24">
        <f t="shared" si="6"/>
        <v>2032</v>
      </c>
      <c r="J26" s="24">
        <f t="shared" si="6"/>
        <v>2033</v>
      </c>
      <c r="K26" s="24">
        <f t="shared" si="6"/>
        <v>2034</v>
      </c>
      <c r="L26" s="24">
        <f t="shared" si="6"/>
        <v>2035</v>
      </c>
    </row>
    <row r="27" spans="1:12" x14ac:dyDescent="0.3">
      <c r="A27" t="s">
        <v>348</v>
      </c>
      <c r="B27" s="22">
        <f>Capacidad!E16</f>
        <v>16000</v>
      </c>
      <c r="C27" s="22">
        <f>Capacidad!F16</f>
        <v>84881</v>
      </c>
      <c r="D27" s="22">
        <f>Capacidad!G16</f>
        <v>90823</v>
      </c>
      <c r="E27" s="22">
        <f>Capacidad!H16</f>
        <v>97180</v>
      </c>
      <c r="F27" s="22">
        <f>Capacidad!I16</f>
        <v>103981</v>
      </c>
      <c r="G27" s="22">
        <f>Capacidad!J16</f>
        <v>111262</v>
      </c>
      <c r="H27" s="22">
        <f>Capacidad!K16</f>
        <v>119050</v>
      </c>
      <c r="I27" s="22">
        <f>Capacidad!L16</f>
        <v>127384</v>
      </c>
      <c r="J27" s="22">
        <f>Capacidad!M16</f>
        <v>136824</v>
      </c>
      <c r="K27" s="22">
        <f>Capacidad!N16</f>
        <v>141223</v>
      </c>
      <c r="L27" s="22">
        <f>Capacidad!O16</f>
        <v>149634</v>
      </c>
    </row>
    <row r="28" spans="1:12" x14ac:dyDescent="0.3">
      <c r="A28" t="s">
        <v>350</v>
      </c>
      <c r="B28" s="39">
        <f>B23</f>
        <v>7600</v>
      </c>
      <c r="C28" s="39">
        <f t="shared" ref="C28:L28" si="7">C23</f>
        <v>7858.4000000000005</v>
      </c>
      <c r="D28" s="39">
        <f t="shared" si="7"/>
        <v>8125.5856000000013</v>
      </c>
      <c r="E28" s="39">
        <f t="shared" si="7"/>
        <v>8401.8555104000006</v>
      </c>
      <c r="F28" s="39">
        <f t="shared" si="7"/>
        <v>8687.5185977536003</v>
      </c>
      <c r="G28" s="39">
        <f t="shared" si="7"/>
        <v>8982.8942300772233</v>
      </c>
      <c r="H28" s="39">
        <f t="shared" si="7"/>
        <v>9288.31263389985</v>
      </c>
      <c r="I28" s="39">
        <f t="shared" si="7"/>
        <v>9604.115263452446</v>
      </c>
      <c r="J28" s="39">
        <f t="shared" si="7"/>
        <v>9930.6551824098296</v>
      </c>
      <c r="K28" s="39">
        <f t="shared" si="7"/>
        <v>10268.297458611763</v>
      </c>
      <c r="L28" s="39">
        <f t="shared" si="7"/>
        <v>10617.419572204564</v>
      </c>
    </row>
    <row r="29" spans="1:12" x14ac:dyDescent="0.3">
      <c r="A29" t="s">
        <v>349</v>
      </c>
      <c r="B29" s="29">
        <f>B27*B28</f>
        <v>121600000</v>
      </c>
      <c r="C29" s="29">
        <f t="shared" ref="C29:L29" si="8">C27*C28</f>
        <v>667028850.4000001</v>
      </c>
      <c r="D29" s="29">
        <f t="shared" si="8"/>
        <v>737990060.94880009</v>
      </c>
      <c r="E29" s="29">
        <f t="shared" si="8"/>
        <v>816492318.5006721</v>
      </c>
      <c r="F29" s="29">
        <f t="shared" si="8"/>
        <v>903336871.31301713</v>
      </c>
      <c r="G29" s="29">
        <f t="shared" si="8"/>
        <v>999454777.82685196</v>
      </c>
      <c r="H29" s="29">
        <f t="shared" si="8"/>
        <v>1105773619.0657771</v>
      </c>
      <c r="I29" s="29">
        <f t="shared" si="8"/>
        <v>1223410618.7196264</v>
      </c>
      <c r="J29" s="29">
        <f t="shared" si="8"/>
        <v>1358751964.6780427</v>
      </c>
      <c r="K29" s="29">
        <f t="shared" si="8"/>
        <v>1450119771.997529</v>
      </c>
      <c r="L29" s="29">
        <f t="shared" si="8"/>
        <v>1588726960.2672577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0B64-F051-4834-9471-DFF836F6C5A2}">
  <dimension ref="A1:N2626"/>
  <sheetViews>
    <sheetView topLeftCell="A18" workbookViewId="0">
      <selection activeCell="B36" sqref="B36"/>
    </sheetView>
  </sheetViews>
  <sheetFormatPr baseColWidth="10" defaultColWidth="8.88671875" defaultRowHeight="14.4" x14ac:dyDescent="0.3"/>
  <cols>
    <col min="1" max="1" width="29.5546875" customWidth="1"/>
    <col min="2" max="6" width="16.21875" bestFit="1" customWidth="1"/>
    <col min="7" max="7" width="17.44140625" bestFit="1" customWidth="1"/>
    <col min="8" max="8" width="17.6640625" bestFit="1" customWidth="1"/>
    <col min="9" max="12" width="17.77734375" bestFit="1" customWidth="1"/>
  </cols>
  <sheetData>
    <row r="1" spans="1:12" x14ac:dyDescent="0.3">
      <c r="A1" t="s">
        <v>311</v>
      </c>
    </row>
    <row r="2" spans="1:12" x14ac:dyDescent="0.3">
      <c r="B2" s="24">
        <v>2025</v>
      </c>
      <c r="C2" s="24">
        <f>B2+1</f>
        <v>2026</v>
      </c>
      <c r="D2" s="24">
        <f t="shared" ref="D2:L2" si="0">C2+1</f>
        <v>2027</v>
      </c>
      <c r="E2" s="24">
        <f t="shared" si="0"/>
        <v>2028</v>
      </c>
      <c r="F2" s="24">
        <f t="shared" si="0"/>
        <v>2029</v>
      </c>
      <c r="G2" s="24">
        <f t="shared" si="0"/>
        <v>2030</v>
      </c>
      <c r="H2" s="24">
        <f t="shared" si="0"/>
        <v>2031</v>
      </c>
      <c r="I2" s="24">
        <f t="shared" si="0"/>
        <v>2032</v>
      </c>
      <c r="J2" s="24">
        <f t="shared" si="0"/>
        <v>2033</v>
      </c>
      <c r="K2" s="24">
        <f t="shared" si="0"/>
        <v>2034</v>
      </c>
      <c r="L2" s="24">
        <f t="shared" si="0"/>
        <v>2035</v>
      </c>
    </row>
    <row r="3" spans="1:12" x14ac:dyDescent="0.3">
      <c r="A3" s="46" t="s">
        <v>313</v>
      </c>
    </row>
    <row r="4" spans="1:12" x14ac:dyDescent="0.3">
      <c r="A4" s="47" t="s">
        <v>334</v>
      </c>
      <c r="B4" s="29">
        <f>Ingresos!B29</f>
        <v>121600000</v>
      </c>
      <c r="C4" s="29">
        <f>Ingresos!C29</f>
        <v>667028850.4000001</v>
      </c>
      <c r="D4" s="29">
        <f>Ingresos!D29</f>
        <v>737990060.94880009</v>
      </c>
      <c r="E4" s="29">
        <f>Ingresos!E29</f>
        <v>816492318.5006721</v>
      </c>
      <c r="F4" s="29">
        <f>Ingresos!F29</f>
        <v>903336871.31301713</v>
      </c>
      <c r="G4" s="29">
        <f>Ingresos!G29</f>
        <v>999454777.82685196</v>
      </c>
      <c r="H4" s="29">
        <f>Ingresos!H29</f>
        <v>1105773619.0657771</v>
      </c>
      <c r="I4" s="29">
        <f>Ingresos!I29</f>
        <v>1223410618.7196264</v>
      </c>
      <c r="J4" s="29">
        <f>Ingresos!J29</f>
        <v>1358751964.6780427</v>
      </c>
      <c r="K4" s="29">
        <f>Ingresos!K29</f>
        <v>1450119771.997529</v>
      </c>
      <c r="L4" s="29">
        <f>Ingresos!L29</f>
        <v>1588726960.2672577</v>
      </c>
    </row>
    <row r="5" spans="1:12" x14ac:dyDescent="0.3">
      <c r="A5" s="48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2" ht="15" thickBot="1" x14ac:dyDescent="0.35">
      <c r="A6" s="49" t="s">
        <v>314</v>
      </c>
      <c r="B6" s="59">
        <f>SUM(B4:B5)</f>
        <v>121600000</v>
      </c>
      <c r="C6" s="59">
        <f t="shared" ref="C6:L6" si="1">SUM(C4:C5)</f>
        <v>667028850.4000001</v>
      </c>
      <c r="D6" s="59">
        <f t="shared" si="1"/>
        <v>737990060.94880009</v>
      </c>
      <c r="E6" s="59">
        <f t="shared" si="1"/>
        <v>816492318.5006721</v>
      </c>
      <c r="F6" s="59">
        <f t="shared" si="1"/>
        <v>903336871.31301713</v>
      </c>
      <c r="G6" s="59">
        <f t="shared" si="1"/>
        <v>999454777.82685196</v>
      </c>
      <c r="H6" s="59">
        <f t="shared" si="1"/>
        <v>1105773619.0657771</v>
      </c>
      <c r="I6" s="59">
        <f t="shared" si="1"/>
        <v>1223410618.7196264</v>
      </c>
      <c r="J6" s="59">
        <f t="shared" si="1"/>
        <v>1358751964.6780427</v>
      </c>
      <c r="K6" s="59">
        <f t="shared" si="1"/>
        <v>1450119771.997529</v>
      </c>
      <c r="L6" s="59">
        <f t="shared" si="1"/>
        <v>1588726960.2672577</v>
      </c>
    </row>
    <row r="7" spans="1:12" ht="15" thickTop="1" x14ac:dyDescent="0.3">
      <c r="A7" s="50"/>
    </row>
    <row r="8" spans="1:12" x14ac:dyDescent="0.3">
      <c r="A8" s="46" t="s">
        <v>315</v>
      </c>
    </row>
    <row r="9" spans="1:12" x14ac:dyDescent="0.3">
      <c r="A9" s="51" t="s">
        <v>335</v>
      </c>
      <c r="B9" s="39">
        <f>Egresos!B178</f>
        <v>122420600</v>
      </c>
      <c r="C9" s="84">
        <v>126582900.40000001</v>
      </c>
      <c r="D9" s="39">
        <f>Egresos!D178</f>
        <v>660418026.72067726</v>
      </c>
      <c r="E9" s="39">
        <f>Egresos!E178</f>
        <v>730668709.98715913</v>
      </c>
      <c r="F9" s="39">
        <f>Egresos!F178</f>
        <v>808384808.39373052</v>
      </c>
      <c r="G9" s="39">
        <f>Egresos!G178</f>
        <v>894399514.43296719</v>
      </c>
      <c r="H9" s="39">
        <f>Egresos!H178</f>
        <v>989542908.70032072</v>
      </c>
      <c r="I9" s="39">
        <f>Egresos!I178</f>
        <v>1094814780.6288588</v>
      </c>
      <c r="J9" s="39">
        <f>Egresos!J178</f>
        <v>1215930049.4668477</v>
      </c>
      <c r="K9" s="39">
        <f>Egresos!K178</f>
        <v>1297693951.4605315</v>
      </c>
      <c r="L9" s="39">
        <f>Egresos!L178</f>
        <v>1421731781.5211539</v>
      </c>
    </row>
    <row r="10" spans="1:12" x14ac:dyDescent="0.3">
      <c r="A10" s="51" t="s">
        <v>316</v>
      </c>
      <c r="B10" s="39">
        <f>Egresos!B151</f>
        <v>5359707.6263999995</v>
      </c>
      <c r="C10" s="39">
        <f>Egresos!C151</f>
        <v>5541937.6856975993</v>
      </c>
      <c r="D10" s="39">
        <f>Egresos!D151</f>
        <v>5730363.5670113182</v>
      </c>
      <c r="E10" s="39">
        <f>Egresos!E151</f>
        <v>5925195.9282897031</v>
      </c>
      <c r="F10" s="39">
        <f>Egresos!F151</f>
        <v>6126652.5898515536</v>
      </c>
      <c r="G10" s="39">
        <f>Egresos!G151</f>
        <v>6334958.7779065063</v>
      </c>
      <c r="H10" s="39">
        <f>Egresos!H151</f>
        <v>6550347.3763553277</v>
      </c>
      <c r="I10" s="39">
        <f>Egresos!I151</f>
        <v>6773059.1871514088</v>
      </c>
      <c r="J10" s="39">
        <f>Egresos!J151</f>
        <v>7003343.1995145567</v>
      </c>
      <c r="K10" s="39">
        <f>Egresos!K151</f>
        <v>7241456.8682980519</v>
      </c>
      <c r="L10" s="39">
        <f>Egresos!L151</f>
        <v>7487666.4018201856</v>
      </c>
    </row>
    <row r="11" spans="1:12" x14ac:dyDescent="0.3">
      <c r="A11" s="51" t="s">
        <v>336</v>
      </c>
      <c r="B11" s="39">
        <f>Egresos!B152</f>
        <v>1742780.7478</v>
      </c>
      <c r="C11" s="39">
        <f>Egresos!C152</f>
        <v>1802035.2932252001</v>
      </c>
      <c r="D11" s="39">
        <f>Egresos!D152</f>
        <v>1863304.4931948569</v>
      </c>
      <c r="E11" s="39">
        <f>Egresos!E152</f>
        <v>1926656.845963482</v>
      </c>
      <c r="F11" s="39">
        <f>Egresos!F152</f>
        <v>1992163.1787262405</v>
      </c>
      <c r="G11" s="39">
        <f>Egresos!G152</f>
        <v>2059896.7268029328</v>
      </c>
      <c r="H11" s="39">
        <f>Egresos!H152</f>
        <v>2129933.2155142324</v>
      </c>
      <c r="I11" s="39">
        <f>Egresos!I152</f>
        <v>2202350.9448417164</v>
      </c>
      <c r="J11" s="39">
        <f>Egresos!J152</f>
        <v>2277230.8769663349</v>
      </c>
      <c r="K11" s="39">
        <f>Egresos!K152</f>
        <v>2354656.7267831904</v>
      </c>
      <c r="L11" s="39">
        <f>Egresos!L152</f>
        <v>2434715.0554938191</v>
      </c>
    </row>
    <row r="12" spans="1:12" x14ac:dyDescent="0.3">
      <c r="A12" s="51" t="s">
        <v>337</v>
      </c>
      <c r="B12" s="39">
        <f>Egresos!B153</f>
        <v>2005511.5138000003</v>
      </c>
      <c r="C12" s="39">
        <f>Egresos!C153</f>
        <v>2073698.9052692004</v>
      </c>
      <c r="D12" s="39">
        <f>Egresos!D153</f>
        <v>2144204.6680483534</v>
      </c>
      <c r="E12" s="39">
        <f>Egresos!E153</f>
        <v>2217107.6267619976</v>
      </c>
      <c r="F12" s="39">
        <f>Egresos!F153</f>
        <v>2292489.2860719054</v>
      </c>
      <c r="G12" s="39">
        <f>Egresos!G153</f>
        <v>2370433.9217983503</v>
      </c>
      <c r="H12" s="39">
        <f>Egresos!H153</f>
        <v>2451028.6751394942</v>
      </c>
      <c r="I12" s="39">
        <f>Egresos!I153</f>
        <v>2534363.6500942372</v>
      </c>
      <c r="J12" s="39">
        <f>Egresos!J153</f>
        <v>2620532.0141974413</v>
      </c>
      <c r="K12" s="39">
        <f>Egresos!K153</f>
        <v>2709630.1026801541</v>
      </c>
      <c r="L12" s="39">
        <f>Egresos!L153</f>
        <v>2801757.5261712796</v>
      </c>
    </row>
    <row r="13" spans="1:12" x14ac:dyDescent="0.3">
      <c r="A13" s="52" t="s">
        <v>338</v>
      </c>
      <c r="B13" s="29">
        <f>B6*Premisas!B24</f>
        <v>6080000</v>
      </c>
      <c r="C13" s="29">
        <f>C6*Premisas!C24</f>
        <v>33351442.520000007</v>
      </c>
      <c r="D13" s="29">
        <f>D6*Premisas!D24</f>
        <v>36899503.047440007</v>
      </c>
      <c r="E13" s="29">
        <f>E6*Premisas!E24</f>
        <v>40824615.925033607</v>
      </c>
      <c r="F13" s="29">
        <f>F6*Premisas!F24</f>
        <v>45166843.565650858</v>
      </c>
      <c r="G13" s="29">
        <f>G6*Premisas!G24</f>
        <v>49972738.891342603</v>
      </c>
      <c r="H13" s="29">
        <f>H6*Premisas!H24</f>
        <v>55288680.953288853</v>
      </c>
      <c r="I13" s="29">
        <f>I6*Premisas!I24</f>
        <v>61170530.935981326</v>
      </c>
      <c r="J13" s="29">
        <f>J6*Premisas!J24</f>
        <v>67937598.233902141</v>
      </c>
      <c r="K13" s="29">
        <f>K6*Premisas!K24</f>
        <v>72505988.599876449</v>
      </c>
      <c r="L13" s="29">
        <f>L6*Premisas!L24</f>
        <v>79436348.013362885</v>
      </c>
    </row>
    <row r="14" spans="1:12" x14ac:dyDescent="0.3">
      <c r="A14" s="52" t="s">
        <v>317</v>
      </c>
    </row>
    <row r="15" spans="1:12" x14ac:dyDescent="0.3">
      <c r="A15" s="52" t="s">
        <v>318</v>
      </c>
    </row>
    <row r="16" spans="1:12" x14ac:dyDescent="0.3">
      <c r="A16" s="50"/>
    </row>
    <row r="17" spans="1:14" ht="15" thickBot="1" x14ac:dyDescent="0.35">
      <c r="A17" s="53" t="s">
        <v>319</v>
      </c>
      <c r="B17" s="56">
        <f>SUM(B9:B15)</f>
        <v>137608599.88799998</v>
      </c>
      <c r="C17" s="56">
        <f t="shared" ref="C17:L17" si="2">SUM(C9:C15)</f>
        <v>169352014.80419201</v>
      </c>
      <c r="D17" s="56">
        <f t="shared" si="2"/>
        <v>707055402.49637187</v>
      </c>
      <c r="E17" s="56">
        <f t="shared" si="2"/>
        <v>781562286.31320786</v>
      </c>
      <c r="F17" s="56">
        <f t="shared" si="2"/>
        <v>863962957.01403093</v>
      </c>
      <c r="G17" s="56">
        <f t="shared" si="2"/>
        <v>955137542.75081766</v>
      </c>
      <c r="H17" s="56">
        <f t="shared" si="2"/>
        <v>1055962898.9206185</v>
      </c>
      <c r="I17" s="56">
        <f t="shared" si="2"/>
        <v>1167495085.3469274</v>
      </c>
      <c r="J17" s="56">
        <f t="shared" si="2"/>
        <v>1295768753.7914281</v>
      </c>
      <c r="K17" s="56">
        <f t="shared" si="2"/>
        <v>1382505683.7581694</v>
      </c>
      <c r="L17" s="56">
        <f t="shared" si="2"/>
        <v>1513892268.518002</v>
      </c>
    </row>
    <row r="18" spans="1:14" ht="15" thickTop="1" x14ac:dyDescent="0.3">
      <c r="A18" s="50"/>
    </row>
    <row r="19" spans="1:14" ht="15" thickBot="1" x14ac:dyDescent="0.35">
      <c r="A19" s="53" t="s">
        <v>320</v>
      </c>
      <c r="B19" s="67">
        <f>B6-B17</f>
        <v>-16008599.887999982</v>
      </c>
      <c r="C19" s="67">
        <f t="shared" ref="C19:L19" si="3">C6-C17</f>
        <v>497676835.59580809</v>
      </c>
      <c r="D19" s="67">
        <f t="shared" si="3"/>
        <v>30934658.452428222</v>
      </c>
      <c r="E19" s="67">
        <f t="shared" si="3"/>
        <v>34930032.187464237</v>
      </c>
      <c r="F19" s="67">
        <f t="shared" si="3"/>
        <v>39373914.298986197</v>
      </c>
      <c r="G19" s="67">
        <f t="shared" si="3"/>
        <v>44317235.076034307</v>
      </c>
      <c r="H19" s="67">
        <f t="shared" si="3"/>
        <v>49810720.145158529</v>
      </c>
      <c r="I19" s="67">
        <f t="shared" si="3"/>
        <v>55915533.372699022</v>
      </c>
      <c r="J19" s="67">
        <f t="shared" si="3"/>
        <v>62983210.886614561</v>
      </c>
      <c r="K19" s="67">
        <f t="shared" si="3"/>
        <v>67614088.239359617</v>
      </c>
      <c r="L19" s="67">
        <f t="shared" si="3"/>
        <v>74834691.749255657</v>
      </c>
    </row>
    <row r="20" spans="1:14" ht="15" thickTop="1" x14ac:dyDescent="0.3">
      <c r="A20" s="50"/>
    </row>
    <row r="21" spans="1:14" x14ac:dyDescent="0.3">
      <c r="A21" s="52" t="s">
        <v>321</v>
      </c>
      <c r="B21" s="39">
        <f>Egresos!B154+Egresos!B206</f>
        <v>13110346.057999998</v>
      </c>
      <c r="C21" s="39">
        <f>Egresos!C154+Egresos!C206</f>
        <v>13556097.823972</v>
      </c>
      <c r="D21" s="39">
        <f>Egresos!D154+Egresos!D206</f>
        <v>14017005.149987049</v>
      </c>
      <c r="E21" s="39">
        <f>Egresos!E154+Egresos!E206</f>
        <v>14493583.325086609</v>
      </c>
      <c r="F21" s="39">
        <f>Egresos!F154+Egresos!F206</f>
        <v>14986365.158139553</v>
      </c>
      <c r="G21" s="39">
        <f>Egresos!G154+Egresos!G206</f>
        <v>15495901.573516298</v>
      </c>
      <c r="H21" s="39">
        <f>Egresos!H154+Egresos!H206</f>
        <v>16022762.227015853</v>
      </c>
      <c r="I21" s="39">
        <f>Egresos!I154+Egresos!I206</f>
        <v>16567536.142734393</v>
      </c>
      <c r="J21" s="39">
        <f>Egresos!J154+Egresos!J206</f>
        <v>17130832.371587366</v>
      </c>
      <c r="K21" s="39">
        <f>Egresos!K154+Egresos!K206</f>
        <v>17713280.672221337</v>
      </c>
      <c r="L21" s="39">
        <f>Egresos!L154+Egresos!L206</f>
        <v>18315532.215076864</v>
      </c>
    </row>
    <row r="22" spans="1:14" x14ac:dyDescent="0.3">
      <c r="A22" s="50" t="s">
        <v>322</v>
      </c>
      <c r="B22" s="45">
        <f>Depreciación.!C65</f>
        <v>302650</v>
      </c>
      <c r="C22" s="45">
        <f>Depreciación.!D65</f>
        <v>302650</v>
      </c>
      <c r="D22" s="45">
        <f>Depreciación.!E65</f>
        <v>302650</v>
      </c>
      <c r="E22" s="45">
        <f>Depreciación.!F65</f>
        <v>302650</v>
      </c>
      <c r="F22" s="45">
        <f>Depreciación.!G65</f>
        <v>302650</v>
      </c>
      <c r="G22" s="45">
        <f>Depreciación.!H65</f>
        <v>302650</v>
      </c>
      <c r="H22" s="45">
        <f>Depreciación.!I65</f>
        <v>302650</v>
      </c>
      <c r="I22" s="45">
        <f>Depreciación.!J65</f>
        <v>302650</v>
      </c>
      <c r="J22" s="45">
        <f>Depreciación.!K65</f>
        <v>302650</v>
      </c>
      <c r="K22" s="45">
        <f>Depreciación.!L65</f>
        <v>302650</v>
      </c>
      <c r="L22" s="45">
        <f>Depreciación.!M65</f>
        <v>302650</v>
      </c>
    </row>
    <row r="23" spans="1:14" x14ac:dyDescent="0.3">
      <c r="A23" s="50" t="s">
        <v>323</v>
      </c>
      <c r="B23" s="45">
        <f>Depreciación.!C47</f>
        <v>288000</v>
      </c>
      <c r="C23" s="45">
        <f>Depreciación.!D47</f>
        <v>288000</v>
      </c>
      <c r="D23" s="45">
        <f>Depreciación.!E47</f>
        <v>288000</v>
      </c>
      <c r="E23" s="45">
        <f>Depreciación.!F47</f>
        <v>288000</v>
      </c>
      <c r="F23" s="45">
        <f>Depreciación.!G47</f>
        <v>288000</v>
      </c>
      <c r="G23" s="45">
        <f>Depreciación.!H47</f>
        <v>288000</v>
      </c>
      <c r="H23" s="45">
        <f>Depreciación.!I47</f>
        <v>288000</v>
      </c>
      <c r="I23" s="45">
        <f>Depreciación.!J47</f>
        <v>288000</v>
      </c>
      <c r="J23" s="45">
        <f>Depreciación.!K47</f>
        <v>288000</v>
      </c>
      <c r="K23" s="45">
        <f>Depreciación.!L47</f>
        <v>288000</v>
      </c>
      <c r="L23" s="45">
        <f>Depreciación.!M47</f>
        <v>288000</v>
      </c>
    </row>
    <row r="24" spans="1:14" x14ac:dyDescent="0.3">
      <c r="A24" s="50" t="s">
        <v>324</v>
      </c>
      <c r="B24" s="45">
        <f>Depreciación.!C26</f>
        <v>806000</v>
      </c>
      <c r="C24" s="45">
        <f>Depreciación.!D26</f>
        <v>806000</v>
      </c>
      <c r="D24" s="45">
        <f>Depreciación.!E26</f>
        <v>806000</v>
      </c>
      <c r="E24" s="45">
        <f>Depreciación.!F26</f>
        <v>806000</v>
      </c>
      <c r="F24" s="45">
        <f>Depreciación.!G26</f>
        <v>806000</v>
      </c>
      <c r="G24" s="45">
        <f>Depreciación.!H26</f>
        <v>806000</v>
      </c>
      <c r="H24" s="45">
        <f>Depreciación.!I26</f>
        <v>806000</v>
      </c>
      <c r="I24" s="45">
        <f>Depreciación.!J26</f>
        <v>806000</v>
      </c>
      <c r="J24" s="45">
        <f>Depreciación.!K26</f>
        <v>806000</v>
      </c>
      <c r="K24" s="45">
        <f>Depreciación.!L26</f>
        <v>806000</v>
      </c>
      <c r="L24" s="45">
        <f>Depreciación.!M26</f>
        <v>806000</v>
      </c>
    </row>
    <row r="25" spans="1:14" x14ac:dyDescent="0.3">
      <c r="A25" s="50" t="s">
        <v>325</v>
      </c>
      <c r="B25" s="45">
        <f>Depreciación.!C85</f>
        <v>18474.75</v>
      </c>
      <c r="C25" s="45">
        <f>Depreciación.!D85</f>
        <v>18474.75</v>
      </c>
      <c r="D25" s="45">
        <f>Depreciación.!E85</f>
        <v>18474.75</v>
      </c>
      <c r="E25" s="45">
        <f>Depreciación.!F85</f>
        <v>18474.75</v>
      </c>
      <c r="F25" s="45">
        <f>Depreciación.!G85</f>
        <v>18474.75</v>
      </c>
      <c r="G25" s="45">
        <f>Depreciación.!H85</f>
        <v>18474.75</v>
      </c>
      <c r="H25" s="45">
        <f>Depreciación.!I85</f>
        <v>18474.75</v>
      </c>
      <c r="I25" s="45">
        <f>Depreciación.!J85</f>
        <v>18474.75</v>
      </c>
      <c r="J25" s="45">
        <f>Depreciación.!K85</f>
        <v>18474.75</v>
      </c>
      <c r="K25" s="45">
        <f>Depreciación.!L85</f>
        <v>18474.75</v>
      </c>
      <c r="L25" s="45">
        <f>Depreciación.!M85</f>
        <v>18474.75</v>
      </c>
    </row>
    <row r="26" spans="1:14" x14ac:dyDescent="0.3">
      <c r="A26" s="50" t="s">
        <v>326</v>
      </c>
    </row>
    <row r="27" spans="1:14" x14ac:dyDescent="0.3">
      <c r="A27" s="54" t="s">
        <v>327</v>
      </c>
    </row>
    <row r="28" spans="1:14" x14ac:dyDescent="0.3">
      <c r="A28" s="50" t="s">
        <v>339</v>
      </c>
      <c r="B28" s="39">
        <f>SUM(B21:B27)</f>
        <v>14525470.807999998</v>
      </c>
      <c r="C28" s="39">
        <f t="shared" ref="C28:L28" si="4">SUM(C21:C27)</f>
        <v>14971222.573972</v>
      </c>
      <c r="D28" s="39">
        <f t="shared" si="4"/>
        <v>15432129.899987049</v>
      </c>
      <c r="E28" s="39">
        <f t="shared" si="4"/>
        <v>15908708.075086609</v>
      </c>
      <c r="F28" s="39">
        <f t="shared" si="4"/>
        <v>16401489.908139553</v>
      </c>
      <c r="G28" s="39">
        <f t="shared" si="4"/>
        <v>16911026.323516298</v>
      </c>
      <c r="H28" s="39">
        <f t="shared" si="4"/>
        <v>17437886.977015853</v>
      </c>
      <c r="I28" s="39">
        <f t="shared" si="4"/>
        <v>17982660.892734393</v>
      </c>
      <c r="J28" s="39">
        <f t="shared" si="4"/>
        <v>18545957.121587366</v>
      </c>
      <c r="K28" s="39">
        <f t="shared" si="4"/>
        <v>19128405.422221337</v>
      </c>
      <c r="L28" s="39">
        <f t="shared" si="4"/>
        <v>19730656.965076864</v>
      </c>
    </row>
    <row r="29" spans="1:14" x14ac:dyDescent="0.3">
      <c r="A29" s="50"/>
    </row>
    <row r="30" spans="1:14" ht="15" thickBot="1" x14ac:dyDescent="0.35">
      <c r="A30" s="55" t="s">
        <v>328</v>
      </c>
      <c r="B30" s="63">
        <f>B19-B28</f>
        <v>-30534070.69599998</v>
      </c>
      <c r="C30" s="63">
        <f t="shared" ref="C30:L30" si="5">C19-C28</f>
        <v>482705613.0218361</v>
      </c>
      <c r="D30" s="63">
        <f t="shared" si="5"/>
        <v>15502528.552441172</v>
      </c>
      <c r="E30" s="63">
        <f t="shared" si="5"/>
        <v>19021324.112377629</v>
      </c>
      <c r="F30" s="63">
        <f t="shared" si="5"/>
        <v>22972424.390846644</v>
      </c>
      <c r="G30" s="63">
        <f t="shared" si="5"/>
        <v>27406208.752518009</v>
      </c>
      <c r="H30" s="63">
        <f t="shared" si="5"/>
        <v>32372833.168142676</v>
      </c>
      <c r="I30" s="63">
        <f t="shared" si="5"/>
        <v>37932872.479964629</v>
      </c>
      <c r="J30" s="63">
        <f t="shared" si="5"/>
        <v>44437253.765027195</v>
      </c>
      <c r="K30" s="63">
        <f t="shared" si="5"/>
        <v>48485682.817138284</v>
      </c>
      <c r="L30" s="63">
        <f t="shared" si="5"/>
        <v>55104034.784178793</v>
      </c>
    </row>
    <row r="31" spans="1:14" x14ac:dyDescent="0.3">
      <c r="A31" s="50"/>
    </row>
    <row r="32" spans="1:14" x14ac:dyDescent="0.3">
      <c r="A32" s="51" t="s">
        <v>292</v>
      </c>
      <c r="B32" s="22">
        <f>Egresos!B220</f>
        <v>5931009.1441519978</v>
      </c>
      <c r="C32" s="22">
        <f>Egresos!C220</f>
        <v>4625098.8738799971</v>
      </c>
      <c r="D32" s="22">
        <f>Egresos!D220</f>
        <v>3319188.6036079936</v>
      </c>
      <c r="E32" s="22">
        <f>Egresos!E220</f>
        <v>2013278.3333359938</v>
      </c>
      <c r="F32" s="22">
        <f>Egresos!F220</f>
        <v>897813.31081199087</v>
      </c>
      <c r="G32" s="22">
        <f>Egresos!G220</f>
        <v>0</v>
      </c>
      <c r="H32" s="22">
        <f>Egresos!H220</f>
        <v>0</v>
      </c>
      <c r="I32" s="22">
        <f>Egresos!I220</f>
        <v>0</v>
      </c>
      <c r="J32" s="22">
        <f>Egresos!J220</f>
        <v>0</v>
      </c>
      <c r="K32" s="22">
        <f>Egresos!K220</f>
        <v>0</v>
      </c>
      <c r="L32" s="22">
        <f>Egresos!L220</f>
        <v>0</v>
      </c>
      <c r="M32" s="22"/>
      <c r="N32" s="22"/>
    </row>
    <row r="33" spans="1:13" x14ac:dyDescent="0.3">
      <c r="A33" s="51" t="s">
        <v>329</v>
      </c>
      <c r="B33" s="22">
        <f>Egresos!B219</f>
        <v>8161939.1891999999</v>
      </c>
      <c r="C33" s="22">
        <f>Egresos!C219</f>
        <v>8161939.1891999999</v>
      </c>
      <c r="D33" s="22">
        <f>Egresos!D219</f>
        <v>8161939.1891999999</v>
      </c>
      <c r="E33" s="22">
        <f>Egresos!E219</f>
        <v>8161939.1891999999</v>
      </c>
      <c r="F33" s="22">
        <f>Egresos!F219</f>
        <v>8161939.1891999999</v>
      </c>
      <c r="G33" s="22">
        <f>Egresos!G219</f>
        <v>0</v>
      </c>
      <c r="H33" s="22">
        <f>Egresos!H219</f>
        <v>0</v>
      </c>
      <c r="I33" s="22">
        <f>Egresos!I219</f>
        <v>0</v>
      </c>
      <c r="J33" s="22">
        <f>Egresos!J219</f>
        <v>0</v>
      </c>
      <c r="K33" s="22">
        <f>Egresos!K219</f>
        <v>0</v>
      </c>
      <c r="L33" s="22">
        <f>Egresos!L219</f>
        <v>0</v>
      </c>
    </row>
    <row r="34" spans="1:13" x14ac:dyDescent="0.3">
      <c r="A34" s="51" t="s">
        <v>330</v>
      </c>
    </row>
    <row r="35" spans="1:13" x14ac:dyDescent="0.3">
      <c r="A35" s="50"/>
    </row>
    <row r="36" spans="1:13" ht="15" thickBot="1" x14ac:dyDescent="0.35">
      <c r="A36" s="55" t="s">
        <v>331</v>
      </c>
      <c r="B36" s="63">
        <f>B30-B32-B33+B34</f>
        <v>-44627019.029351979</v>
      </c>
      <c r="C36" s="63">
        <f t="shared" ref="C36:L36" si="6">C30-C32-C33+C34</f>
        <v>469918574.95875615</v>
      </c>
      <c r="D36" s="63">
        <f t="shared" si="6"/>
        <v>4021400.7596331788</v>
      </c>
      <c r="E36" s="63">
        <f t="shared" si="6"/>
        <v>8846106.589841634</v>
      </c>
      <c r="F36" s="63">
        <f t="shared" si="6"/>
        <v>13912671.890834652</v>
      </c>
      <c r="G36" s="63">
        <f t="shared" si="6"/>
        <v>27406208.752518009</v>
      </c>
      <c r="H36" s="63">
        <f t="shared" si="6"/>
        <v>32372833.168142676</v>
      </c>
      <c r="I36" s="63">
        <f t="shared" si="6"/>
        <v>37932872.479964629</v>
      </c>
      <c r="J36" s="63">
        <f t="shared" si="6"/>
        <v>44437253.765027195</v>
      </c>
      <c r="K36" s="63">
        <f t="shared" si="6"/>
        <v>48485682.817138284</v>
      </c>
      <c r="L36" s="63">
        <f t="shared" si="6"/>
        <v>55104034.784178793</v>
      </c>
    </row>
    <row r="37" spans="1:13" x14ac:dyDescent="0.3">
      <c r="A37" s="50"/>
    </row>
    <row r="38" spans="1:13" x14ac:dyDescent="0.3">
      <c r="A38" s="50" t="s">
        <v>332</v>
      </c>
      <c r="B38">
        <f>IF(B36&lt;0,0,B36*Premisas!B13)</f>
        <v>0</v>
      </c>
      <c r="C38">
        <f>IF(C36&lt;0,0,C36*Premisas!C13)</f>
        <v>159772315.48597711</v>
      </c>
      <c r="D38">
        <f>IF(D36&lt;0,0,D36*Premisas!D13)</f>
        <v>1367276.2582752809</v>
      </c>
      <c r="E38">
        <f>IF(E36&lt;0,0,E36*Premisas!E13)</f>
        <v>3007676.2405461557</v>
      </c>
      <c r="F38">
        <f>IF(F36&lt;0,0,F36*Premisas!F13)</f>
        <v>4730308.4428837821</v>
      </c>
      <c r="G38">
        <f>IF(G36&lt;0,0,G36*Premisas!G13)</f>
        <v>9318110.9758561235</v>
      </c>
      <c r="H38">
        <f>IF(H36&lt;0,0,H36*Premisas!H13)</f>
        <v>11006763.27716851</v>
      </c>
      <c r="I38">
        <f>IF(I36&lt;0,0,I36*Premisas!I13)</f>
        <v>12897176.643187976</v>
      </c>
      <c r="J38">
        <f>IF(J36&lt;0,0,J36*Premisas!J13)</f>
        <v>15108666.280109247</v>
      </c>
      <c r="K38">
        <f>IF(K36&lt;0,0,K36*Premisas!K13)</f>
        <v>16485132.157827018</v>
      </c>
      <c r="L38">
        <f>IF(L36&lt;0,0,L36*Premisas!L13)</f>
        <v>18735371.826620791</v>
      </c>
      <c r="M38">
        <f>IF(M36&lt;0,0,M36*Premisas!M13)</f>
        <v>0</v>
      </c>
    </row>
    <row r="39" spans="1:13" x14ac:dyDescent="0.3">
      <c r="A39" s="50"/>
    </row>
    <row r="40" spans="1:13" ht="15" thickBot="1" x14ac:dyDescent="0.35">
      <c r="A40" s="55" t="s">
        <v>333</v>
      </c>
      <c r="B40" s="63">
        <f>B36-B38</f>
        <v>-44627019.029351979</v>
      </c>
      <c r="C40" s="63">
        <f t="shared" ref="C40:L40" si="7">C36-C38</f>
        <v>310146259.47277904</v>
      </c>
      <c r="D40" s="63">
        <f t="shared" si="7"/>
        <v>2654124.5013578981</v>
      </c>
      <c r="E40" s="63">
        <f t="shared" si="7"/>
        <v>5838430.3492954783</v>
      </c>
      <c r="F40" s="63">
        <f t="shared" si="7"/>
        <v>9182363.4479508698</v>
      </c>
      <c r="G40" s="63">
        <f t="shared" si="7"/>
        <v>18088097.776661888</v>
      </c>
      <c r="H40" s="63">
        <f t="shared" si="7"/>
        <v>21366069.890974164</v>
      </c>
      <c r="I40" s="63">
        <f t="shared" si="7"/>
        <v>25035695.836776651</v>
      </c>
      <c r="J40" s="63">
        <f t="shared" si="7"/>
        <v>29328587.484917946</v>
      </c>
      <c r="K40" s="63">
        <f t="shared" si="7"/>
        <v>32000550.659311265</v>
      </c>
      <c r="L40" s="63">
        <f t="shared" si="7"/>
        <v>36368662.957558006</v>
      </c>
    </row>
    <row r="49" spans="1:8" ht="15" thickBot="1" x14ac:dyDescent="0.35">
      <c r="A49" s="1" t="s">
        <v>447</v>
      </c>
    </row>
    <row r="50" spans="1:8" ht="15" thickBot="1" x14ac:dyDescent="0.35">
      <c r="A50" s="73" t="s">
        <v>448</v>
      </c>
      <c r="B50" s="24"/>
      <c r="D50" t="s">
        <v>452</v>
      </c>
      <c r="E50" s="75">
        <f>Ingresos!B23</f>
        <v>7600</v>
      </c>
    </row>
    <row r="51" spans="1:8" ht="15" thickBot="1" x14ac:dyDescent="0.35">
      <c r="A51" t="s">
        <v>258</v>
      </c>
      <c r="B51" s="29">
        <f>Egresos!B220</f>
        <v>5931009.1441519978</v>
      </c>
    </row>
    <row r="52" spans="1:8" x14ac:dyDescent="0.3">
      <c r="A52" t="s">
        <v>449</v>
      </c>
      <c r="B52" s="39">
        <f>Egresos!B153+Egresos!B154+Egresos!B152</f>
        <v>11542638.319599999</v>
      </c>
      <c r="D52" t="s">
        <v>453</v>
      </c>
      <c r="E52" s="89">
        <f>B54/(E50-B60)</f>
        <v>26066.884178522654</v>
      </c>
      <c r="G52" t="s">
        <v>456</v>
      </c>
      <c r="H52" s="89">
        <f>B54/((E50-B60)/E50)</f>
        <v>198108319.75677216</v>
      </c>
    </row>
    <row r="53" spans="1:8" ht="15" thickBot="1" x14ac:dyDescent="0.35">
      <c r="A53" t="s">
        <v>329</v>
      </c>
      <c r="B53" s="29">
        <f>Egresos!B219+Egresos!B220</f>
        <v>14092948.333351998</v>
      </c>
      <c r="D53" t="s">
        <v>454</v>
      </c>
      <c r="E53" s="90"/>
      <c r="G53" t="s">
        <v>454</v>
      </c>
      <c r="H53" s="90"/>
    </row>
    <row r="54" spans="1:8" x14ac:dyDescent="0.3">
      <c r="A54" s="1" t="s">
        <v>17</v>
      </c>
      <c r="B54" s="72">
        <f>SUM(B51:B53)</f>
        <v>31566595.797103994</v>
      </c>
    </row>
    <row r="55" spans="1:8" ht="15" thickBot="1" x14ac:dyDescent="0.35"/>
    <row r="56" spans="1:8" ht="15" thickBot="1" x14ac:dyDescent="0.35">
      <c r="D56" t="s">
        <v>455</v>
      </c>
      <c r="E56" s="75">
        <v>500000</v>
      </c>
    </row>
    <row r="57" spans="1:8" ht="15" thickBot="1" x14ac:dyDescent="0.35">
      <c r="A57" s="73" t="s">
        <v>450</v>
      </c>
      <c r="B57" s="24"/>
    </row>
    <row r="58" spans="1:8" x14ac:dyDescent="0.3">
      <c r="A58" t="s">
        <v>451</v>
      </c>
      <c r="B58" s="39">
        <f>Egresos!B176</f>
        <v>6121.03</v>
      </c>
      <c r="D58" t="s">
        <v>457</v>
      </c>
      <c r="E58" s="89">
        <f>(B54+E56)/(E50-B60)</f>
        <v>26479.771338514009</v>
      </c>
      <c r="G58" t="s">
        <v>456</v>
      </c>
      <c r="H58" s="89">
        <f>(B54+E56)/((E50-B60)/E50)</f>
        <v>201246262.17270645</v>
      </c>
    </row>
    <row r="59" spans="1:8" ht="15" thickBot="1" x14ac:dyDescent="0.35">
      <c r="A59" t="s">
        <v>228</v>
      </c>
      <c r="B59" s="29">
        <f>Egresos!B151/Capacidad!E17</f>
        <v>267.98538131999999</v>
      </c>
      <c r="D59" t="s">
        <v>458</v>
      </c>
      <c r="E59" s="90"/>
      <c r="G59" t="s">
        <v>454</v>
      </c>
      <c r="H59" s="90"/>
    </row>
    <row r="60" spans="1:8" x14ac:dyDescent="0.3">
      <c r="A60" s="1" t="s">
        <v>17</v>
      </c>
      <c r="B60" s="74">
        <f>SUM(B58:B59)</f>
        <v>6389.0153813199995</v>
      </c>
    </row>
    <row r="64" spans="1:8" x14ac:dyDescent="0.3">
      <c r="A64" s="24" t="s">
        <v>459</v>
      </c>
      <c r="B64" s="24" t="s">
        <v>77</v>
      </c>
      <c r="C64" s="24" t="s">
        <v>312</v>
      </c>
    </row>
    <row r="65" spans="1:4" x14ac:dyDescent="0.3">
      <c r="A65">
        <v>0</v>
      </c>
      <c r="B65" s="29">
        <f>$B$54+($B$60*A65)</f>
        <v>31566595.797103994</v>
      </c>
      <c r="C65" s="39">
        <f>$E$50*A65</f>
        <v>0</v>
      </c>
      <c r="D65" s="76">
        <f>C65-B65</f>
        <v>-31566595.797103994</v>
      </c>
    </row>
    <row r="66" spans="1:4" x14ac:dyDescent="0.3">
      <c r="A66">
        <v>500</v>
      </c>
      <c r="B66" s="29">
        <f t="shared" ref="B66:B129" si="8">$B$54+($B$60*A66)</f>
        <v>34761103.487763993</v>
      </c>
      <c r="C66" s="39">
        <f t="shared" ref="C66:C129" si="9">$E$50*A66</f>
        <v>3800000</v>
      </c>
      <c r="D66" s="76">
        <f t="shared" ref="D66:D129" si="10">C66-B66</f>
        <v>-30961103.487763993</v>
      </c>
    </row>
    <row r="67" spans="1:4" x14ac:dyDescent="0.3">
      <c r="A67">
        <v>1000</v>
      </c>
      <c r="B67" s="29">
        <f t="shared" si="8"/>
        <v>37955611.178423993</v>
      </c>
      <c r="C67" s="39">
        <f t="shared" si="9"/>
        <v>7600000</v>
      </c>
      <c r="D67" s="76">
        <f t="shared" si="10"/>
        <v>-30355611.178423993</v>
      </c>
    </row>
    <row r="68" spans="1:4" x14ac:dyDescent="0.3">
      <c r="A68">
        <v>1500</v>
      </c>
      <c r="B68" s="29">
        <f t="shared" si="8"/>
        <v>41150118.869083993</v>
      </c>
      <c r="C68" s="39">
        <f t="shared" si="9"/>
        <v>11400000</v>
      </c>
      <c r="D68" s="76">
        <f t="shared" si="10"/>
        <v>-29750118.869083993</v>
      </c>
    </row>
    <row r="69" spans="1:4" x14ac:dyDescent="0.3">
      <c r="A69">
        <v>2000</v>
      </c>
      <c r="B69" s="29">
        <f t="shared" si="8"/>
        <v>44344626.559743993</v>
      </c>
      <c r="C69" s="39">
        <f t="shared" si="9"/>
        <v>15200000</v>
      </c>
      <c r="D69" s="76">
        <f t="shared" si="10"/>
        <v>-29144626.559743993</v>
      </c>
    </row>
    <row r="70" spans="1:4" x14ac:dyDescent="0.3">
      <c r="A70">
        <v>2500</v>
      </c>
      <c r="B70" s="29">
        <f t="shared" si="8"/>
        <v>47539134.250403993</v>
      </c>
      <c r="C70" s="39">
        <f t="shared" si="9"/>
        <v>19000000</v>
      </c>
      <c r="D70" s="76">
        <f t="shared" si="10"/>
        <v>-28539134.250403993</v>
      </c>
    </row>
    <row r="71" spans="1:4" x14ac:dyDescent="0.3">
      <c r="A71">
        <v>3000</v>
      </c>
      <c r="B71" s="29">
        <f t="shared" si="8"/>
        <v>50733641.941063993</v>
      </c>
      <c r="C71" s="39">
        <f t="shared" si="9"/>
        <v>22800000</v>
      </c>
      <c r="D71" s="76">
        <f t="shared" si="10"/>
        <v>-27933641.941063993</v>
      </c>
    </row>
    <row r="72" spans="1:4" x14ac:dyDescent="0.3">
      <c r="A72">
        <v>3500</v>
      </c>
      <c r="B72" s="29">
        <f t="shared" si="8"/>
        <v>53928149.631723993</v>
      </c>
      <c r="C72" s="39">
        <f t="shared" si="9"/>
        <v>26600000</v>
      </c>
      <c r="D72" s="76">
        <f t="shared" si="10"/>
        <v>-27328149.631723993</v>
      </c>
    </row>
    <row r="73" spans="1:4" x14ac:dyDescent="0.3">
      <c r="A73">
        <v>4000</v>
      </c>
      <c r="B73" s="29">
        <f t="shared" si="8"/>
        <v>57122657.322383992</v>
      </c>
      <c r="C73" s="39">
        <f t="shared" si="9"/>
        <v>30400000</v>
      </c>
      <c r="D73" s="76">
        <f t="shared" si="10"/>
        <v>-26722657.322383992</v>
      </c>
    </row>
    <row r="74" spans="1:4" x14ac:dyDescent="0.3">
      <c r="A74">
        <v>4500</v>
      </c>
      <c r="B74" s="29">
        <f t="shared" si="8"/>
        <v>60317165.013043992</v>
      </c>
      <c r="C74" s="39">
        <f t="shared" si="9"/>
        <v>34200000</v>
      </c>
      <c r="D74" s="76">
        <f t="shared" si="10"/>
        <v>-26117165.013043992</v>
      </c>
    </row>
    <row r="75" spans="1:4" x14ac:dyDescent="0.3">
      <c r="A75">
        <v>5000</v>
      </c>
      <c r="B75" s="29">
        <f t="shared" si="8"/>
        <v>63511672.703703992</v>
      </c>
      <c r="C75" s="39">
        <f t="shared" si="9"/>
        <v>38000000</v>
      </c>
      <c r="D75" s="76">
        <f t="shared" si="10"/>
        <v>-25511672.703703992</v>
      </c>
    </row>
    <row r="76" spans="1:4" x14ac:dyDescent="0.3">
      <c r="A76">
        <v>5500</v>
      </c>
      <c r="B76" s="29">
        <f t="shared" si="8"/>
        <v>66706180.394363992</v>
      </c>
      <c r="C76" s="39">
        <f t="shared" si="9"/>
        <v>41800000</v>
      </c>
      <c r="D76" s="76">
        <f t="shared" si="10"/>
        <v>-24906180.394363992</v>
      </c>
    </row>
    <row r="77" spans="1:4" x14ac:dyDescent="0.3">
      <c r="A77">
        <v>6000</v>
      </c>
      <c r="B77" s="29">
        <f t="shared" si="8"/>
        <v>69900688.085023999</v>
      </c>
      <c r="C77" s="39">
        <f t="shared" si="9"/>
        <v>45600000</v>
      </c>
      <c r="D77" s="76">
        <f t="shared" si="10"/>
        <v>-24300688.085023999</v>
      </c>
    </row>
    <row r="78" spans="1:4" x14ac:dyDescent="0.3">
      <c r="A78">
        <v>6500</v>
      </c>
      <c r="B78" s="29">
        <f t="shared" si="8"/>
        <v>73095195.775683999</v>
      </c>
      <c r="C78" s="39">
        <f t="shared" si="9"/>
        <v>49400000</v>
      </c>
      <c r="D78" s="76">
        <f t="shared" si="10"/>
        <v>-23695195.775683999</v>
      </c>
    </row>
    <row r="79" spans="1:4" x14ac:dyDescent="0.3">
      <c r="A79">
        <v>7000</v>
      </c>
      <c r="B79" s="29">
        <f t="shared" si="8"/>
        <v>76289703.466343999</v>
      </c>
      <c r="C79" s="39">
        <f t="shared" si="9"/>
        <v>53200000</v>
      </c>
      <c r="D79" s="76">
        <f t="shared" si="10"/>
        <v>-23089703.466343999</v>
      </c>
    </row>
    <row r="80" spans="1:4" x14ac:dyDescent="0.3">
      <c r="A80">
        <v>7500</v>
      </c>
      <c r="B80" s="29">
        <f t="shared" si="8"/>
        <v>79484211.157003999</v>
      </c>
      <c r="C80" s="39">
        <f t="shared" si="9"/>
        <v>57000000</v>
      </c>
      <c r="D80" s="76">
        <f t="shared" si="10"/>
        <v>-22484211.157003999</v>
      </c>
    </row>
    <row r="81" spans="1:4" x14ac:dyDescent="0.3">
      <c r="A81">
        <v>8000</v>
      </c>
      <c r="B81" s="29">
        <f t="shared" si="8"/>
        <v>82678718.847663999</v>
      </c>
      <c r="C81" s="39">
        <f t="shared" si="9"/>
        <v>60800000</v>
      </c>
      <c r="D81" s="76">
        <f t="shared" si="10"/>
        <v>-21878718.847663999</v>
      </c>
    </row>
    <row r="82" spans="1:4" x14ac:dyDescent="0.3">
      <c r="A82">
        <v>8500</v>
      </c>
      <c r="B82" s="29">
        <f t="shared" si="8"/>
        <v>85873226.538323998</v>
      </c>
      <c r="C82" s="39">
        <f t="shared" si="9"/>
        <v>64600000</v>
      </c>
      <c r="D82" s="76">
        <f t="shared" si="10"/>
        <v>-21273226.538323998</v>
      </c>
    </row>
    <row r="83" spans="1:4" x14ac:dyDescent="0.3">
      <c r="A83">
        <v>9000</v>
      </c>
      <c r="B83" s="29">
        <f t="shared" si="8"/>
        <v>89067734.228983998</v>
      </c>
      <c r="C83" s="39">
        <f t="shared" si="9"/>
        <v>68400000</v>
      </c>
      <c r="D83" s="76">
        <f t="shared" si="10"/>
        <v>-20667734.228983998</v>
      </c>
    </row>
    <row r="84" spans="1:4" x14ac:dyDescent="0.3">
      <c r="A84">
        <v>9500</v>
      </c>
      <c r="B84" s="29">
        <f t="shared" si="8"/>
        <v>92262241.919643998</v>
      </c>
      <c r="C84" s="39">
        <f t="shared" si="9"/>
        <v>72200000</v>
      </c>
      <c r="D84" s="76">
        <f t="shared" si="10"/>
        <v>-20062241.919643998</v>
      </c>
    </row>
    <row r="85" spans="1:4" x14ac:dyDescent="0.3">
      <c r="A85">
        <v>10000</v>
      </c>
      <c r="B85" s="29">
        <f t="shared" si="8"/>
        <v>95456749.610303998</v>
      </c>
      <c r="C85" s="39">
        <f t="shared" si="9"/>
        <v>76000000</v>
      </c>
      <c r="D85" s="76">
        <f t="shared" si="10"/>
        <v>-19456749.610303998</v>
      </c>
    </row>
    <row r="86" spans="1:4" x14ac:dyDescent="0.3">
      <c r="A86">
        <v>10500</v>
      </c>
      <c r="B86" s="29">
        <f t="shared" si="8"/>
        <v>98651257.300963998</v>
      </c>
      <c r="C86" s="39">
        <f t="shared" si="9"/>
        <v>79800000</v>
      </c>
      <c r="D86" s="76">
        <f t="shared" si="10"/>
        <v>-18851257.300963998</v>
      </c>
    </row>
    <row r="87" spans="1:4" x14ac:dyDescent="0.3">
      <c r="A87">
        <v>11000</v>
      </c>
      <c r="B87" s="29">
        <f t="shared" si="8"/>
        <v>101845764.991624</v>
      </c>
      <c r="C87" s="39">
        <f t="shared" si="9"/>
        <v>83600000</v>
      </c>
      <c r="D87" s="76">
        <f t="shared" si="10"/>
        <v>-18245764.991623998</v>
      </c>
    </row>
    <row r="88" spans="1:4" x14ac:dyDescent="0.3">
      <c r="A88">
        <v>11500</v>
      </c>
      <c r="B88" s="29">
        <f t="shared" si="8"/>
        <v>105040272.682284</v>
      </c>
      <c r="C88" s="39">
        <f t="shared" si="9"/>
        <v>87400000</v>
      </c>
      <c r="D88" s="76">
        <f t="shared" si="10"/>
        <v>-17640272.682283998</v>
      </c>
    </row>
    <row r="89" spans="1:4" x14ac:dyDescent="0.3">
      <c r="A89">
        <v>12000</v>
      </c>
      <c r="B89" s="29">
        <f t="shared" si="8"/>
        <v>108234780.372944</v>
      </c>
      <c r="C89" s="39">
        <f t="shared" si="9"/>
        <v>91200000</v>
      </c>
      <c r="D89" s="76">
        <f t="shared" si="10"/>
        <v>-17034780.372943997</v>
      </c>
    </row>
    <row r="90" spans="1:4" x14ac:dyDescent="0.3">
      <c r="A90">
        <v>12500</v>
      </c>
      <c r="B90" s="29">
        <f t="shared" si="8"/>
        <v>111429288.063604</v>
      </c>
      <c r="C90" s="39">
        <f t="shared" si="9"/>
        <v>95000000</v>
      </c>
      <c r="D90" s="76">
        <f t="shared" si="10"/>
        <v>-16429288.063603997</v>
      </c>
    </row>
    <row r="91" spans="1:4" x14ac:dyDescent="0.3">
      <c r="A91">
        <v>13000</v>
      </c>
      <c r="B91" s="29">
        <f t="shared" si="8"/>
        <v>114623795.754264</v>
      </c>
      <c r="C91" s="39">
        <f t="shared" si="9"/>
        <v>98800000</v>
      </c>
      <c r="D91" s="76">
        <f t="shared" si="10"/>
        <v>-15823795.754263997</v>
      </c>
    </row>
    <row r="92" spans="1:4" x14ac:dyDescent="0.3">
      <c r="A92">
        <v>13500</v>
      </c>
      <c r="B92" s="29">
        <f t="shared" si="8"/>
        <v>117818303.444924</v>
      </c>
      <c r="C92" s="39">
        <f t="shared" si="9"/>
        <v>102600000</v>
      </c>
      <c r="D92" s="76">
        <f t="shared" si="10"/>
        <v>-15218303.444923997</v>
      </c>
    </row>
    <row r="93" spans="1:4" x14ac:dyDescent="0.3">
      <c r="A93">
        <v>14000</v>
      </c>
      <c r="B93" s="29">
        <f t="shared" si="8"/>
        <v>121012811.135584</v>
      </c>
      <c r="C93" s="39">
        <f t="shared" si="9"/>
        <v>106400000</v>
      </c>
      <c r="D93" s="76">
        <f t="shared" si="10"/>
        <v>-14612811.135583997</v>
      </c>
    </row>
    <row r="94" spans="1:4" x14ac:dyDescent="0.3">
      <c r="A94">
        <v>14500</v>
      </c>
      <c r="B94" s="29">
        <f t="shared" si="8"/>
        <v>124207318.826244</v>
      </c>
      <c r="C94" s="39">
        <f t="shared" si="9"/>
        <v>110200000</v>
      </c>
      <c r="D94" s="76">
        <f t="shared" si="10"/>
        <v>-14007318.826243997</v>
      </c>
    </row>
    <row r="95" spans="1:4" x14ac:dyDescent="0.3">
      <c r="A95">
        <v>15000</v>
      </c>
      <c r="B95" s="29">
        <f t="shared" si="8"/>
        <v>127401826.516904</v>
      </c>
      <c r="C95" s="39">
        <f t="shared" si="9"/>
        <v>114000000</v>
      </c>
      <c r="D95" s="76">
        <f t="shared" si="10"/>
        <v>-13401826.516903996</v>
      </c>
    </row>
    <row r="96" spans="1:4" x14ac:dyDescent="0.3">
      <c r="A96">
        <v>15500</v>
      </c>
      <c r="B96" s="29">
        <f t="shared" si="8"/>
        <v>130596334.207564</v>
      </c>
      <c r="C96" s="39">
        <f t="shared" si="9"/>
        <v>117800000</v>
      </c>
      <c r="D96" s="76">
        <f t="shared" si="10"/>
        <v>-12796334.207563996</v>
      </c>
    </row>
    <row r="97" spans="1:4" x14ac:dyDescent="0.3">
      <c r="A97">
        <v>16000</v>
      </c>
      <c r="B97" s="29">
        <f t="shared" si="8"/>
        <v>133790841.898224</v>
      </c>
      <c r="C97" s="39">
        <f t="shared" si="9"/>
        <v>121600000</v>
      </c>
      <c r="D97" s="76">
        <f t="shared" si="10"/>
        <v>-12190841.898223996</v>
      </c>
    </row>
    <row r="98" spans="1:4" x14ac:dyDescent="0.3">
      <c r="A98">
        <v>16500</v>
      </c>
      <c r="B98" s="29">
        <f t="shared" si="8"/>
        <v>136985349.588884</v>
      </c>
      <c r="C98" s="39">
        <f t="shared" si="9"/>
        <v>125400000</v>
      </c>
      <c r="D98" s="76">
        <f t="shared" si="10"/>
        <v>-11585349.588883996</v>
      </c>
    </row>
    <row r="99" spans="1:4" x14ac:dyDescent="0.3">
      <c r="A99">
        <v>17000</v>
      </c>
      <c r="B99" s="29">
        <f t="shared" si="8"/>
        <v>140179857.279544</v>
      </c>
      <c r="C99" s="39">
        <f t="shared" si="9"/>
        <v>129200000</v>
      </c>
      <c r="D99" s="76">
        <f t="shared" si="10"/>
        <v>-10979857.279543996</v>
      </c>
    </row>
    <row r="100" spans="1:4" x14ac:dyDescent="0.3">
      <c r="A100">
        <v>17500</v>
      </c>
      <c r="B100" s="29">
        <f t="shared" si="8"/>
        <v>143374364.970204</v>
      </c>
      <c r="C100" s="39">
        <f t="shared" si="9"/>
        <v>133000000</v>
      </c>
      <c r="D100" s="76">
        <f t="shared" si="10"/>
        <v>-10374364.970203996</v>
      </c>
    </row>
    <row r="101" spans="1:4" x14ac:dyDescent="0.3">
      <c r="A101">
        <v>18000</v>
      </c>
      <c r="B101" s="29">
        <f t="shared" si="8"/>
        <v>146568872.660864</v>
      </c>
      <c r="C101" s="39">
        <f t="shared" si="9"/>
        <v>136800000</v>
      </c>
      <c r="D101" s="76">
        <f t="shared" si="10"/>
        <v>-9768872.6608639956</v>
      </c>
    </row>
    <row r="102" spans="1:4" x14ac:dyDescent="0.3">
      <c r="A102">
        <v>18500</v>
      </c>
      <c r="B102" s="29">
        <f t="shared" si="8"/>
        <v>149763380.351524</v>
      </c>
      <c r="C102" s="39">
        <f t="shared" si="9"/>
        <v>140600000</v>
      </c>
      <c r="D102" s="76">
        <f t="shared" si="10"/>
        <v>-9163380.3515239954</v>
      </c>
    </row>
    <row r="103" spans="1:4" x14ac:dyDescent="0.3">
      <c r="A103">
        <v>19000</v>
      </c>
      <c r="B103" s="29">
        <f t="shared" si="8"/>
        <v>152957888.042184</v>
      </c>
      <c r="C103" s="39">
        <f t="shared" si="9"/>
        <v>144400000</v>
      </c>
      <c r="D103" s="76">
        <f t="shared" si="10"/>
        <v>-8557888.0421839952</v>
      </c>
    </row>
    <row r="104" spans="1:4" x14ac:dyDescent="0.3">
      <c r="A104">
        <v>19500</v>
      </c>
      <c r="B104" s="29">
        <f t="shared" si="8"/>
        <v>156152395.732844</v>
      </c>
      <c r="C104" s="39">
        <f t="shared" si="9"/>
        <v>148200000</v>
      </c>
      <c r="D104" s="76">
        <f t="shared" si="10"/>
        <v>-7952395.7328439951</v>
      </c>
    </row>
    <row r="105" spans="1:4" x14ac:dyDescent="0.3">
      <c r="A105">
        <v>20000</v>
      </c>
      <c r="B105" s="29">
        <f t="shared" si="8"/>
        <v>159346903.42350399</v>
      </c>
      <c r="C105" s="39">
        <f t="shared" si="9"/>
        <v>152000000</v>
      </c>
      <c r="D105" s="76">
        <f t="shared" si="10"/>
        <v>-7346903.4235039949</v>
      </c>
    </row>
    <row r="106" spans="1:4" x14ac:dyDescent="0.3">
      <c r="A106">
        <v>20500</v>
      </c>
      <c r="B106" s="29">
        <f t="shared" si="8"/>
        <v>162541411.11416399</v>
      </c>
      <c r="C106" s="39">
        <f t="shared" si="9"/>
        <v>155800000</v>
      </c>
      <c r="D106" s="76">
        <f t="shared" si="10"/>
        <v>-6741411.1141639948</v>
      </c>
    </row>
    <row r="107" spans="1:4" x14ac:dyDescent="0.3">
      <c r="A107">
        <v>21000</v>
      </c>
      <c r="B107" s="29">
        <f t="shared" si="8"/>
        <v>165735918.80482399</v>
      </c>
      <c r="C107" s="39">
        <f t="shared" si="9"/>
        <v>159600000</v>
      </c>
      <c r="D107" s="76">
        <f t="shared" si="10"/>
        <v>-6135918.8048239946</v>
      </c>
    </row>
    <row r="108" spans="1:4" x14ac:dyDescent="0.3">
      <c r="A108">
        <v>21500</v>
      </c>
      <c r="B108" s="29">
        <f t="shared" si="8"/>
        <v>168930426.49548399</v>
      </c>
      <c r="C108" s="39">
        <f t="shared" si="9"/>
        <v>163400000</v>
      </c>
      <c r="D108" s="76">
        <f t="shared" si="10"/>
        <v>-5530426.4954839945</v>
      </c>
    </row>
    <row r="109" spans="1:4" x14ac:dyDescent="0.3">
      <c r="A109">
        <v>22000</v>
      </c>
      <c r="B109" s="29">
        <f t="shared" si="8"/>
        <v>172124934.18614399</v>
      </c>
      <c r="C109" s="39">
        <f t="shared" si="9"/>
        <v>167200000</v>
      </c>
      <c r="D109" s="76">
        <f t="shared" si="10"/>
        <v>-4924934.1861439943</v>
      </c>
    </row>
    <row r="110" spans="1:4" x14ac:dyDescent="0.3">
      <c r="A110">
        <v>22500</v>
      </c>
      <c r="B110" s="29">
        <f t="shared" si="8"/>
        <v>175319441.87680399</v>
      </c>
      <c r="C110" s="39">
        <f t="shared" si="9"/>
        <v>171000000</v>
      </c>
      <c r="D110" s="76">
        <f t="shared" si="10"/>
        <v>-4319441.8768039942</v>
      </c>
    </row>
    <row r="111" spans="1:4" x14ac:dyDescent="0.3">
      <c r="A111">
        <v>23000</v>
      </c>
      <c r="B111" s="29">
        <f t="shared" si="8"/>
        <v>178513949.56746399</v>
      </c>
      <c r="C111" s="39">
        <f t="shared" si="9"/>
        <v>174800000</v>
      </c>
      <c r="D111" s="76">
        <f t="shared" si="10"/>
        <v>-3713949.567463994</v>
      </c>
    </row>
    <row r="112" spans="1:4" x14ac:dyDescent="0.3">
      <c r="A112">
        <v>23500</v>
      </c>
      <c r="B112" s="29">
        <f t="shared" si="8"/>
        <v>181708457.25812399</v>
      </c>
      <c r="C112" s="39">
        <f t="shared" si="9"/>
        <v>178600000</v>
      </c>
      <c r="D112" s="76">
        <f t="shared" si="10"/>
        <v>-3108457.2581239939</v>
      </c>
    </row>
    <row r="113" spans="1:4" x14ac:dyDescent="0.3">
      <c r="A113">
        <v>24000</v>
      </c>
      <c r="B113" s="29">
        <f t="shared" si="8"/>
        <v>184902964.94878399</v>
      </c>
      <c r="C113" s="39">
        <f t="shared" si="9"/>
        <v>182400000</v>
      </c>
      <c r="D113" s="76">
        <f t="shared" si="10"/>
        <v>-2502964.9487839937</v>
      </c>
    </row>
    <row r="114" spans="1:4" x14ac:dyDescent="0.3">
      <c r="A114">
        <v>24500</v>
      </c>
      <c r="B114" s="29">
        <f t="shared" si="8"/>
        <v>188097472.63944399</v>
      </c>
      <c r="C114" s="39">
        <f t="shared" si="9"/>
        <v>186200000</v>
      </c>
      <c r="D114" s="76">
        <f t="shared" si="10"/>
        <v>-1897472.6394439936</v>
      </c>
    </row>
    <row r="115" spans="1:4" x14ac:dyDescent="0.3">
      <c r="A115">
        <v>25000</v>
      </c>
      <c r="B115" s="29">
        <f t="shared" si="8"/>
        <v>191291980.33010399</v>
      </c>
      <c r="C115" s="39">
        <f t="shared" si="9"/>
        <v>190000000</v>
      </c>
      <c r="D115" s="76">
        <f t="shared" si="10"/>
        <v>-1291980.3301039934</v>
      </c>
    </row>
    <row r="116" spans="1:4" x14ac:dyDescent="0.3">
      <c r="A116">
        <v>25500</v>
      </c>
      <c r="B116" s="29">
        <f t="shared" si="8"/>
        <v>194486488.02076399</v>
      </c>
      <c r="C116" s="39">
        <f t="shared" si="9"/>
        <v>193800000</v>
      </c>
      <c r="D116" s="76">
        <f t="shared" si="10"/>
        <v>-686488.02076399326</v>
      </c>
    </row>
    <row r="117" spans="1:4" x14ac:dyDescent="0.3">
      <c r="A117">
        <v>26000</v>
      </c>
      <c r="B117" s="29">
        <f t="shared" si="8"/>
        <v>197680995.71142399</v>
      </c>
      <c r="C117" s="39">
        <f t="shared" si="9"/>
        <v>197600000</v>
      </c>
      <c r="D117" s="76">
        <f t="shared" si="10"/>
        <v>-80995.711423993111</v>
      </c>
    </row>
    <row r="118" spans="1:4" x14ac:dyDescent="0.3">
      <c r="A118">
        <v>26500</v>
      </c>
      <c r="B118" s="29">
        <f t="shared" si="8"/>
        <v>200875503.40208399</v>
      </c>
      <c r="C118" s="39">
        <f t="shared" si="9"/>
        <v>201400000</v>
      </c>
      <c r="D118" s="76">
        <f t="shared" si="10"/>
        <v>524496.59791600704</v>
      </c>
    </row>
    <row r="119" spans="1:4" x14ac:dyDescent="0.3">
      <c r="A119">
        <v>27000</v>
      </c>
      <c r="B119" s="29">
        <f t="shared" si="8"/>
        <v>204070011.09274399</v>
      </c>
      <c r="C119" s="39">
        <f t="shared" si="9"/>
        <v>205200000</v>
      </c>
      <c r="D119" s="76">
        <f t="shared" si="10"/>
        <v>1129988.9072560072</v>
      </c>
    </row>
    <row r="120" spans="1:4" x14ac:dyDescent="0.3">
      <c r="A120">
        <v>27500</v>
      </c>
      <c r="B120" s="29">
        <f t="shared" si="8"/>
        <v>207264518.78340399</v>
      </c>
      <c r="C120" s="39">
        <f t="shared" si="9"/>
        <v>209000000</v>
      </c>
      <c r="D120" s="76">
        <f t="shared" si="10"/>
        <v>1735481.2165960073</v>
      </c>
    </row>
    <row r="121" spans="1:4" x14ac:dyDescent="0.3">
      <c r="A121">
        <v>28000</v>
      </c>
      <c r="B121" s="29">
        <f t="shared" si="8"/>
        <v>210459026.47406399</v>
      </c>
      <c r="C121" s="39">
        <f t="shared" si="9"/>
        <v>212800000</v>
      </c>
      <c r="D121" s="76">
        <f t="shared" si="10"/>
        <v>2340973.5259360075</v>
      </c>
    </row>
    <row r="122" spans="1:4" x14ac:dyDescent="0.3">
      <c r="A122">
        <v>28500</v>
      </c>
      <c r="B122" s="29">
        <f t="shared" si="8"/>
        <v>213653534.16472399</v>
      </c>
      <c r="C122" s="39">
        <f t="shared" si="9"/>
        <v>216600000</v>
      </c>
      <c r="D122" s="76">
        <f t="shared" si="10"/>
        <v>2946465.8352760077</v>
      </c>
    </row>
    <row r="123" spans="1:4" x14ac:dyDescent="0.3">
      <c r="A123">
        <v>29000</v>
      </c>
      <c r="B123" s="29">
        <f t="shared" si="8"/>
        <v>216848041.85538399</v>
      </c>
      <c r="C123" s="39">
        <f t="shared" si="9"/>
        <v>220400000</v>
      </c>
      <c r="D123" s="76">
        <f t="shared" si="10"/>
        <v>3551958.1446160078</v>
      </c>
    </row>
    <row r="124" spans="1:4" x14ac:dyDescent="0.3">
      <c r="A124">
        <v>29500</v>
      </c>
      <c r="B124" s="29">
        <f t="shared" si="8"/>
        <v>220042549.54604399</v>
      </c>
      <c r="C124" s="39">
        <f t="shared" si="9"/>
        <v>224200000</v>
      </c>
      <c r="D124" s="76">
        <f t="shared" si="10"/>
        <v>4157450.453956008</v>
      </c>
    </row>
    <row r="125" spans="1:4" x14ac:dyDescent="0.3">
      <c r="A125">
        <v>30000</v>
      </c>
      <c r="B125" s="29">
        <f t="shared" si="8"/>
        <v>223237057.23670399</v>
      </c>
      <c r="C125" s="39">
        <f t="shared" si="9"/>
        <v>228000000</v>
      </c>
      <c r="D125" s="76">
        <f t="shared" si="10"/>
        <v>4762942.7632960081</v>
      </c>
    </row>
    <row r="126" spans="1:4" x14ac:dyDescent="0.3">
      <c r="A126">
        <v>30500</v>
      </c>
      <c r="B126" s="29">
        <f t="shared" si="8"/>
        <v>226431564.92736399</v>
      </c>
      <c r="C126" s="39">
        <f t="shared" si="9"/>
        <v>231800000</v>
      </c>
      <c r="D126" s="76">
        <f t="shared" si="10"/>
        <v>5368435.0726360083</v>
      </c>
    </row>
    <row r="127" spans="1:4" x14ac:dyDescent="0.3">
      <c r="A127">
        <v>31000</v>
      </c>
      <c r="B127" s="29">
        <f t="shared" si="8"/>
        <v>229626072.61802399</v>
      </c>
      <c r="C127" s="39">
        <f t="shared" si="9"/>
        <v>235600000</v>
      </c>
      <c r="D127" s="76">
        <f t="shared" si="10"/>
        <v>5973927.3819760084</v>
      </c>
    </row>
    <row r="128" spans="1:4" x14ac:dyDescent="0.3">
      <c r="A128">
        <v>31500</v>
      </c>
      <c r="B128" s="29">
        <f t="shared" si="8"/>
        <v>232820580.30868399</v>
      </c>
      <c r="C128" s="39">
        <f t="shared" si="9"/>
        <v>239400000</v>
      </c>
      <c r="D128" s="76">
        <f t="shared" si="10"/>
        <v>6579419.6913160086</v>
      </c>
    </row>
    <row r="129" spans="1:4" x14ac:dyDescent="0.3">
      <c r="A129">
        <v>32000</v>
      </c>
      <c r="B129" s="29">
        <f t="shared" si="8"/>
        <v>236015087.99934399</v>
      </c>
      <c r="C129" s="39">
        <f t="shared" si="9"/>
        <v>243200000</v>
      </c>
      <c r="D129" s="76">
        <f t="shared" si="10"/>
        <v>7184912.0006560087</v>
      </c>
    </row>
    <row r="130" spans="1:4" x14ac:dyDescent="0.3">
      <c r="A130">
        <v>32500</v>
      </c>
      <c r="B130" s="29">
        <f t="shared" ref="B130:B193" si="11">$B$54+($B$60*A130)</f>
        <v>239209595.69000399</v>
      </c>
      <c r="C130" s="39">
        <f t="shared" ref="C130:C193" si="12">$E$50*A130</f>
        <v>247000000</v>
      </c>
      <c r="D130" s="76">
        <f t="shared" ref="D130:D193" si="13">C130-B130</f>
        <v>7790404.3099960089</v>
      </c>
    </row>
    <row r="131" spans="1:4" x14ac:dyDescent="0.3">
      <c r="A131">
        <v>33000</v>
      </c>
      <c r="B131" s="29">
        <f t="shared" si="11"/>
        <v>242404103.38066399</v>
      </c>
      <c r="C131" s="39">
        <f t="shared" si="12"/>
        <v>250800000</v>
      </c>
      <c r="D131" s="76">
        <f t="shared" si="13"/>
        <v>8395896.619336009</v>
      </c>
    </row>
    <row r="132" spans="1:4" x14ac:dyDescent="0.3">
      <c r="A132">
        <v>33500</v>
      </c>
      <c r="B132" s="29">
        <f t="shared" si="11"/>
        <v>245598611.07132399</v>
      </c>
      <c r="C132" s="39">
        <f t="shared" si="12"/>
        <v>254600000</v>
      </c>
      <c r="D132" s="76">
        <f t="shared" si="13"/>
        <v>9001388.9286760092</v>
      </c>
    </row>
    <row r="133" spans="1:4" x14ac:dyDescent="0.3">
      <c r="A133">
        <v>34000</v>
      </c>
      <c r="B133" s="29">
        <f t="shared" si="11"/>
        <v>248793118.76198399</v>
      </c>
      <c r="C133" s="39">
        <f t="shared" si="12"/>
        <v>258400000</v>
      </c>
      <c r="D133" s="76">
        <f t="shared" si="13"/>
        <v>9606881.2380160093</v>
      </c>
    </row>
    <row r="134" spans="1:4" x14ac:dyDescent="0.3">
      <c r="A134">
        <v>34500</v>
      </c>
      <c r="B134" s="29">
        <f t="shared" si="11"/>
        <v>251987626.45264399</v>
      </c>
      <c r="C134" s="39">
        <f t="shared" si="12"/>
        <v>262200000</v>
      </c>
      <c r="D134" s="76">
        <f t="shared" si="13"/>
        <v>10212373.547356009</v>
      </c>
    </row>
    <row r="135" spans="1:4" x14ac:dyDescent="0.3">
      <c r="A135">
        <v>35000</v>
      </c>
      <c r="B135" s="29">
        <f t="shared" si="11"/>
        <v>255182134.14330399</v>
      </c>
      <c r="C135" s="39">
        <f t="shared" si="12"/>
        <v>266000000</v>
      </c>
      <c r="D135" s="76">
        <f t="shared" si="13"/>
        <v>10817865.85669601</v>
      </c>
    </row>
    <row r="136" spans="1:4" x14ac:dyDescent="0.3">
      <c r="A136">
        <v>35500</v>
      </c>
      <c r="B136" s="29">
        <f t="shared" si="11"/>
        <v>258376641.83396399</v>
      </c>
      <c r="C136" s="39">
        <f t="shared" si="12"/>
        <v>269800000</v>
      </c>
      <c r="D136" s="76">
        <f t="shared" si="13"/>
        <v>11423358.16603601</v>
      </c>
    </row>
    <row r="137" spans="1:4" x14ac:dyDescent="0.3">
      <c r="A137">
        <v>36000</v>
      </c>
      <c r="B137" s="29">
        <f t="shared" si="11"/>
        <v>261571149.52462399</v>
      </c>
      <c r="C137" s="39">
        <f t="shared" si="12"/>
        <v>273600000</v>
      </c>
      <c r="D137" s="76">
        <f t="shared" si="13"/>
        <v>12028850.47537601</v>
      </c>
    </row>
    <row r="138" spans="1:4" x14ac:dyDescent="0.3">
      <c r="A138">
        <v>36500</v>
      </c>
      <c r="B138" s="29">
        <f t="shared" si="11"/>
        <v>264765657.21528399</v>
      </c>
      <c r="C138" s="39">
        <f t="shared" si="12"/>
        <v>277400000</v>
      </c>
      <c r="D138" s="76">
        <f t="shared" si="13"/>
        <v>12634342.78471601</v>
      </c>
    </row>
    <row r="139" spans="1:4" x14ac:dyDescent="0.3">
      <c r="A139">
        <v>37000</v>
      </c>
      <c r="B139" s="29">
        <f t="shared" si="11"/>
        <v>267960164.90594399</v>
      </c>
      <c r="C139" s="39">
        <f t="shared" si="12"/>
        <v>281200000</v>
      </c>
      <c r="D139" s="76">
        <f t="shared" si="13"/>
        <v>13239835.09405601</v>
      </c>
    </row>
    <row r="140" spans="1:4" x14ac:dyDescent="0.3">
      <c r="A140">
        <v>37500</v>
      </c>
      <c r="B140" s="29">
        <f t="shared" si="11"/>
        <v>271154672.59660399</v>
      </c>
      <c r="C140" s="39">
        <f t="shared" si="12"/>
        <v>285000000</v>
      </c>
      <c r="D140" s="76">
        <f t="shared" si="13"/>
        <v>13845327.40339601</v>
      </c>
    </row>
    <row r="141" spans="1:4" x14ac:dyDescent="0.3">
      <c r="A141">
        <v>38000</v>
      </c>
      <c r="B141" s="29">
        <f t="shared" si="11"/>
        <v>274349180.28726399</v>
      </c>
      <c r="C141" s="39">
        <f t="shared" si="12"/>
        <v>288800000</v>
      </c>
      <c r="D141" s="76">
        <f t="shared" si="13"/>
        <v>14450819.712736011</v>
      </c>
    </row>
    <row r="142" spans="1:4" x14ac:dyDescent="0.3">
      <c r="A142">
        <v>38500</v>
      </c>
      <c r="B142" s="29">
        <f t="shared" si="11"/>
        <v>277543687.97792399</v>
      </c>
      <c r="C142" s="39">
        <f t="shared" si="12"/>
        <v>292600000</v>
      </c>
      <c r="D142" s="76">
        <f t="shared" si="13"/>
        <v>15056312.022076011</v>
      </c>
    </row>
    <row r="143" spans="1:4" x14ac:dyDescent="0.3">
      <c r="A143">
        <v>39000</v>
      </c>
      <c r="B143" s="29">
        <f t="shared" si="11"/>
        <v>280738195.66858399</v>
      </c>
      <c r="C143" s="39">
        <f t="shared" si="12"/>
        <v>296400000</v>
      </c>
      <c r="D143" s="76">
        <f t="shared" si="13"/>
        <v>15661804.331416011</v>
      </c>
    </row>
    <row r="144" spans="1:4" x14ac:dyDescent="0.3">
      <c r="A144">
        <v>39500</v>
      </c>
      <c r="B144" s="29">
        <f t="shared" si="11"/>
        <v>283932703.35924399</v>
      </c>
      <c r="C144" s="39">
        <f t="shared" si="12"/>
        <v>300200000</v>
      </c>
      <c r="D144" s="76">
        <f t="shared" si="13"/>
        <v>16267296.640756011</v>
      </c>
    </row>
    <row r="145" spans="1:4" x14ac:dyDescent="0.3">
      <c r="A145">
        <v>40000</v>
      </c>
      <c r="B145" s="29">
        <f t="shared" si="11"/>
        <v>287127211.04990399</v>
      </c>
      <c r="C145" s="39">
        <f t="shared" si="12"/>
        <v>304000000</v>
      </c>
      <c r="D145" s="76">
        <f t="shared" si="13"/>
        <v>16872788.950096011</v>
      </c>
    </row>
    <row r="146" spans="1:4" x14ac:dyDescent="0.3">
      <c r="A146">
        <v>40500</v>
      </c>
      <c r="B146" s="29">
        <f t="shared" si="11"/>
        <v>290321718.74056399</v>
      </c>
      <c r="C146" s="39">
        <f t="shared" si="12"/>
        <v>307800000</v>
      </c>
      <c r="D146" s="76">
        <f t="shared" si="13"/>
        <v>17478281.259436011</v>
      </c>
    </row>
    <row r="147" spans="1:4" x14ac:dyDescent="0.3">
      <c r="A147">
        <v>41000</v>
      </c>
      <c r="B147" s="29">
        <f t="shared" si="11"/>
        <v>293516226.43122399</v>
      </c>
      <c r="C147" s="39">
        <f t="shared" si="12"/>
        <v>311600000</v>
      </c>
      <c r="D147" s="76">
        <f t="shared" si="13"/>
        <v>18083773.568776011</v>
      </c>
    </row>
    <row r="148" spans="1:4" x14ac:dyDescent="0.3">
      <c r="A148">
        <v>41500</v>
      </c>
      <c r="B148" s="29">
        <f t="shared" si="11"/>
        <v>296710734.12188399</v>
      </c>
      <c r="C148" s="39">
        <f t="shared" si="12"/>
        <v>315400000</v>
      </c>
      <c r="D148" s="76">
        <f t="shared" si="13"/>
        <v>18689265.878116012</v>
      </c>
    </row>
    <row r="149" spans="1:4" x14ac:dyDescent="0.3">
      <c r="A149">
        <v>42000</v>
      </c>
      <c r="B149" s="29">
        <f t="shared" si="11"/>
        <v>299905241.81254399</v>
      </c>
      <c r="C149" s="39">
        <f t="shared" si="12"/>
        <v>319200000</v>
      </c>
      <c r="D149" s="76">
        <f t="shared" si="13"/>
        <v>19294758.187456012</v>
      </c>
    </row>
    <row r="150" spans="1:4" x14ac:dyDescent="0.3">
      <c r="A150">
        <v>42500</v>
      </c>
      <c r="B150" s="29">
        <f t="shared" si="11"/>
        <v>303099749.50320399</v>
      </c>
      <c r="C150" s="39">
        <f t="shared" si="12"/>
        <v>323000000</v>
      </c>
      <c r="D150" s="76">
        <f t="shared" si="13"/>
        <v>19900250.496796012</v>
      </c>
    </row>
    <row r="151" spans="1:4" x14ac:dyDescent="0.3">
      <c r="A151">
        <v>43000</v>
      </c>
      <c r="B151" s="29">
        <f t="shared" si="11"/>
        <v>306294257.19386399</v>
      </c>
      <c r="C151" s="39">
        <f t="shared" si="12"/>
        <v>326800000</v>
      </c>
      <c r="D151" s="76">
        <f t="shared" si="13"/>
        <v>20505742.806136012</v>
      </c>
    </row>
    <row r="152" spans="1:4" x14ac:dyDescent="0.3">
      <c r="A152">
        <v>43500</v>
      </c>
      <c r="B152" s="29">
        <f t="shared" si="11"/>
        <v>309488764.88452399</v>
      </c>
      <c r="C152" s="39">
        <f t="shared" si="12"/>
        <v>330600000</v>
      </c>
      <c r="D152" s="76">
        <f t="shared" si="13"/>
        <v>21111235.115476012</v>
      </c>
    </row>
    <row r="153" spans="1:4" x14ac:dyDescent="0.3">
      <c r="A153">
        <v>44000</v>
      </c>
      <c r="B153" s="29">
        <f t="shared" si="11"/>
        <v>312683272.57518399</v>
      </c>
      <c r="C153" s="39">
        <f t="shared" si="12"/>
        <v>334400000</v>
      </c>
      <c r="D153" s="76">
        <f t="shared" si="13"/>
        <v>21716727.424816012</v>
      </c>
    </row>
    <row r="154" spans="1:4" x14ac:dyDescent="0.3">
      <c r="A154">
        <v>44500</v>
      </c>
      <c r="B154" s="29">
        <f t="shared" si="11"/>
        <v>315877780.26584399</v>
      </c>
      <c r="C154" s="39">
        <f t="shared" si="12"/>
        <v>338200000</v>
      </c>
      <c r="D154" s="76">
        <f t="shared" si="13"/>
        <v>22322219.734156013</v>
      </c>
    </row>
    <row r="155" spans="1:4" x14ac:dyDescent="0.3">
      <c r="A155">
        <v>45000</v>
      </c>
      <c r="B155" s="29">
        <f t="shared" si="11"/>
        <v>319072287.95650399</v>
      </c>
      <c r="C155" s="39">
        <f t="shared" si="12"/>
        <v>342000000</v>
      </c>
      <c r="D155" s="76">
        <f t="shared" si="13"/>
        <v>22927712.043496013</v>
      </c>
    </row>
    <row r="156" spans="1:4" x14ac:dyDescent="0.3">
      <c r="A156">
        <v>45500</v>
      </c>
      <c r="B156" s="29">
        <f t="shared" si="11"/>
        <v>322266795.64716399</v>
      </c>
      <c r="C156" s="39">
        <f t="shared" si="12"/>
        <v>345800000</v>
      </c>
      <c r="D156" s="76">
        <f t="shared" si="13"/>
        <v>23533204.352836013</v>
      </c>
    </row>
    <row r="157" spans="1:4" x14ac:dyDescent="0.3">
      <c r="A157">
        <v>46000</v>
      </c>
      <c r="B157" s="29">
        <f t="shared" si="11"/>
        <v>325461303.33782399</v>
      </c>
      <c r="C157" s="39">
        <f t="shared" si="12"/>
        <v>349600000</v>
      </c>
      <c r="D157" s="76">
        <f t="shared" si="13"/>
        <v>24138696.662176013</v>
      </c>
    </row>
    <row r="158" spans="1:4" x14ac:dyDescent="0.3">
      <c r="A158">
        <v>46500</v>
      </c>
      <c r="B158" s="29">
        <f t="shared" si="11"/>
        <v>328655811.02848399</v>
      </c>
      <c r="C158" s="39">
        <f t="shared" si="12"/>
        <v>353400000</v>
      </c>
      <c r="D158" s="76">
        <f t="shared" si="13"/>
        <v>24744188.971516013</v>
      </c>
    </row>
    <row r="159" spans="1:4" x14ac:dyDescent="0.3">
      <c r="A159">
        <v>47000</v>
      </c>
      <c r="B159" s="29">
        <f t="shared" si="11"/>
        <v>331850318.71914399</v>
      </c>
      <c r="C159" s="39">
        <f t="shared" si="12"/>
        <v>357200000</v>
      </c>
      <c r="D159" s="76">
        <f t="shared" si="13"/>
        <v>25349681.280856013</v>
      </c>
    </row>
    <row r="160" spans="1:4" x14ac:dyDescent="0.3">
      <c r="A160">
        <v>47500</v>
      </c>
      <c r="B160" s="29">
        <f t="shared" si="11"/>
        <v>335044826.40980399</v>
      </c>
      <c r="C160" s="39">
        <f t="shared" si="12"/>
        <v>361000000</v>
      </c>
      <c r="D160" s="76">
        <f t="shared" si="13"/>
        <v>25955173.590196013</v>
      </c>
    </row>
    <row r="161" spans="1:4" x14ac:dyDescent="0.3">
      <c r="A161">
        <v>48000</v>
      </c>
      <c r="B161" s="29">
        <f t="shared" si="11"/>
        <v>338239334.10046399</v>
      </c>
      <c r="C161" s="39">
        <f t="shared" si="12"/>
        <v>364800000</v>
      </c>
      <c r="D161" s="76">
        <f t="shared" si="13"/>
        <v>26560665.899536014</v>
      </c>
    </row>
    <row r="162" spans="1:4" x14ac:dyDescent="0.3">
      <c r="A162">
        <v>48500</v>
      </c>
      <c r="B162" s="29">
        <f t="shared" si="11"/>
        <v>341433841.79112399</v>
      </c>
      <c r="C162" s="39">
        <f t="shared" si="12"/>
        <v>368600000</v>
      </c>
      <c r="D162" s="76">
        <f t="shared" si="13"/>
        <v>27166158.208876014</v>
      </c>
    </row>
    <row r="163" spans="1:4" x14ac:dyDescent="0.3">
      <c r="A163">
        <v>49000</v>
      </c>
      <c r="B163" s="29">
        <f t="shared" si="11"/>
        <v>344628349.48178399</v>
      </c>
      <c r="C163" s="39">
        <f t="shared" si="12"/>
        <v>372400000</v>
      </c>
      <c r="D163" s="76">
        <f t="shared" si="13"/>
        <v>27771650.518216014</v>
      </c>
    </row>
    <row r="164" spans="1:4" x14ac:dyDescent="0.3">
      <c r="A164">
        <v>49500</v>
      </c>
      <c r="B164" s="29">
        <f t="shared" si="11"/>
        <v>347822857.17244399</v>
      </c>
      <c r="C164" s="39">
        <f t="shared" si="12"/>
        <v>376200000</v>
      </c>
      <c r="D164" s="76">
        <f t="shared" si="13"/>
        <v>28377142.827556014</v>
      </c>
    </row>
    <row r="165" spans="1:4" x14ac:dyDescent="0.3">
      <c r="A165">
        <v>50000</v>
      </c>
      <c r="B165" s="29">
        <f t="shared" si="11"/>
        <v>351017364.86310399</v>
      </c>
      <c r="C165" s="39">
        <f t="shared" si="12"/>
        <v>380000000</v>
      </c>
      <c r="D165" s="76">
        <f t="shared" si="13"/>
        <v>28982635.136896014</v>
      </c>
    </row>
    <row r="166" spans="1:4" x14ac:dyDescent="0.3">
      <c r="A166">
        <v>50500</v>
      </c>
      <c r="B166" s="29">
        <f t="shared" si="11"/>
        <v>354211872.55376399</v>
      </c>
      <c r="C166" s="39">
        <f t="shared" si="12"/>
        <v>383800000</v>
      </c>
      <c r="D166" s="76">
        <f t="shared" si="13"/>
        <v>29588127.446236014</v>
      </c>
    </row>
    <row r="167" spans="1:4" x14ac:dyDescent="0.3">
      <c r="A167">
        <v>51000</v>
      </c>
      <c r="B167" s="29">
        <f t="shared" si="11"/>
        <v>357406380.24442399</v>
      </c>
      <c r="C167" s="39">
        <f t="shared" si="12"/>
        <v>387600000</v>
      </c>
      <c r="D167" s="76">
        <f t="shared" si="13"/>
        <v>30193619.755576015</v>
      </c>
    </row>
    <row r="168" spans="1:4" x14ac:dyDescent="0.3">
      <c r="A168">
        <v>51500</v>
      </c>
      <c r="B168" s="29">
        <f t="shared" si="11"/>
        <v>360600887.93508399</v>
      </c>
      <c r="C168" s="39">
        <f t="shared" si="12"/>
        <v>391400000</v>
      </c>
      <c r="D168" s="76">
        <f t="shared" si="13"/>
        <v>30799112.064916015</v>
      </c>
    </row>
    <row r="169" spans="1:4" x14ac:dyDescent="0.3">
      <c r="A169">
        <v>52000</v>
      </c>
      <c r="B169" s="29">
        <f t="shared" si="11"/>
        <v>363795395.62574399</v>
      </c>
      <c r="C169" s="39">
        <f t="shared" si="12"/>
        <v>395200000</v>
      </c>
      <c r="D169" s="76">
        <f t="shared" si="13"/>
        <v>31404604.374256015</v>
      </c>
    </row>
    <row r="170" spans="1:4" x14ac:dyDescent="0.3">
      <c r="A170">
        <v>52500</v>
      </c>
      <c r="B170" s="29">
        <f t="shared" si="11"/>
        <v>366989903.31640399</v>
      </c>
      <c r="C170" s="39">
        <f t="shared" si="12"/>
        <v>399000000</v>
      </c>
      <c r="D170" s="76">
        <f t="shared" si="13"/>
        <v>32010096.683596015</v>
      </c>
    </row>
    <row r="171" spans="1:4" x14ac:dyDescent="0.3">
      <c r="A171">
        <v>53000</v>
      </c>
      <c r="B171" s="29">
        <f t="shared" si="11"/>
        <v>370184411.00706398</v>
      </c>
      <c r="C171" s="39">
        <f t="shared" si="12"/>
        <v>402800000</v>
      </c>
      <c r="D171" s="76">
        <f t="shared" si="13"/>
        <v>32615588.992936015</v>
      </c>
    </row>
    <row r="172" spans="1:4" x14ac:dyDescent="0.3">
      <c r="A172">
        <v>53500</v>
      </c>
      <c r="B172" s="29">
        <f t="shared" si="11"/>
        <v>373378918.69772398</v>
      </c>
      <c r="C172" s="39">
        <f t="shared" si="12"/>
        <v>406600000</v>
      </c>
      <c r="D172" s="76">
        <f t="shared" si="13"/>
        <v>33221081.302276015</v>
      </c>
    </row>
    <row r="173" spans="1:4" x14ac:dyDescent="0.3">
      <c r="A173">
        <v>54000</v>
      </c>
      <c r="B173" s="29">
        <f t="shared" si="11"/>
        <v>376573426.38838398</v>
      </c>
      <c r="C173" s="39">
        <f t="shared" si="12"/>
        <v>410400000</v>
      </c>
      <c r="D173" s="76">
        <f t="shared" si="13"/>
        <v>33826573.611616015</v>
      </c>
    </row>
    <row r="174" spans="1:4" x14ac:dyDescent="0.3">
      <c r="A174">
        <v>54500</v>
      </c>
      <c r="B174" s="29">
        <f t="shared" si="11"/>
        <v>379767934.07904398</v>
      </c>
      <c r="C174" s="39">
        <f t="shared" si="12"/>
        <v>414200000</v>
      </c>
      <c r="D174" s="76">
        <f t="shared" si="13"/>
        <v>34432065.920956016</v>
      </c>
    </row>
    <row r="175" spans="1:4" x14ac:dyDescent="0.3">
      <c r="A175">
        <v>55000</v>
      </c>
      <c r="B175" s="29">
        <f t="shared" si="11"/>
        <v>382962441.76970398</v>
      </c>
      <c r="C175" s="39">
        <f t="shared" si="12"/>
        <v>418000000</v>
      </c>
      <c r="D175" s="76">
        <f t="shared" si="13"/>
        <v>35037558.230296016</v>
      </c>
    </row>
    <row r="176" spans="1:4" x14ac:dyDescent="0.3">
      <c r="A176">
        <v>55500</v>
      </c>
      <c r="B176" s="29">
        <f t="shared" si="11"/>
        <v>386156949.46036398</v>
      </c>
      <c r="C176" s="39">
        <f t="shared" si="12"/>
        <v>421800000</v>
      </c>
      <c r="D176" s="76">
        <f t="shared" si="13"/>
        <v>35643050.539636016</v>
      </c>
    </row>
    <row r="177" spans="1:4" x14ac:dyDescent="0.3">
      <c r="A177">
        <v>56000</v>
      </c>
      <c r="B177" s="29">
        <f t="shared" si="11"/>
        <v>389351457.15102398</v>
      </c>
      <c r="C177" s="39">
        <f t="shared" si="12"/>
        <v>425600000</v>
      </c>
      <c r="D177" s="76">
        <f t="shared" si="13"/>
        <v>36248542.848976016</v>
      </c>
    </row>
    <row r="178" spans="1:4" x14ac:dyDescent="0.3">
      <c r="A178">
        <v>56500</v>
      </c>
      <c r="B178" s="29">
        <f t="shared" si="11"/>
        <v>392545964.84168398</v>
      </c>
      <c r="C178" s="39">
        <f t="shared" si="12"/>
        <v>429400000</v>
      </c>
      <c r="D178" s="76">
        <f t="shared" si="13"/>
        <v>36854035.158316016</v>
      </c>
    </row>
    <row r="179" spans="1:4" x14ac:dyDescent="0.3">
      <c r="A179">
        <v>57000</v>
      </c>
      <c r="B179" s="29">
        <f t="shared" si="11"/>
        <v>395740472.53234398</v>
      </c>
      <c r="C179" s="39">
        <f t="shared" si="12"/>
        <v>433200000</v>
      </c>
      <c r="D179" s="76">
        <f t="shared" si="13"/>
        <v>37459527.467656016</v>
      </c>
    </row>
    <row r="180" spans="1:4" x14ac:dyDescent="0.3">
      <c r="A180">
        <v>57500</v>
      </c>
      <c r="B180" s="29">
        <f t="shared" si="11"/>
        <v>398934980.22300398</v>
      </c>
      <c r="C180" s="39">
        <f t="shared" si="12"/>
        <v>437000000</v>
      </c>
      <c r="D180" s="76">
        <f t="shared" si="13"/>
        <v>38065019.776996017</v>
      </c>
    </row>
    <row r="181" spans="1:4" x14ac:dyDescent="0.3">
      <c r="A181">
        <v>58000</v>
      </c>
      <c r="B181" s="29">
        <f t="shared" si="11"/>
        <v>402129487.91366398</v>
      </c>
      <c r="C181" s="39">
        <f t="shared" si="12"/>
        <v>440800000</v>
      </c>
      <c r="D181" s="76">
        <f t="shared" si="13"/>
        <v>38670512.086336017</v>
      </c>
    </row>
    <row r="182" spans="1:4" x14ac:dyDescent="0.3">
      <c r="A182">
        <v>58500</v>
      </c>
      <c r="B182" s="29">
        <f t="shared" si="11"/>
        <v>405323995.60432398</v>
      </c>
      <c r="C182" s="39">
        <f t="shared" si="12"/>
        <v>444600000</v>
      </c>
      <c r="D182" s="76">
        <f t="shared" si="13"/>
        <v>39276004.395676017</v>
      </c>
    </row>
    <row r="183" spans="1:4" x14ac:dyDescent="0.3">
      <c r="A183">
        <v>59000</v>
      </c>
      <c r="B183" s="29">
        <f t="shared" si="11"/>
        <v>408518503.29498398</v>
      </c>
      <c r="C183" s="39">
        <f t="shared" si="12"/>
        <v>448400000</v>
      </c>
      <c r="D183" s="76">
        <f t="shared" si="13"/>
        <v>39881496.705016017</v>
      </c>
    </row>
    <row r="184" spans="1:4" x14ac:dyDescent="0.3">
      <c r="A184">
        <v>59500</v>
      </c>
      <c r="B184" s="29">
        <f t="shared" si="11"/>
        <v>411713010.98564398</v>
      </c>
      <c r="C184" s="39">
        <f t="shared" si="12"/>
        <v>452200000</v>
      </c>
      <c r="D184" s="76">
        <f t="shared" si="13"/>
        <v>40486989.014356017</v>
      </c>
    </row>
    <row r="185" spans="1:4" x14ac:dyDescent="0.3">
      <c r="A185">
        <v>60000</v>
      </c>
      <c r="B185" s="29">
        <f t="shared" si="11"/>
        <v>414907518.67630398</v>
      </c>
      <c r="C185" s="39">
        <f t="shared" si="12"/>
        <v>456000000</v>
      </c>
      <c r="D185" s="76">
        <f t="shared" si="13"/>
        <v>41092481.323696017</v>
      </c>
    </row>
    <row r="186" spans="1:4" x14ac:dyDescent="0.3">
      <c r="A186">
        <v>60500</v>
      </c>
      <c r="B186" s="29">
        <f t="shared" si="11"/>
        <v>418102026.36696398</v>
      </c>
      <c r="C186" s="39">
        <f t="shared" si="12"/>
        <v>459800000</v>
      </c>
      <c r="D186" s="76">
        <f t="shared" si="13"/>
        <v>41697973.633036017</v>
      </c>
    </row>
    <row r="187" spans="1:4" x14ac:dyDescent="0.3">
      <c r="A187">
        <v>61000</v>
      </c>
      <c r="B187" s="29">
        <f t="shared" si="11"/>
        <v>421296534.05762398</v>
      </c>
      <c r="C187" s="39">
        <f t="shared" si="12"/>
        <v>463600000</v>
      </c>
      <c r="D187" s="76">
        <f t="shared" si="13"/>
        <v>42303465.942376018</v>
      </c>
    </row>
    <row r="188" spans="1:4" x14ac:dyDescent="0.3">
      <c r="A188">
        <v>61500</v>
      </c>
      <c r="B188" s="29">
        <f t="shared" si="11"/>
        <v>424491041.74828398</v>
      </c>
      <c r="C188" s="39">
        <f t="shared" si="12"/>
        <v>467400000</v>
      </c>
      <c r="D188" s="76">
        <f t="shared" si="13"/>
        <v>42908958.251716018</v>
      </c>
    </row>
    <row r="189" spans="1:4" x14ac:dyDescent="0.3">
      <c r="A189">
        <v>62000</v>
      </c>
      <c r="B189" s="29">
        <f t="shared" si="11"/>
        <v>427685549.43894398</v>
      </c>
      <c r="C189" s="39">
        <f t="shared" si="12"/>
        <v>471200000</v>
      </c>
      <c r="D189" s="76">
        <f t="shared" si="13"/>
        <v>43514450.561056018</v>
      </c>
    </row>
    <row r="190" spans="1:4" x14ac:dyDescent="0.3">
      <c r="A190">
        <v>62500</v>
      </c>
      <c r="B190" s="29">
        <f t="shared" si="11"/>
        <v>430880057.12960398</v>
      </c>
      <c r="C190" s="39">
        <f t="shared" si="12"/>
        <v>475000000</v>
      </c>
      <c r="D190" s="76">
        <f t="shared" si="13"/>
        <v>44119942.870396018</v>
      </c>
    </row>
    <row r="191" spans="1:4" x14ac:dyDescent="0.3">
      <c r="A191">
        <v>63000</v>
      </c>
      <c r="B191" s="29">
        <f t="shared" si="11"/>
        <v>434074564.82026398</v>
      </c>
      <c r="C191" s="39">
        <f t="shared" si="12"/>
        <v>478800000</v>
      </c>
      <c r="D191" s="76">
        <f t="shared" si="13"/>
        <v>44725435.179736018</v>
      </c>
    </row>
    <row r="192" spans="1:4" x14ac:dyDescent="0.3">
      <c r="A192">
        <v>63500</v>
      </c>
      <c r="B192" s="29">
        <f t="shared" si="11"/>
        <v>437269072.51092398</v>
      </c>
      <c r="C192" s="39">
        <f t="shared" si="12"/>
        <v>482600000</v>
      </c>
      <c r="D192" s="76">
        <f t="shared" si="13"/>
        <v>45330927.489076018</v>
      </c>
    </row>
    <row r="193" spans="1:4" x14ac:dyDescent="0.3">
      <c r="A193">
        <v>64000</v>
      </c>
      <c r="B193" s="29">
        <f t="shared" si="11"/>
        <v>440463580.20158398</v>
      </c>
      <c r="C193" s="39">
        <f t="shared" si="12"/>
        <v>486400000</v>
      </c>
      <c r="D193" s="76">
        <f t="shared" si="13"/>
        <v>45936419.798416018</v>
      </c>
    </row>
    <row r="194" spans="1:4" x14ac:dyDescent="0.3">
      <c r="A194">
        <v>64500</v>
      </c>
      <c r="B194" s="29">
        <f t="shared" ref="B194:B257" si="14">$B$54+($B$60*A194)</f>
        <v>443658087.89224398</v>
      </c>
      <c r="C194" s="39">
        <f t="shared" ref="C194:C257" si="15">$E$50*A194</f>
        <v>490200000</v>
      </c>
      <c r="D194" s="76">
        <f t="shared" ref="D194:D257" si="16">C194-B194</f>
        <v>46541912.107756019</v>
      </c>
    </row>
    <row r="195" spans="1:4" x14ac:dyDescent="0.3">
      <c r="A195">
        <v>65000</v>
      </c>
      <c r="B195" s="29">
        <f t="shared" si="14"/>
        <v>446852595.58290398</v>
      </c>
      <c r="C195" s="39">
        <f t="shared" si="15"/>
        <v>494000000</v>
      </c>
      <c r="D195" s="76">
        <f t="shared" si="16"/>
        <v>47147404.417096019</v>
      </c>
    </row>
    <row r="196" spans="1:4" x14ac:dyDescent="0.3">
      <c r="A196">
        <v>65500</v>
      </c>
      <c r="B196" s="29">
        <f t="shared" si="14"/>
        <v>450047103.27356398</v>
      </c>
      <c r="C196" s="39">
        <f t="shared" si="15"/>
        <v>497800000</v>
      </c>
      <c r="D196" s="76">
        <f t="shared" si="16"/>
        <v>47752896.726436019</v>
      </c>
    </row>
    <row r="197" spans="1:4" x14ac:dyDescent="0.3">
      <c r="A197">
        <v>66000</v>
      </c>
      <c r="B197" s="29">
        <f t="shared" si="14"/>
        <v>453241610.96422398</v>
      </c>
      <c r="C197" s="39">
        <f t="shared" si="15"/>
        <v>501600000</v>
      </c>
      <c r="D197" s="76">
        <f t="shared" si="16"/>
        <v>48358389.035776019</v>
      </c>
    </row>
    <row r="198" spans="1:4" x14ac:dyDescent="0.3">
      <c r="A198">
        <v>66500</v>
      </c>
      <c r="B198" s="29">
        <f t="shared" si="14"/>
        <v>456436118.65488398</v>
      </c>
      <c r="C198" s="39">
        <f t="shared" si="15"/>
        <v>505400000</v>
      </c>
      <c r="D198" s="76">
        <f t="shared" si="16"/>
        <v>48963881.345116019</v>
      </c>
    </row>
    <row r="199" spans="1:4" x14ac:dyDescent="0.3">
      <c r="A199">
        <v>67000</v>
      </c>
      <c r="B199" s="29">
        <f t="shared" si="14"/>
        <v>459630626.34554398</v>
      </c>
      <c r="C199" s="39">
        <f t="shared" si="15"/>
        <v>509200000</v>
      </c>
      <c r="D199" s="76">
        <f t="shared" si="16"/>
        <v>49569373.654456019</v>
      </c>
    </row>
    <row r="200" spans="1:4" x14ac:dyDescent="0.3">
      <c r="A200">
        <v>67500</v>
      </c>
      <c r="B200" s="29">
        <f t="shared" si="14"/>
        <v>462825134.03620398</v>
      </c>
      <c r="C200" s="39">
        <f t="shared" si="15"/>
        <v>513000000</v>
      </c>
      <c r="D200" s="76">
        <f t="shared" si="16"/>
        <v>50174865.96379602</v>
      </c>
    </row>
    <row r="201" spans="1:4" x14ac:dyDescent="0.3">
      <c r="A201">
        <v>68000</v>
      </c>
      <c r="B201" s="29">
        <f t="shared" si="14"/>
        <v>466019641.72686398</v>
      </c>
      <c r="C201" s="39">
        <f t="shared" si="15"/>
        <v>516800000</v>
      </c>
      <c r="D201" s="76">
        <f t="shared" si="16"/>
        <v>50780358.27313602</v>
      </c>
    </row>
    <row r="202" spans="1:4" x14ac:dyDescent="0.3">
      <c r="A202">
        <v>68500</v>
      </c>
      <c r="B202" s="29">
        <f t="shared" si="14"/>
        <v>469214149.41752398</v>
      </c>
      <c r="C202" s="39">
        <f t="shared" si="15"/>
        <v>520600000</v>
      </c>
      <c r="D202" s="76">
        <f t="shared" si="16"/>
        <v>51385850.58247602</v>
      </c>
    </row>
    <row r="203" spans="1:4" x14ac:dyDescent="0.3">
      <c r="A203">
        <v>69000</v>
      </c>
      <c r="B203" s="29">
        <f t="shared" si="14"/>
        <v>472408657.10818398</v>
      </c>
      <c r="C203" s="39">
        <f t="shared" si="15"/>
        <v>524400000</v>
      </c>
      <c r="D203" s="76">
        <f t="shared" si="16"/>
        <v>51991342.89181602</v>
      </c>
    </row>
    <row r="204" spans="1:4" x14ac:dyDescent="0.3">
      <c r="A204">
        <v>69500</v>
      </c>
      <c r="B204" s="29">
        <f t="shared" si="14"/>
        <v>475603164.79884398</v>
      </c>
      <c r="C204" s="39">
        <f t="shared" si="15"/>
        <v>528200000</v>
      </c>
      <c r="D204" s="76">
        <f t="shared" si="16"/>
        <v>52596835.20115602</v>
      </c>
    </row>
    <row r="205" spans="1:4" x14ac:dyDescent="0.3">
      <c r="A205">
        <v>70000</v>
      </c>
      <c r="B205" s="29">
        <f t="shared" si="14"/>
        <v>478797672.48950398</v>
      </c>
      <c r="C205" s="39">
        <f t="shared" si="15"/>
        <v>532000000</v>
      </c>
      <c r="D205" s="76">
        <f t="shared" si="16"/>
        <v>53202327.51049602</v>
      </c>
    </row>
    <row r="206" spans="1:4" x14ac:dyDescent="0.3">
      <c r="A206">
        <v>70500</v>
      </c>
      <c r="B206" s="29">
        <f t="shared" si="14"/>
        <v>481992180.18016398</v>
      </c>
      <c r="C206" s="39">
        <f t="shared" si="15"/>
        <v>535800000</v>
      </c>
      <c r="D206" s="76">
        <f t="shared" si="16"/>
        <v>53807819.81983602</v>
      </c>
    </row>
    <row r="207" spans="1:4" x14ac:dyDescent="0.3">
      <c r="A207">
        <v>71000</v>
      </c>
      <c r="B207" s="29">
        <f t="shared" si="14"/>
        <v>485186687.87082398</v>
      </c>
      <c r="C207" s="39">
        <f t="shared" si="15"/>
        <v>539600000</v>
      </c>
      <c r="D207" s="76">
        <f t="shared" si="16"/>
        <v>54413312.129176021</v>
      </c>
    </row>
    <row r="208" spans="1:4" x14ac:dyDescent="0.3">
      <c r="A208">
        <v>71500</v>
      </c>
      <c r="B208" s="29">
        <f t="shared" si="14"/>
        <v>488381195.56148398</v>
      </c>
      <c r="C208" s="39">
        <f t="shared" si="15"/>
        <v>543400000</v>
      </c>
      <c r="D208" s="76">
        <f t="shared" si="16"/>
        <v>55018804.438516021</v>
      </c>
    </row>
    <row r="209" spans="1:4" x14ac:dyDescent="0.3">
      <c r="A209">
        <v>72000</v>
      </c>
      <c r="B209" s="29">
        <f t="shared" si="14"/>
        <v>491575703.25214398</v>
      </c>
      <c r="C209" s="39">
        <f t="shared" si="15"/>
        <v>547200000</v>
      </c>
      <c r="D209" s="76">
        <f t="shared" si="16"/>
        <v>55624296.747856021</v>
      </c>
    </row>
    <row r="210" spans="1:4" x14ac:dyDescent="0.3">
      <c r="A210">
        <v>72500</v>
      </c>
      <c r="B210" s="29">
        <f t="shared" si="14"/>
        <v>494770210.94280398</v>
      </c>
      <c r="C210" s="39">
        <f t="shared" si="15"/>
        <v>551000000</v>
      </c>
      <c r="D210" s="76">
        <f t="shared" si="16"/>
        <v>56229789.057196021</v>
      </c>
    </row>
    <row r="211" spans="1:4" x14ac:dyDescent="0.3">
      <c r="A211">
        <v>73000</v>
      </c>
      <c r="B211" s="29">
        <f t="shared" si="14"/>
        <v>497964718.63346398</v>
      </c>
      <c r="C211" s="39">
        <f t="shared" si="15"/>
        <v>554800000</v>
      </c>
      <c r="D211" s="76">
        <f t="shared" si="16"/>
        <v>56835281.366536021</v>
      </c>
    </row>
    <row r="212" spans="1:4" x14ac:dyDescent="0.3">
      <c r="A212">
        <v>73500</v>
      </c>
      <c r="B212" s="29">
        <f t="shared" si="14"/>
        <v>501159226.32412398</v>
      </c>
      <c r="C212" s="39">
        <f t="shared" si="15"/>
        <v>558600000</v>
      </c>
      <c r="D212" s="76">
        <f t="shared" si="16"/>
        <v>57440773.675876021</v>
      </c>
    </row>
    <row r="213" spans="1:4" x14ac:dyDescent="0.3">
      <c r="A213">
        <v>74000</v>
      </c>
      <c r="B213" s="29">
        <f t="shared" si="14"/>
        <v>504353734.01478398</v>
      </c>
      <c r="C213" s="39">
        <f t="shared" si="15"/>
        <v>562400000</v>
      </c>
      <c r="D213" s="76">
        <f t="shared" si="16"/>
        <v>58046265.985216022</v>
      </c>
    </row>
    <row r="214" spans="1:4" x14ac:dyDescent="0.3">
      <c r="A214">
        <v>74500</v>
      </c>
      <c r="B214" s="29">
        <f t="shared" si="14"/>
        <v>507548241.70544398</v>
      </c>
      <c r="C214" s="39">
        <f t="shared" si="15"/>
        <v>566200000</v>
      </c>
      <c r="D214" s="76">
        <f t="shared" si="16"/>
        <v>58651758.294556022</v>
      </c>
    </row>
    <row r="215" spans="1:4" x14ac:dyDescent="0.3">
      <c r="A215">
        <v>75000</v>
      </c>
      <c r="B215" s="29">
        <f t="shared" si="14"/>
        <v>510742749.39610398</v>
      </c>
      <c r="C215" s="39">
        <f t="shared" si="15"/>
        <v>570000000</v>
      </c>
      <c r="D215" s="76">
        <f t="shared" si="16"/>
        <v>59257250.603896022</v>
      </c>
    </row>
    <row r="216" spans="1:4" x14ac:dyDescent="0.3">
      <c r="A216">
        <v>75500</v>
      </c>
      <c r="B216" s="29">
        <f t="shared" si="14"/>
        <v>513937257.08676398</v>
      </c>
      <c r="C216" s="39">
        <f t="shared" si="15"/>
        <v>573800000</v>
      </c>
      <c r="D216" s="76">
        <f t="shared" si="16"/>
        <v>59862742.913236022</v>
      </c>
    </row>
    <row r="217" spans="1:4" x14ac:dyDescent="0.3">
      <c r="A217">
        <v>76000</v>
      </c>
      <c r="B217" s="29">
        <f t="shared" si="14"/>
        <v>517131764.77742398</v>
      </c>
      <c r="C217" s="39">
        <f t="shared" si="15"/>
        <v>577600000</v>
      </c>
      <c r="D217" s="76">
        <f t="shared" si="16"/>
        <v>60468235.222576022</v>
      </c>
    </row>
    <row r="218" spans="1:4" x14ac:dyDescent="0.3">
      <c r="A218">
        <v>76500</v>
      </c>
      <c r="B218" s="29">
        <f t="shared" si="14"/>
        <v>520326272.46808398</v>
      </c>
      <c r="C218" s="39">
        <f t="shared" si="15"/>
        <v>581400000</v>
      </c>
      <c r="D218" s="76">
        <f t="shared" si="16"/>
        <v>61073727.531916022</v>
      </c>
    </row>
    <row r="219" spans="1:4" x14ac:dyDescent="0.3">
      <c r="A219">
        <v>77000</v>
      </c>
      <c r="B219" s="29">
        <f t="shared" si="14"/>
        <v>523520780.15874398</v>
      </c>
      <c r="C219" s="39">
        <f t="shared" si="15"/>
        <v>585200000</v>
      </c>
      <c r="D219" s="76">
        <f t="shared" si="16"/>
        <v>61679219.841256022</v>
      </c>
    </row>
    <row r="220" spans="1:4" x14ac:dyDescent="0.3">
      <c r="A220">
        <v>77500</v>
      </c>
      <c r="B220" s="29">
        <f t="shared" si="14"/>
        <v>526715287.84940398</v>
      </c>
      <c r="C220" s="39">
        <f t="shared" si="15"/>
        <v>589000000</v>
      </c>
      <c r="D220" s="76">
        <f t="shared" si="16"/>
        <v>62284712.150596023</v>
      </c>
    </row>
    <row r="221" spans="1:4" x14ac:dyDescent="0.3">
      <c r="A221">
        <v>78000</v>
      </c>
      <c r="B221" s="29">
        <f t="shared" si="14"/>
        <v>529909795.54006398</v>
      </c>
      <c r="C221" s="39">
        <f t="shared" si="15"/>
        <v>592800000</v>
      </c>
      <c r="D221" s="76">
        <f t="shared" si="16"/>
        <v>62890204.459936023</v>
      </c>
    </row>
    <row r="222" spans="1:4" x14ac:dyDescent="0.3">
      <c r="A222">
        <v>78500</v>
      </c>
      <c r="B222" s="29">
        <f t="shared" si="14"/>
        <v>533104303.23072398</v>
      </c>
      <c r="C222" s="39">
        <f t="shared" si="15"/>
        <v>596600000</v>
      </c>
      <c r="D222" s="76">
        <f t="shared" si="16"/>
        <v>63495696.769276023</v>
      </c>
    </row>
    <row r="223" spans="1:4" x14ac:dyDescent="0.3">
      <c r="A223">
        <v>79000</v>
      </c>
      <c r="B223" s="29">
        <f t="shared" si="14"/>
        <v>536298810.92138398</v>
      </c>
      <c r="C223" s="39">
        <f t="shared" si="15"/>
        <v>600400000</v>
      </c>
      <c r="D223" s="76">
        <f t="shared" si="16"/>
        <v>64101189.078616023</v>
      </c>
    </row>
    <row r="224" spans="1:4" x14ac:dyDescent="0.3">
      <c r="A224">
        <v>79500</v>
      </c>
      <c r="B224" s="29">
        <f t="shared" si="14"/>
        <v>539493318.61204398</v>
      </c>
      <c r="C224" s="39">
        <f t="shared" si="15"/>
        <v>604200000</v>
      </c>
      <c r="D224" s="76">
        <f t="shared" si="16"/>
        <v>64706681.387956023</v>
      </c>
    </row>
    <row r="225" spans="1:4" x14ac:dyDescent="0.3">
      <c r="A225">
        <v>80000</v>
      </c>
      <c r="B225" s="29">
        <f t="shared" si="14"/>
        <v>542687826.30270398</v>
      </c>
      <c r="C225" s="39">
        <f t="shared" si="15"/>
        <v>608000000</v>
      </c>
      <c r="D225" s="76">
        <f t="shared" si="16"/>
        <v>65312173.697296023</v>
      </c>
    </row>
    <row r="226" spans="1:4" x14ac:dyDescent="0.3">
      <c r="A226">
        <v>80500</v>
      </c>
      <c r="B226" s="29">
        <f t="shared" si="14"/>
        <v>545882333.99336398</v>
      </c>
      <c r="C226" s="39">
        <f t="shared" si="15"/>
        <v>611800000</v>
      </c>
      <c r="D226" s="76">
        <f t="shared" si="16"/>
        <v>65917666.006636024</v>
      </c>
    </row>
    <row r="227" spans="1:4" x14ac:dyDescent="0.3">
      <c r="A227">
        <v>81000</v>
      </c>
      <c r="B227" s="29">
        <f t="shared" si="14"/>
        <v>549076841.68402398</v>
      </c>
      <c r="C227" s="39">
        <f t="shared" si="15"/>
        <v>615600000</v>
      </c>
      <c r="D227" s="76">
        <f t="shared" si="16"/>
        <v>66523158.315976024</v>
      </c>
    </row>
    <row r="228" spans="1:4" x14ac:dyDescent="0.3">
      <c r="A228">
        <v>81500</v>
      </c>
      <c r="B228" s="29">
        <f t="shared" si="14"/>
        <v>552271349.37468398</v>
      </c>
      <c r="C228" s="39">
        <f t="shared" si="15"/>
        <v>619400000</v>
      </c>
      <c r="D228" s="76">
        <f t="shared" si="16"/>
        <v>67128650.625316024</v>
      </c>
    </row>
    <row r="229" spans="1:4" x14ac:dyDescent="0.3">
      <c r="A229">
        <v>82000</v>
      </c>
      <c r="B229" s="29">
        <f t="shared" si="14"/>
        <v>555465857.06534398</v>
      </c>
      <c r="C229" s="39">
        <f t="shared" si="15"/>
        <v>623200000</v>
      </c>
      <c r="D229" s="76">
        <f t="shared" si="16"/>
        <v>67734142.934656024</v>
      </c>
    </row>
    <row r="230" spans="1:4" x14ac:dyDescent="0.3">
      <c r="A230">
        <v>82500</v>
      </c>
      <c r="B230" s="29">
        <f t="shared" si="14"/>
        <v>558660364.75600398</v>
      </c>
      <c r="C230" s="39">
        <f t="shared" si="15"/>
        <v>627000000</v>
      </c>
      <c r="D230" s="76">
        <f t="shared" si="16"/>
        <v>68339635.243996024</v>
      </c>
    </row>
    <row r="231" spans="1:4" x14ac:dyDescent="0.3">
      <c r="A231">
        <v>83000</v>
      </c>
      <c r="B231" s="29">
        <f t="shared" si="14"/>
        <v>561854872.44666398</v>
      </c>
      <c r="C231" s="39">
        <f t="shared" si="15"/>
        <v>630800000</v>
      </c>
      <c r="D231" s="76">
        <f t="shared" si="16"/>
        <v>68945127.553336024</v>
      </c>
    </row>
    <row r="232" spans="1:4" x14ac:dyDescent="0.3">
      <c r="A232">
        <v>83500</v>
      </c>
      <c r="B232" s="29">
        <f t="shared" si="14"/>
        <v>565049380.13732398</v>
      </c>
      <c r="C232" s="39">
        <f t="shared" si="15"/>
        <v>634600000</v>
      </c>
      <c r="D232" s="76">
        <f t="shared" si="16"/>
        <v>69550619.862676024</v>
      </c>
    </row>
    <row r="233" spans="1:4" x14ac:dyDescent="0.3">
      <c r="A233">
        <v>84000</v>
      </c>
      <c r="B233" s="29">
        <f t="shared" si="14"/>
        <v>568243887.82798398</v>
      </c>
      <c r="C233" s="39">
        <f t="shared" si="15"/>
        <v>638400000</v>
      </c>
      <c r="D233" s="76">
        <f t="shared" si="16"/>
        <v>70156112.172016025</v>
      </c>
    </row>
    <row r="234" spans="1:4" x14ac:dyDescent="0.3">
      <c r="A234">
        <v>84500</v>
      </c>
      <c r="B234" s="29">
        <f t="shared" si="14"/>
        <v>571438395.51864398</v>
      </c>
      <c r="C234" s="39">
        <f t="shared" si="15"/>
        <v>642200000</v>
      </c>
      <c r="D234" s="76">
        <f t="shared" si="16"/>
        <v>70761604.481356025</v>
      </c>
    </row>
    <row r="235" spans="1:4" x14ac:dyDescent="0.3">
      <c r="A235">
        <v>85000</v>
      </c>
      <c r="B235" s="29">
        <f t="shared" si="14"/>
        <v>574632903.20930398</v>
      </c>
      <c r="C235" s="39">
        <f t="shared" si="15"/>
        <v>646000000</v>
      </c>
      <c r="D235" s="76">
        <f t="shared" si="16"/>
        <v>71367096.790696025</v>
      </c>
    </row>
    <row r="236" spans="1:4" x14ac:dyDescent="0.3">
      <c r="A236">
        <v>85500</v>
      </c>
      <c r="B236" s="29">
        <f t="shared" si="14"/>
        <v>577827410.89996397</v>
      </c>
      <c r="C236" s="39">
        <f t="shared" si="15"/>
        <v>649800000</v>
      </c>
      <c r="D236" s="76">
        <f t="shared" si="16"/>
        <v>71972589.100036025</v>
      </c>
    </row>
    <row r="237" spans="1:4" x14ac:dyDescent="0.3">
      <c r="A237">
        <v>86000</v>
      </c>
      <c r="B237" s="29">
        <f t="shared" si="14"/>
        <v>581021918.59062397</v>
      </c>
      <c r="C237" s="39">
        <f t="shared" si="15"/>
        <v>653600000</v>
      </c>
      <c r="D237" s="76">
        <f t="shared" si="16"/>
        <v>72578081.409376025</v>
      </c>
    </row>
    <row r="238" spans="1:4" x14ac:dyDescent="0.3">
      <c r="A238">
        <v>86500</v>
      </c>
      <c r="B238" s="29">
        <f t="shared" si="14"/>
        <v>584216426.28128397</v>
      </c>
      <c r="C238" s="39">
        <f t="shared" si="15"/>
        <v>657400000</v>
      </c>
      <c r="D238" s="76">
        <f t="shared" si="16"/>
        <v>73183573.718716025</v>
      </c>
    </row>
    <row r="239" spans="1:4" x14ac:dyDescent="0.3">
      <c r="A239">
        <v>87000</v>
      </c>
      <c r="B239" s="29">
        <f t="shared" si="14"/>
        <v>587410933.97194397</v>
      </c>
      <c r="C239" s="39">
        <f t="shared" si="15"/>
        <v>661200000</v>
      </c>
      <c r="D239" s="76">
        <f t="shared" si="16"/>
        <v>73789066.028056026</v>
      </c>
    </row>
    <row r="240" spans="1:4" x14ac:dyDescent="0.3">
      <c r="A240">
        <v>87500</v>
      </c>
      <c r="B240" s="29">
        <f t="shared" si="14"/>
        <v>590605441.66260397</v>
      </c>
      <c r="C240" s="39">
        <f t="shared" si="15"/>
        <v>665000000</v>
      </c>
      <c r="D240" s="76">
        <f t="shared" si="16"/>
        <v>74394558.337396026</v>
      </c>
    </row>
    <row r="241" spans="1:4" x14ac:dyDescent="0.3">
      <c r="A241">
        <v>88000</v>
      </c>
      <c r="B241" s="29">
        <f t="shared" si="14"/>
        <v>593799949.35326397</v>
      </c>
      <c r="C241" s="39">
        <f t="shared" si="15"/>
        <v>668800000</v>
      </c>
      <c r="D241" s="76">
        <f t="shared" si="16"/>
        <v>75000050.646736026</v>
      </c>
    </row>
    <row r="242" spans="1:4" x14ac:dyDescent="0.3">
      <c r="A242">
        <v>88500</v>
      </c>
      <c r="B242" s="29">
        <f t="shared" si="14"/>
        <v>596994457.04392397</v>
      </c>
      <c r="C242" s="39">
        <f t="shared" si="15"/>
        <v>672600000</v>
      </c>
      <c r="D242" s="76">
        <f t="shared" si="16"/>
        <v>75605542.956076026</v>
      </c>
    </row>
    <row r="243" spans="1:4" x14ac:dyDescent="0.3">
      <c r="A243">
        <v>89000</v>
      </c>
      <c r="B243" s="29">
        <f t="shared" si="14"/>
        <v>600188964.73458397</v>
      </c>
      <c r="C243" s="39">
        <f t="shared" si="15"/>
        <v>676400000</v>
      </c>
      <c r="D243" s="76">
        <f t="shared" si="16"/>
        <v>76211035.265416026</v>
      </c>
    </row>
    <row r="244" spans="1:4" x14ac:dyDescent="0.3">
      <c r="A244">
        <v>89500</v>
      </c>
      <c r="B244" s="29">
        <f t="shared" si="14"/>
        <v>603383472.42524397</v>
      </c>
      <c r="C244" s="39">
        <f t="shared" si="15"/>
        <v>680200000</v>
      </c>
      <c r="D244" s="76">
        <f t="shared" si="16"/>
        <v>76816527.574756026</v>
      </c>
    </row>
    <row r="245" spans="1:4" x14ac:dyDescent="0.3">
      <c r="A245">
        <v>90000</v>
      </c>
      <c r="B245" s="29">
        <f t="shared" si="14"/>
        <v>606577980.11590397</v>
      </c>
      <c r="C245" s="39">
        <f t="shared" si="15"/>
        <v>684000000</v>
      </c>
      <c r="D245" s="76">
        <f t="shared" si="16"/>
        <v>77422019.884096026</v>
      </c>
    </row>
    <row r="246" spans="1:4" x14ac:dyDescent="0.3">
      <c r="A246">
        <v>90500</v>
      </c>
      <c r="B246" s="29">
        <f t="shared" si="14"/>
        <v>609772487.80656397</v>
      </c>
      <c r="C246" s="39">
        <f t="shared" si="15"/>
        <v>687800000</v>
      </c>
      <c r="D246" s="76">
        <f t="shared" si="16"/>
        <v>78027512.193436027</v>
      </c>
    </row>
    <row r="247" spans="1:4" x14ac:dyDescent="0.3">
      <c r="A247">
        <v>91000</v>
      </c>
      <c r="B247" s="29">
        <f t="shared" si="14"/>
        <v>612966995.49722397</v>
      </c>
      <c r="C247" s="39">
        <f t="shared" si="15"/>
        <v>691600000</v>
      </c>
      <c r="D247" s="76">
        <f t="shared" si="16"/>
        <v>78633004.502776027</v>
      </c>
    </row>
    <row r="248" spans="1:4" x14ac:dyDescent="0.3">
      <c r="A248">
        <v>91500</v>
      </c>
      <c r="B248" s="29">
        <f t="shared" si="14"/>
        <v>616161503.18788397</v>
      </c>
      <c r="C248" s="39">
        <f t="shared" si="15"/>
        <v>695400000</v>
      </c>
      <c r="D248" s="76">
        <f t="shared" si="16"/>
        <v>79238496.812116027</v>
      </c>
    </row>
    <row r="249" spans="1:4" x14ac:dyDescent="0.3">
      <c r="A249">
        <v>92000</v>
      </c>
      <c r="B249" s="29">
        <f t="shared" si="14"/>
        <v>619356010.87854397</v>
      </c>
      <c r="C249" s="39">
        <f t="shared" si="15"/>
        <v>699200000</v>
      </c>
      <c r="D249" s="76">
        <f t="shared" si="16"/>
        <v>79843989.121456027</v>
      </c>
    </row>
    <row r="250" spans="1:4" x14ac:dyDescent="0.3">
      <c r="A250">
        <v>92500</v>
      </c>
      <c r="B250" s="29">
        <f t="shared" si="14"/>
        <v>622550518.56920397</v>
      </c>
      <c r="C250" s="39">
        <f t="shared" si="15"/>
        <v>703000000</v>
      </c>
      <c r="D250" s="76">
        <f t="shared" si="16"/>
        <v>80449481.430796027</v>
      </c>
    </row>
    <row r="251" spans="1:4" x14ac:dyDescent="0.3">
      <c r="A251">
        <v>93000</v>
      </c>
      <c r="B251" s="29">
        <f t="shared" si="14"/>
        <v>625745026.25986397</v>
      </c>
      <c r="C251" s="39">
        <f t="shared" si="15"/>
        <v>706800000</v>
      </c>
      <c r="D251" s="76">
        <f t="shared" si="16"/>
        <v>81054973.740136027</v>
      </c>
    </row>
    <row r="252" spans="1:4" x14ac:dyDescent="0.3">
      <c r="A252">
        <v>93500</v>
      </c>
      <c r="B252" s="29">
        <f t="shared" si="14"/>
        <v>628939533.95052397</v>
      </c>
      <c r="C252" s="39">
        <f t="shared" si="15"/>
        <v>710600000</v>
      </c>
      <c r="D252" s="76">
        <f t="shared" si="16"/>
        <v>81660466.049476027</v>
      </c>
    </row>
    <row r="253" spans="1:4" x14ac:dyDescent="0.3">
      <c r="A253">
        <v>94000</v>
      </c>
      <c r="B253" s="29">
        <f t="shared" si="14"/>
        <v>632134041.64118397</v>
      </c>
      <c r="C253" s="39">
        <f t="shared" si="15"/>
        <v>714400000</v>
      </c>
      <c r="D253" s="76">
        <f t="shared" si="16"/>
        <v>82265958.358816028</v>
      </c>
    </row>
    <row r="254" spans="1:4" x14ac:dyDescent="0.3">
      <c r="A254">
        <v>94500</v>
      </c>
      <c r="B254" s="29">
        <f t="shared" si="14"/>
        <v>635328549.33184397</v>
      </c>
      <c r="C254" s="39">
        <f t="shared" si="15"/>
        <v>718200000</v>
      </c>
      <c r="D254" s="76">
        <f t="shared" si="16"/>
        <v>82871450.668156028</v>
      </c>
    </row>
    <row r="255" spans="1:4" x14ac:dyDescent="0.3">
      <c r="A255">
        <v>95000</v>
      </c>
      <c r="B255" s="29">
        <f t="shared" si="14"/>
        <v>638523057.02250397</v>
      </c>
      <c r="C255" s="39">
        <f t="shared" si="15"/>
        <v>722000000</v>
      </c>
      <c r="D255" s="76">
        <f t="shared" si="16"/>
        <v>83476942.977496028</v>
      </c>
    </row>
    <row r="256" spans="1:4" x14ac:dyDescent="0.3">
      <c r="A256">
        <v>95500</v>
      </c>
      <c r="B256" s="29">
        <f t="shared" si="14"/>
        <v>641717564.71316397</v>
      </c>
      <c r="C256" s="39">
        <f t="shared" si="15"/>
        <v>725800000</v>
      </c>
      <c r="D256" s="76">
        <f t="shared" si="16"/>
        <v>84082435.286836028</v>
      </c>
    </row>
    <row r="257" spans="1:4" x14ac:dyDescent="0.3">
      <c r="A257">
        <v>96000</v>
      </c>
      <c r="B257" s="29">
        <f t="shared" si="14"/>
        <v>644912072.40382397</v>
      </c>
      <c r="C257" s="39">
        <f t="shared" si="15"/>
        <v>729600000</v>
      </c>
      <c r="D257" s="76">
        <f t="shared" si="16"/>
        <v>84687927.596176028</v>
      </c>
    </row>
    <row r="258" spans="1:4" x14ac:dyDescent="0.3">
      <c r="A258">
        <v>96500</v>
      </c>
      <c r="B258" s="29">
        <f t="shared" ref="B258:B321" si="17">$B$54+($B$60*A258)</f>
        <v>648106580.09448397</v>
      </c>
      <c r="C258" s="39">
        <f t="shared" ref="C258:C321" si="18">$E$50*A258</f>
        <v>733400000</v>
      </c>
      <c r="D258" s="76">
        <f t="shared" ref="D258:D321" si="19">C258-B258</f>
        <v>85293419.905516028</v>
      </c>
    </row>
    <row r="259" spans="1:4" x14ac:dyDescent="0.3">
      <c r="A259">
        <v>97000</v>
      </c>
      <c r="B259" s="29">
        <f t="shared" si="17"/>
        <v>651301087.78514397</v>
      </c>
      <c r="C259" s="39">
        <f t="shared" si="18"/>
        <v>737200000</v>
      </c>
      <c r="D259" s="76">
        <f t="shared" si="19"/>
        <v>85898912.214856029</v>
      </c>
    </row>
    <row r="260" spans="1:4" x14ac:dyDescent="0.3">
      <c r="A260">
        <v>97500</v>
      </c>
      <c r="B260" s="29">
        <f t="shared" si="17"/>
        <v>654495595.47580397</v>
      </c>
      <c r="C260" s="39">
        <f t="shared" si="18"/>
        <v>741000000</v>
      </c>
      <c r="D260" s="76">
        <f t="shared" si="19"/>
        <v>86504404.524196029</v>
      </c>
    </row>
    <row r="261" spans="1:4" x14ac:dyDescent="0.3">
      <c r="A261">
        <v>98000</v>
      </c>
      <c r="B261" s="29">
        <f t="shared" si="17"/>
        <v>657690103.16646397</v>
      </c>
      <c r="C261" s="39">
        <f t="shared" si="18"/>
        <v>744800000</v>
      </c>
      <c r="D261" s="76">
        <f t="shared" si="19"/>
        <v>87109896.833536029</v>
      </c>
    </row>
    <row r="262" spans="1:4" x14ac:dyDescent="0.3">
      <c r="A262">
        <v>98500</v>
      </c>
      <c r="B262" s="29">
        <f t="shared" si="17"/>
        <v>660884610.85712397</v>
      </c>
      <c r="C262" s="39">
        <f t="shared" si="18"/>
        <v>748600000</v>
      </c>
      <c r="D262" s="76">
        <f t="shared" si="19"/>
        <v>87715389.142876029</v>
      </c>
    </row>
    <row r="263" spans="1:4" x14ac:dyDescent="0.3">
      <c r="A263">
        <v>99000</v>
      </c>
      <c r="B263" s="29">
        <f t="shared" si="17"/>
        <v>664079118.54778397</v>
      </c>
      <c r="C263" s="39">
        <f t="shared" si="18"/>
        <v>752400000</v>
      </c>
      <c r="D263" s="76">
        <f t="shared" si="19"/>
        <v>88320881.452216029</v>
      </c>
    </row>
    <row r="264" spans="1:4" x14ac:dyDescent="0.3">
      <c r="A264">
        <v>99500</v>
      </c>
      <c r="B264" s="29">
        <f t="shared" si="17"/>
        <v>667273626.23844397</v>
      </c>
      <c r="C264" s="39">
        <f t="shared" si="18"/>
        <v>756200000</v>
      </c>
      <c r="D264" s="76">
        <f t="shared" si="19"/>
        <v>88926373.761556029</v>
      </c>
    </row>
    <row r="265" spans="1:4" x14ac:dyDescent="0.3">
      <c r="A265">
        <v>100000</v>
      </c>
      <c r="B265" s="29">
        <f t="shared" si="17"/>
        <v>670468133.92910397</v>
      </c>
      <c r="C265" s="39">
        <f t="shared" si="18"/>
        <v>760000000</v>
      </c>
      <c r="D265" s="76">
        <f t="shared" si="19"/>
        <v>89531866.070896029</v>
      </c>
    </row>
    <row r="266" spans="1:4" x14ac:dyDescent="0.3">
      <c r="A266">
        <v>100500</v>
      </c>
      <c r="B266" s="29">
        <f t="shared" si="17"/>
        <v>673662641.61976397</v>
      </c>
      <c r="C266" s="39">
        <f t="shared" si="18"/>
        <v>763800000</v>
      </c>
      <c r="D266" s="76">
        <f t="shared" si="19"/>
        <v>90137358.38023603</v>
      </c>
    </row>
    <row r="267" spans="1:4" x14ac:dyDescent="0.3">
      <c r="A267">
        <v>101000</v>
      </c>
      <c r="B267" s="29">
        <f t="shared" si="17"/>
        <v>676857149.31042397</v>
      </c>
      <c r="C267" s="39">
        <f t="shared" si="18"/>
        <v>767600000</v>
      </c>
      <c r="D267" s="76">
        <f t="shared" si="19"/>
        <v>90742850.68957603</v>
      </c>
    </row>
    <row r="268" spans="1:4" x14ac:dyDescent="0.3">
      <c r="A268">
        <v>101500</v>
      </c>
      <c r="B268" s="29">
        <f t="shared" si="17"/>
        <v>680051657.00108397</v>
      </c>
      <c r="C268" s="39">
        <f t="shared" si="18"/>
        <v>771400000</v>
      </c>
      <c r="D268" s="76">
        <f t="shared" si="19"/>
        <v>91348342.99891603</v>
      </c>
    </row>
    <row r="269" spans="1:4" x14ac:dyDescent="0.3">
      <c r="A269">
        <v>102000</v>
      </c>
      <c r="B269" s="29">
        <f t="shared" si="17"/>
        <v>683246164.69174397</v>
      </c>
      <c r="C269" s="39">
        <f t="shared" si="18"/>
        <v>775200000</v>
      </c>
      <c r="D269" s="76">
        <f t="shared" si="19"/>
        <v>91953835.30825603</v>
      </c>
    </row>
    <row r="270" spans="1:4" x14ac:dyDescent="0.3">
      <c r="A270">
        <v>102500</v>
      </c>
      <c r="B270" s="29">
        <f t="shared" si="17"/>
        <v>686440672.38240397</v>
      </c>
      <c r="C270" s="39">
        <f t="shared" si="18"/>
        <v>779000000</v>
      </c>
      <c r="D270" s="76">
        <f t="shared" si="19"/>
        <v>92559327.61759603</v>
      </c>
    </row>
    <row r="271" spans="1:4" x14ac:dyDescent="0.3">
      <c r="A271">
        <v>103000</v>
      </c>
      <c r="B271" s="29">
        <f t="shared" si="17"/>
        <v>689635180.07306397</v>
      </c>
      <c r="C271" s="39">
        <f t="shared" si="18"/>
        <v>782800000</v>
      </c>
      <c r="D271" s="76">
        <f t="shared" si="19"/>
        <v>93164819.92693603</v>
      </c>
    </row>
    <row r="272" spans="1:4" x14ac:dyDescent="0.3">
      <c r="A272">
        <v>103500</v>
      </c>
      <c r="B272" s="29">
        <f t="shared" si="17"/>
        <v>692829687.76372397</v>
      </c>
      <c r="C272" s="39">
        <f t="shared" si="18"/>
        <v>786600000</v>
      </c>
      <c r="D272" s="76">
        <f t="shared" si="19"/>
        <v>93770312.236276031</v>
      </c>
    </row>
    <row r="273" spans="1:4" x14ac:dyDescent="0.3">
      <c r="A273">
        <v>104000</v>
      </c>
      <c r="B273" s="29">
        <f t="shared" si="17"/>
        <v>696024195.45438397</v>
      </c>
      <c r="C273" s="39">
        <f t="shared" si="18"/>
        <v>790400000</v>
      </c>
      <c r="D273" s="76">
        <f t="shared" si="19"/>
        <v>94375804.545616031</v>
      </c>
    </row>
    <row r="274" spans="1:4" x14ac:dyDescent="0.3">
      <c r="A274">
        <v>104500</v>
      </c>
      <c r="B274" s="29">
        <f t="shared" si="17"/>
        <v>699218703.14504397</v>
      </c>
      <c r="C274" s="39">
        <f t="shared" si="18"/>
        <v>794200000</v>
      </c>
      <c r="D274" s="76">
        <f t="shared" si="19"/>
        <v>94981296.854956031</v>
      </c>
    </row>
    <row r="275" spans="1:4" x14ac:dyDescent="0.3">
      <c r="A275">
        <v>105000</v>
      </c>
      <c r="B275" s="29">
        <f t="shared" si="17"/>
        <v>702413210.83570397</v>
      </c>
      <c r="C275" s="39">
        <f t="shared" si="18"/>
        <v>798000000</v>
      </c>
      <c r="D275" s="76">
        <f t="shared" si="19"/>
        <v>95586789.164296031</v>
      </c>
    </row>
    <row r="276" spans="1:4" x14ac:dyDescent="0.3">
      <c r="A276">
        <v>105500</v>
      </c>
      <c r="B276" s="29">
        <f t="shared" si="17"/>
        <v>705607718.52636397</v>
      </c>
      <c r="C276" s="39">
        <f t="shared" si="18"/>
        <v>801800000</v>
      </c>
      <c r="D276" s="76">
        <f t="shared" si="19"/>
        <v>96192281.473636031</v>
      </c>
    </row>
    <row r="277" spans="1:4" x14ac:dyDescent="0.3">
      <c r="A277">
        <v>106000</v>
      </c>
      <c r="B277" s="29">
        <f t="shared" si="17"/>
        <v>708802226.21702397</v>
      </c>
      <c r="C277" s="39">
        <f t="shared" si="18"/>
        <v>805600000</v>
      </c>
      <c r="D277" s="76">
        <f t="shared" si="19"/>
        <v>96797773.782976031</v>
      </c>
    </row>
    <row r="278" spans="1:4" x14ac:dyDescent="0.3">
      <c r="A278">
        <v>106500</v>
      </c>
      <c r="B278" s="29">
        <f t="shared" si="17"/>
        <v>711996733.90768397</v>
      </c>
      <c r="C278" s="39">
        <f t="shared" si="18"/>
        <v>809400000</v>
      </c>
      <c r="D278" s="76">
        <f t="shared" si="19"/>
        <v>97403266.092316031</v>
      </c>
    </row>
    <row r="279" spans="1:4" x14ac:dyDescent="0.3">
      <c r="A279">
        <v>107000</v>
      </c>
      <c r="B279" s="29">
        <f t="shared" si="17"/>
        <v>715191241.59834397</v>
      </c>
      <c r="C279" s="39">
        <f t="shared" si="18"/>
        <v>813200000</v>
      </c>
      <c r="D279" s="76">
        <f t="shared" si="19"/>
        <v>98008758.401656032</v>
      </c>
    </row>
    <row r="280" spans="1:4" x14ac:dyDescent="0.3">
      <c r="A280">
        <v>107500</v>
      </c>
      <c r="B280" s="29">
        <f t="shared" si="17"/>
        <v>718385749.28900397</v>
      </c>
      <c r="C280" s="39">
        <f t="shared" si="18"/>
        <v>817000000</v>
      </c>
      <c r="D280" s="76">
        <f t="shared" si="19"/>
        <v>98614250.710996032</v>
      </c>
    </row>
    <row r="281" spans="1:4" x14ac:dyDescent="0.3">
      <c r="A281">
        <v>108000</v>
      </c>
      <c r="B281" s="29">
        <f t="shared" si="17"/>
        <v>721580256.97966397</v>
      </c>
      <c r="C281" s="39">
        <f t="shared" si="18"/>
        <v>820800000</v>
      </c>
      <c r="D281" s="76">
        <f t="shared" si="19"/>
        <v>99219743.020336032</v>
      </c>
    </row>
    <row r="282" spans="1:4" x14ac:dyDescent="0.3">
      <c r="A282">
        <v>108500</v>
      </c>
      <c r="B282" s="29">
        <f t="shared" si="17"/>
        <v>724774764.67032397</v>
      </c>
      <c r="C282" s="39">
        <f t="shared" si="18"/>
        <v>824600000</v>
      </c>
      <c r="D282" s="76">
        <f t="shared" si="19"/>
        <v>99825235.329676032</v>
      </c>
    </row>
    <row r="283" spans="1:4" x14ac:dyDescent="0.3">
      <c r="A283">
        <v>109000</v>
      </c>
      <c r="B283" s="29">
        <f t="shared" si="17"/>
        <v>727969272.36098397</v>
      </c>
      <c r="C283" s="39">
        <f t="shared" si="18"/>
        <v>828400000</v>
      </c>
      <c r="D283" s="76">
        <f t="shared" si="19"/>
        <v>100430727.63901603</v>
      </c>
    </row>
    <row r="284" spans="1:4" x14ac:dyDescent="0.3">
      <c r="A284">
        <v>109500</v>
      </c>
      <c r="B284" s="29">
        <f t="shared" si="17"/>
        <v>731163780.05164397</v>
      </c>
      <c r="C284" s="39">
        <f t="shared" si="18"/>
        <v>832200000</v>
      </c>
      <c r="D284" s="76">
        <f t="shared" si="19"/>
        <v>101036219.94835603</v>
      </c>
    </row>
    <row r="285" spans="1:4" x14ac:dyDescent="0.3">
      <c r="A285">
        <v>110000</v>
      </c>
      <c r="B285" s="29">
        <f t="shared" si="17"/>
        <v>734358287.74230397</v>
      </c>
      <c r="C285" s="39">
        <f t="shared" si="18"/>
        <v>836000000</v>
      </c>
      <c r="D285" s="76">
        <f t="shared" si="19"/>
        <v>101641712.25769603</v>
      </c>
    </row>
    <row r="286" spans="1:4" x14ac:dyDescent="0.3">
      <c r="A286">
        <v>110500</v>
      </c>
      <c r="B286" s="29">
        <f t="shared" si="17"/>
        <v>737552795.43296397</v>
      </c>
      <c r="C286" s="39">
        <f t="shared" si="18"/>
        <v>839800000</v>
      </c>
      <c r="D286" s="76">
        <f t="shared" si="19"/>
        <v>102247204.56703603</v>
      </c>
    </row>
    <row r="287" spans="1:4" x14ac:dyDescent="0.3">
      <c r="A287">
        <v>111000</v>
      </c>
      <c r="B287" s="29">
        <f t="shared" si="17"/>
        <v>740747303.12362397</v>
      </c>
      <c r="C287" s="39">
        <f t="shared" si="18"/>
        <v>843600000</v>
      </c>
      <c r="D287" s="76">
        <f t="shared" si="19"/>
        <v>102852696.87637603</v>
      </c>
    </row>
    <row r="288" spans="1:4" x14ac:dyDescent="0.3">
      <c r="A288">
        <v>111500</v>
      </c>
      <c r="B288" s="29">
        <f t="shared" si="17"/>
        <v>743941810.81428397</v>
      </c>
      <c r="C288" s="39">
        <f t="shared" si="18"/>
        <v>847400000</v>
      </c>
      <c r="D288" s="76">
        <f t="shared" si="19"/>
        <v>103458189.18571603</v>
      </c>
    </row>
    <row r="289" spans="1:4" x14ac:dyDescent="0.3">
      <c r="A289">
        <v>112000</v>
      </c>
      <c r="B289" s="29">
        <f t="shared" si="17"/>
        <v>747136318.50494397</v>
      </c>
      <c r="C289" s="39">
        <f t="shared" si="18"/>
        <v>851200000</v>
      </c>
      <c r="D289" s="76">
        <f t="shared" si="19"/>
        <v>104063681.49505603</v>
      </c>
    </row>
    <row r="290" spans="1:4" x14ac:dyDescent="0.3">
      <c r="A290">
        <v>112500</v>
      </c>
      <c r="B290" s="29">
        <f t="shared" si="17"/>
        <v>750330826.19560397</v>
      </c>
      <c r="C290" s="39">
        <f t="shared" si="18"/>
        <v>855000000</v>
      </c>
      <c r="D290" s="76">
        <f t="shared" si="19"/>
        <v>104669173.80439603</v>
      </c>
    </row>
    <row r="291" spans="1:4" x14ac:dyDescent="0.3">
      <c r="A291">
        <v>113000</v>
      </c>
      <c r="B291" s="29">
        <f t="shared" si="17"/>
        <v>753525333.88626397</v>
      </c>
      <c r="C291" s="39">
        <f t="shared" si="18"/>
        <v>858800000</v>
      </c>
      <c r="D291" s="76">
        <f t="shared" si="19"/>
        <v>105274666.11373603</v>
      </c>
    </row>
    <row r="292" spans="1:4" x14ac:dyDescent="0.3">
      <c r="A292">
        <v>113500</v>
      </c>
      <c r="B292" s="29">
        <f t="shared" si="17"/>
        <v>756719841.57692397</v>
      </c>
      <c r="C292" s="39">
        <f t="shared" si="18"/>
        <v>862600000</v>
      </c>
      <c r="D292" s="76">
        <f t="shared" si="19"/>
        <v>105880158.42307603</v>
      </c>
    </row>
    <row r="293" spans="1:4" x14ac:dyDescent="0.3">
      <c r="A293">
        <v>114000</v>
      </c>
      <c r="B293" s="29">
        <f t="shared" si="17"/>
        <v>759914349.26758397</v>
      </c>
      <c r="C293" s="39">
        <f t="shared" si="18"/>
        <v>866400000</v>
      </c>
      <c r="D293" s="76">
        <f t="shared" si="19"/>
        <v>106485650.73241603</v>
      </c>
    </row>
    <row r="294" spans="1:4" x14ac:dyDescent="0.3">
      <c r="A294">
        <v>114500</v>
      </c>
      <c r="B294" s="29">
        <f t="shared" si="17"/>
        <v>763108856.95824397</v>
      </c>
      <c r="C294" s="39">
        <f t="shared" si="18"/>
        <v>870200000</v>
      </c>
      <c r="D294" s="76">
        <f t="shared" si="19"/>
        <v>107091143.04175603</v>
      </c>
    </row>
    <row r="295" spans="1:4" x14ac:dyDescent="0.3">
      <c r="A295">
        <v>115000</v>
      </c>
      <c r="B295" s="29">
        <f t="shared" si="17"/>
        <v>766303364.64890397</v>
      </c>
      <c r="C295" s="39">
        <f t="shared" si="18"/>
        <v>874000000</v>
      </c>
      <c r="D295" s="76">
        <f t="shared" si="19"/>
        <v>107696635.35109603</v>
      </c>
    </row>
    <row r="296" spans="1:4" x14ac:dyDescent="0.3">
      <c r="A296">
        <v>115500</v>
      </c>
      <c r="B296" s="29">
        <f t="shared" si="17"/>
        <v>769497872.33956397</v>
      </c>
      <c r="C296" s="39">
        <f t="shared" si="18"/>
        <v>877800000</v>
      </c>
      <c r="D296" s="76">
        <f t="shared" si="19"/>
        <v>108302127.66043603</v>
      </c>
    </row>
    <row r="297" spans="1:4" x14ac:dyDescent="0.3">
      <c r="A297">
        <v>116000</v>
      </c>
      <c r="B297" s="29">
        <f t="shared" si="17"/>
        <v>772692380.03022397</v>
      </c>
      <c r="C297" s="39">
        <f t="shared" si="18"/>
        <v>881600000</v>
      </c>
      <c r="D297" s="76">
        <f t="shared" si="19"/>
        <v>108907619.96977603</v>
      </c>
    </row>
    <row r="298" spans="1:4" x14ac:dyDescent="0.3">
      <c r="A298">
        <v>116500</v>
      </c>
      <c r="B298" s="29">
        <f t="shared" si="17"/>
        <v>775886887.72088397</v>
      </c>
      <c r="C298" s="39">
        <f t="shared" si="18"/>
        <v>885400000</v>
      </c>
      <c r="D298" s="76">
        <f t="shared" si="19"/>
        <v>109513112.27911603</v>
      </c>
    </row>
    <row r="299" spans="1:4" x14ac:dyDescent="0.3">
      <c r="A299">
        <v>117000</v>
      </c>
      <c r="B299" s="29">
        <f t="shared" si="17"/>
        <v>779081395.41154397</v>
      </c>
      <c r="C299" s="39">
        <f t="shared" si="18"/>
        <v>889200000</v>
      </c>
      <c r="D299" s="76">
        <f t="shared" si="19"/>
        <v>110118604.58845603</v>
      </c>
    </row>
    <row r="300" spans="1:4" x14ac:dyDescent="0.3">
      <c r="A300">
        <v>117500</v>
      </c>
      <c r="B300" s="29">
        <f t="shared" si="17"/>
        <v>782275903.10220397</v>
      </c>
      <c r="C300" s="39">
        <f t="shared" si="18"/>
        <v>893000000</v>
      </c>
      <c r="D300" s="76">
        <f t="shared" si="19"/>
        <v>110724096.89779603</v>
      </c>
    </row>
    <row r="301" spans="1:4" x14ac:dyDescent="0.3">
      <c r="A301">
        <v>118000</v>
      </c>
      <c r="B301" s="29">
        <f t="shared" si="17"/>
        <v>785470410.79286397</v>
      </c>
      <c r="C301" s="39">
        <f t="shared" si="18"/>
        <v>896800000</v>
      </c>
      <c r="D301" s="76">
        <f t="shared" si="19"/>
        <v>111329589.20713603</v>
      </c>
    </row>
    <row r="302" spans="1:4" x14ac:dyDescent="0.3">
      <c r="A302">
        <v>118500</v>
      </c>
      <c r="B302" s="29">
        <f t="shared" si="17"/>
        <v>788664918.48352396</v>
      </c>
      <c r="C302" s="39">
        <f t="shared" si="18"/>
        <v>900600000</v>
      </c>
      <c r="D302" s="76">
        <f t="shared" si="19"/>
        <v>111935081.51647604</v>
      </c>
    </row>
    <row r="303" spans="1:4" x14ac:dyDescent="0.3">
      <c r="A303">
        <v>119000</v>
      </c>
      <c r="B303" s="29">
        <f t="shared" si="17"/>
        <v>791859426.17418396</v>
      </c>
      <c r="C303" s="39">
        <f t="shared" si="18"/>
        <v>904400000</v>
      </c>
      <c r="D303" s="76">
        <f t="shared" si="19"/>
        <v>112540573.82581604</v>
      </c>
    </row>
    <row r="304" spans="1:4" x14ac:dyDescent="0.3">
      <c r="A304">
        <v>119500</v>
      </c>
      <c r="B304" s="29">
        <f t="shared" si="17"/>
        <v>795053933.86484396</v>
      </c>
      <c r="C304" s="39">
        <f t="shared" si="18"/>
        <v>908200000</v>
      </c>
      <c r="D304" s="76">
        <f t="shared" si="19"/>
        <v>113146066.13515604</v>
      </c>
    </row>
    <row r="305" spans="1:4" x14ac:dyDescent="0.3">
      <c r="A305">
        <v>120000</v>
      </c>
      <c r="B305" s="29">
        <f t="shared" si="17"/>
        <v>798248441.55550396</v>
      </c>
      <c r="C305" s="39">
        <f t="shared" si="18"/>
        <v>912000000</v>
      </c>
      <c r="D305" s="76">
        <f t="shared" si="19"/>
        <v>113751558.44449604</v>
      </c>
    </row>
    <row r="306" spans="1:4" x14ac:dyDescent="0.3">
      <c r="A306">
        <v>120500</v>
      </c>
      <c r="B306" s="29">
        <f t="shared" si="17"/>
        <v>801442949.24616396</v>
      </c>
      <c r="C306" s="39">
        <f t="shared" si="18"/>
        <v>915800000</v>
      </c>
      <c r="D306" s="76">
        <f t="shared" si="19"/>
        <v>114357050.75383604</v>
      </c>
    </row>
    <row r="307" spans="1:4" x14ac:dyDescent="0.3">
      <c r="A307">
        <v>121000</v>
      </c>
      <c r="B307" s="29">
        <f t="shared" si="17"/>
        <v>804637456.93682396</v>
      </c>
      <c r="C307" s="39">
        <f t="shared" si="18"/>
        <v>919600000</v>
      </c>
      <c r="D307" s="76">
        <f t="shared" si="19"/>
        <v>114962543.06317604</v>
      </c>
    </row>
    <row r="308" spans="1:4" x14ac:dyDescent="0.3">
      <c r="A308">
        <v>121500</v>
      </c>
      <c r="B308" s="29">
        <f t="shared" si="17"/>
        <v>807831964.62748396</v>
      </c>
      <c r="C308" s="39">
        <f t="shared" si="18"/>
        <v>923400000</v>
      </c>
      <c r="D308" s="76">
        <f t="shared" si="19"/>
        <v>115568035.37251604</v>
      </c>
    </row>
    <row r="309" spans="1:4" x14ac:dyDescent="0.3">
      <c r="A309">
        <v>122000</v>
      </c>
      <c r="B309" s="29">
        <f t="shared" si="17"/>
        <v>811026472.31814396</v>
      </c>
      <c r="C309" s="39">
        <f t="shared" si="18"/>
        <v>927200000</v>
      </c>
      <c r="D309" s="76">
        <f t="shared" si="19"/>
        <v>116173527.68185604</v>
      </c>
    </row>
    <row r="310" spans="1:4" x14ac:dyDescent="0.3">
      <c r="A310">
        <v>122500</v>
      </c>
      <c r="B310" s="29">
        <f t="shared" si="17"/>
        <v>814220980.00880396</v>
      </c>
      <c r="C310" s="39">
        <f t="shared" si="18"/>
        <v>931000000</v>
      </c>
      <c r="D310" s="76">
        <f t="shared" si="19"/>
        <v>116779019.99119604</v>
      </c>
    </row>
    <row r="311" spans="1:4" x14ac:dyDescent="0.3">
      <c r="A311">
        <v>123000</v>
      </c>
      <c r="B311" s="29">
        <f t="shared" si="17"/>
        <v>817415487.69946396</v>
      </c>
      <c r="C311" s="39">
        <f t="shared" si="18"/>
        <v>934800000</v>
      </c>
      <c r="D311" s="76">
        <f t="shared" si="19"/>
        <v>117384512.30053604</v>
      </c>
    </row>
    <row r="312" spans="1:4" x14ac:dyDescent="0.3">
      <c r="A312">
        <v>123500</v>
      </c>
      <c r="B312" s="29">
        <f t="shared" si="17"/>
        <v>820609995.39012396</v>
      </c>
      <c r="C312" s="39">
        <f t="shared" si="18"/>
        <v>938600000</v>
      </c>
      <c r="D312" s="76">
        <f t="shared" si="19"/>
        <v>117990004.60987604</v>
      </c>
    </row>
    <row r="313" spans="1:4" x14ac:dyDescent="0.3">
      <c r="A313">
        <v>124000</v>
      </c>
      <c r="B313" s="29">
        <f t="shared" si="17"/>
        <v>823804503.08078396</v>
      </c>
      <c r="C313" s="39">
        <f t="shared" si="18"/>
        <v>942400000</v>
      </c>
      <c r="D313" s="76">
        <f t="shared" si="19"/>
        <v>118595496.91921604</v>
      </c>
    </row>
    <row r="314" spans="1:4" x14ac:dyDescent="0.3">
      <c r="A314">
        <v>124500</v>
      </c>
      <c r="B314" s="29">
        <f t="shared" si="17"/>
        <v>826999010.77144396</v>
      </c>
      <c r="C314" s="39">
        <f t="shared" si="18"/>
        <v>946200000</v>
      </c>
      <c r="D314" s="76">
        <f t="shared" si="19"/>
        <v>119200989.22855604</v>
      </c>
    </row>
    <row r="315" spans="1:4" x14ac:dyDescent="0.3">
      <c r="A315">
        <v>125000</v>
      </c>
      <c r="B315" s="29">
        <f t="shared" si="17"/>
        <v>830193518.46210396</v>
      </c>
      <c r="C315" s="39">
        <f t="shared" si="18"/>
        <v>950000000</v>
      </c>
      <c r="D315" s="76">
        <f t="shared" si="19"/>
        <v>119806481.53789604</v>
      </c>
    </row>
    <row r="316" spans="1:4" x14ac:dyDescent="0.3">
      <c r="A316">
        <v>125500</v>
      </c>
      <c r="B316" s="29">
        <f t="shared" si="17"/>
        <v>833388026.15276396</v>
      </c>
      <c r="C316" s="39">
        <f t="shared" si="18"/>
        <v>953800000</v>
      </c>
      <c r="D316" s="76">
        <f t="shared" si="19"/>
        <v>120411973.84723604</v>
      </c>
    </row>
    <row r="317" spans="1:4" x14ac:dyDescent="0.3">
      <c r="A317">
        <v>126000</v>
      </c>
      <c r="B317" s="29">
        <f t="shared" si="17"/>
        <v>836582533.84342396</v>
      </c>
      <c r="C317" s="39">
        <f t="shared" si="18"/>
        <v>957600000</v>
      </c>
      <c r="D317" s="76">
        <f t="shared" si="19"/>
        <v>121017466.15657604</v>
      </c>
    </row>
    <row r="318" spans="1:4" x14ac:dyDescent="0.3">
      <c r="A318">
        <v>126500</v>
      </c>
      <c r="B318" s="29">
        <f t="shared" si="17"/>
        <v>839777041.53408396</v>
      </c>
      <c r="C318" s="39">
        <f t="shared" si="18"/>
        <v>961400000</v>
      </c>
      <c r="D318" s="76">
        <f t="shared" si="19"/>
        <v>121622958.46591604</v>
      </c>
    </row>
    <row r="319" spans="1:4" x14ac:dyDescent="0.3">
      <c r="A319">
        <v>127000</v>
      </c>
      <c r="B319" s="29">
        <f t="shared" si="17"/>
        <v>842971549.22474396</v>
      </c>
      <c r="C319" s="39">
        <f t="shared" si="18"/>
        <v>965200000</v>
      </c>
      <c r="D319" s="76">
        <f t="shared" si="19"/>
        <v>122228450.77525604</v>
      </c>
    </row>
    <row r="320" spans="1:4" x14ac:dyDescent="0.3">
      <c r="A320">
        <v>127500</v>
      </c>
      <c r="B320" s="29">
        <f t="shared" si="17"/>
        <v>846166056.91540396</v>
      </c>
      <c r="C320" s="39">
        <f t="shared" si="18"/>
        <v>969000000</v>
      </c>
      <c r="D320" s="76">
        <f t="shared" si="19"/>
        <v>122833943.08459604</v>
      </c>
    </row>
    <row r="321" spans="1:4" x14ac:dyDescent="0.3">
      <c r="A321">
        <v>128000</v>
      </c>
      <c r="B321" s="29">
        <f t="shared" si="17"/>
        <v>849360564.60606396</v>
      </c>
      <c r="C321" s="39">
        <f t="shared" si="18"/>
        <v>972800000</v>
      </c>
      <c r="D321" s="76">
        <f t="shared" si="19"/>
        <v>123439435.39393604</v>
      </c>
    </row>
    <row r="322" spans="1:4" x14ac:dyDescent="0.3">
      <c r="A322">
        <v>128500</v>
      </c>
      <c r="B322" s="29">
        <f t="shared" ref="B322:B385" si="20">$B$54+($B$60*A322)</f>
        <v>852555072.29672396</v>
      </c>
      <c r="C322" s="39">
        <f t="shared" ref="C322:C385" si="21">$E$50*A322</f>
        <v>976600000</v>
      </c>
      <c r="D322" s="76">
        <f t="shared" ref="D322:D385" si="22">C322-B322</f>
        <v>124044927.70327604</v>
      </c>
    </row>
    <row r="323" spans="1:4" x14ac:dyDescent="0.3">
      <c r="A323">
        <v>129000</v>
      </c>
      <c r="B323" s="29">
        <f t="shared" si="20"/>
        <v>855749579.98738396</v>
      </c>
      <c r="C323" s="39">
        <f t="shared" si="21"/>
        <v>980400000</v>
      </c>
      <c r="D323" s="76">
        <f t="shared" si="22"/>
        <v>124650420.01261604</v>
      </c>
    </row>
    <row r="324" spans="1:4" x14ac:dyDescent="0.3">
      <c r="A324">
        <v>129500</v>
      </c>
      <c r="B324" s="29">
        <f t="shared" si="20"/>
        <v>858944087.67804396</v>
      </c>
      <c r="C324" s="39">
        <f t="shared" si="21"/>
        <v>984200000</v>
      </c>
      <c r="D324" s="76">
        <f t="shared" si="22"/>
        <v>125255912.32195604</v>
      </c>
    </row>
    <row r="325" spans="1:4" x14ac:dyDescent="0.3">
      <c r="A325">
        <v>130000</v>
      </c>
      <c r="B325" s="29">
        <f t="shared" si="20"/>
        <v>862138595.36870396</v>
      </c>
      <c r="C325" s="39">
        <f t="shared" si="21"/>
        <v>988000000</v>
      </c>
      <c r="D325" s="76">
        <f t="shared" si="22"/>
        <v>125861404.63129604</v>
      </c>
    </row>
    <row r="326" spans="1:4" x14ac:dyDescent="0.3">
      <c r="A326">
        <v>130500</v>
      </c>
      <c r="B326" s="29">
        <f t="shared" si="20"/>
        <v>865333103.05936396</v>
      </c>
      <c r="C326" s="39">
        <f t="shared" si="21"/>
        <v>991800000</v>
      </c>
      <c r="D326" s="76">
        <f t="shared" si="22"/>
        <v>126466896.94063604</v>
      </c>
    </row>
    <row r="327" spans="1:4" x14ac:dyDescent="0.3">
      <c r="A327">
        <v>131000</v>
      </c>
      <c r="B327" s="29">
        <f t="shared" si="20"/>
        <v>868527610.75002396</v>
      </c>
      <c r="C327" s="39">
        <f t="shared" si="21"/>
        <v>995600000</v>
      </c>
      <c r="D327" s="76">
        <f t="shared" si="22"/>
        <v>127072389.24997604</v>
      </c>
    </row>
    <row r="328" spans="1:4" x14ac:dyDescent="0.3">
      <c r="A328">
        <v>131500</v>
      </c>
      <c r="B328" s="29">
        <f t="shared" si="20"/>
        <v>871722118.44068396</v>
      </c>
      <c r="C328" s="39">
        <f t="shared" si="21"/>
        <v>999400000</v>
      </c>
      <c r="D328" s="76">
        <f t="shared" si="22"/>
        <v>127677881.55931604</v>
      </c>
    </row>
    <row r="329" spans="1:4" x14ac:dyDescent="0.3">
      <c r="A329">
        <v>132000</v>
      </c>
      <c r="B329" s="29">
        <f t="shared" si="20"/>
        <v>874916626.13134396</v>
      </c>
      <c r="C329" s="39">
        <f t="shared" si="21"/>
        <v>1003200000</v>
      </c>
      <c r="D329" s="76">
        <f t="shared" si="22"/>
        <v>128283373.86865604</v>
      </c>
    </row>
    <row r="330" spans="1:4" x14ac:dyDescent="0.3">
      <c r="A330">
        <v>132500</v>
      </c>
      <c r="B330" s="29">
        <f t="shared" si="20"/>
        <v>878111133.82200396</v>
      </c>
      <c r="C330" s="39">
        <f t="shared" si="21"/>
        <v>1007000000</v>
      </c>
      <c r="D330" s="76">
        <f t="shared" si="22"/>
        <v>128888866.17799604</v>
      </c>
    </row>
    <row r="331" spans="1:4" x14ac:dyDescent="0.3">
      <c r="A331">
        <v>133000</v>
      </c>
      <c r="B331" s="29">
        <f t="shared" si="20"/>
        <v>881305641.51266396</v>
      </c>
      <c r="C331" s="39">
        <f t="shared" si="21"/>
        <v>1010800000</v>
      </c>
      <c r="D331" s="76">
        <f t="shared" si="22"/>
        <v>129494358.48733604</v>
      </c>
    </row>
    <row r="332" spans="1:4" x14ac:dyDescent="0.3">
      <c r="A332">
        <v>133500</v>
      </c>
      <c r="B332" s="29">
        <f t="shared" si="20"/>
        <v>884500149.20332396</v>
      </c>
      <c r="C332" s="39">
        <f t="shared" si="21"/>
        <v>1014600000</v>
      </c>
      <c r="D332" s="76">
        <f t="shared" si="22"/>
        <v>130099850.79667604</v>
      </c>
    </row>
    <row r="333" spans="1:4" x14ac:dyDescent="0.3">
      <c r="A333">
        <v>134000</v>
      </c>
      <c r="B333" s="29">
        <f t="shared" si="20"/>
        <v>887694656.89398396</v>
      </c>
      <c r="C333" s="39">
        <f t="shared" si="21"/>
        <v>1018400000</v>
      </c>
      <c r="D333" s="76">
        <f t="shared" si="22"/>
        <v>130705343.10601604</v>
      </c>
    </row>
    <row r="334" spans="1:4" x14ac:dyDescent="0.3">
      <c r="A334">
        <v>134500</v>
      </c>
      <c r="B334" s="29">
        <f t="shared" si="20"/>
        <v>890889164.58464396</v>
      </c>
      <c r="C334" s="39">
        <f t="shared" si="21"/>
        <v>1022200000</v>
      </c>
      <c r="D334" s="76">
        <f t="shared" si="22"/>
        <v>131310835.41535604</v>
      </c>
    </row>
    <row r="335" spans="1:4" x14ac:dyDescent="0.3">
      <c r="A335">
        <v>135000</v>
      </c>
      <c r="B335" s="29">
        <f t="shared" si="20"/>
        <v>894083672.27530396</v>
      </c>
      <c r="C335" s="39">
        <f t="shared" si="21"/>
        <v>1026000000</v>
      </c>
      <c r="D335" s="76">
        <f t="shared" si="22"/>
        <v>131916327.72469604</v>
      </c>
    </row>
    <row r="336" spans="1:4" x14ac:dyDescent="0.3">
      <c r="A336">
        <v>135500</v>
      </c>
      <c r="B336" s="29">
        <f t="shared" si="20"/>
        <v>897278179.96596396</v>
      </c>
      <c r="C336" s="39">
        <f t="shared" si="21"/>
        <v>1029800000</v>
      </c>
      <c r="D336" s="76">
        <f t="shared" si="22"/>
        <v>132521820.03403604</v>
      </c>
    </row>
    <row r="337" spans="1:4" x14ac:dyDescent="0.3">
      <c r="A337">
        <v>136000</v>
      </c>
      <c r="B337" s="29">
        <f t="shared" si="20"/>
        <v>900472687.65662396</v>
      </c>
      <c r="C337" s="39">
        <f t="shared" si="21"/>
        <v>1033600000</v>
      </c>
      <c r="D337" s="76">
        <f t="shared" si="22"/>
        <v>133127312.34337604</v>
      </c>
    </row>
    <row r="338" spans="1:4" x14ac:dyDescent="0.3">
      <c r="A338">
        <v>136500</v>
      </c>
      <c r="B338" s="29">
        <f t="shared" si="20"/>
        <v>903667195.34728396</v>
      </c>
      <c r="C338" s="39">
        <f t="shared" si="21"/>
        <v>1037400000</v>
      </c>
      <c r="D338" s="76">
        <f t="shared" si="22"/>
        <v>133732804.65271604</v>
      </c>
    </row>
    <row r="339" spans="1:4" x14ac:dyDescent="0.3">
      <c r="A339">
        <v>137000</v>
      </c>
      <c r="B339" s="29">
        <f t="shared" si="20"/>
        <v>906861703.03794396</v>
      </c>
      <c r="C339" s="39">
        <f t="shared" si="21"/>
        <v>1041200000</v>
      </c>
      <c r="D339" s="76">
        <f t="shared" si="22"/>
        <v>134338296.96205604</v>
      </c>
    </row>
    <row r="340" spans="1:4" x14ac:dyDescent="0.3">
      <c r="A340">
        <v>137500</v>
      </c>
      <c r="B340" s="29">
        <f t="shared" si="20"/>
        <v>910056210.72860396</v>
      </c>
      <c r="C340" s="39">
        <f t="shared" si="21"/>
        <v>1045000000</v>
      </c>
      <c r="D340" s="76">
        <f t="shared" si="22"/>
        <v>134943789.27139604</v>
      </c>
    </row>
    <row r="341" spans="1:4" x14ac:dyDescent="0.3">
      <c r="A341">
        <v>138000</v>
      </c>
      <c r="B341" s="29">
        <f t="shared" si="20"/>
        <v>913250718.41926396</v>
      </c>
      <c r="C341" s="39">
        <f t="shared" si="21"/>
        <v>1048800000</v>
      </c>
      <c r="D341" s="76">
        <f t="shared" si="22"/>
        <v>135549281.58073604</v>
      </c>
    </row>
    <row r="342" spans="1:4" x14ac:dyDescent="0.3">
      <c r="A342">
        <v>138500</v>
      </c>
      <c r="B342" s="29">
        <f t="shared" si="20"/>
        <v>916445226.10992396</v>
      </c>
      <c r="C342" s="39">
        <f t="shared" si="21"/>
        <v>1052600000</v>
      </c>
      <c r="D342" s="76">
        <f t="shared" si="22"/>
        <v>136154773.89007604</v>
      </c>
    </row>
    <row r="343" spans="1:4" x14ac:dyDescent="0.3">
      <c r="A343">
        <v>139000</v>
      </c>
      <c r="B343" s="29">
        <f t="shared" si="20"/>
        <v>919639733.80058396</v>
      </c>
      <c r="C343" s="39">
        <f t="shared" si="21"/>
        <v>1056400000</v>
      </c>
      <c r="D343" s="76">
        <f t="shared" si="22"/>
        <v>136760266.19941604</v>
      </c>
    </row>
    <row r="344" spans="1:4" x14ac:dyDescent="0.3">
      <c r="A344">
        <v>139500</v>
      </c>
      <c r="B344" s="29">
        <f t="shared" si="20"/>
        <v>922834241.49124396</v>
      </c>
      <c r="C344" s="39">
        <f t="shared" si="21"/>
        <v>1060200000</v>
      </c>
      <c r="D344" s="76">
        <f t="shared" si="22"/>
        <v>137365758.50875604</v>
      </c>
    </row>
    <row r="345" spans="1:4" x14ac:dyDescent="0.3">
      <c r="A345">
        <v>140000</v>
      </c>
      <c r="B345" s="29">
        <f t="shared" si="20"/>
        <v>926028749.18190396</v>
      </c>
      <c r="C345" s="39">
        <f t="shared" si="21"/>
        <v>1064000000</v>
      </c>
      <c r="D345" s="76">
        <f t="shared" si="22"/>
        <v>137971250.81809604</v>
      </c>
    </row>
    <row r="346" spans="1:4" x14ac:dyDescent="0.3">
      <c r="A346">
        <v>140500</v>
      </c>
      <c r="B346" s="29">
        <f t="shared" si="20"/>
        <v>929223256.87256396</v>
      </c>
      <c r="C346" s="39">
        <f t="shared" si="21"/>
        <v>1067800000</v>
      </c>
      <c r="D346" s="76">
        <f t="shared" si="22"/>
        <v>138576743.12743604</v>
      </c>
    </row>
    <row r="347" spans="1:4" x14ac:dyDescent="0.3">
      <c r="A347">
        <v>141000</v>
      </c>
      <c r="B347" s="29">
        <f t="shared" si="20"/>
        <v>932417764.56322396</v>
      </c>
      <c r="C347" s="39">
        <f t="shared" si="21"/>
        <v>1071600000</v>
      </c>
      <c r="D347" s="76">
        <f t="shared" si="22"/>
        <v>139182235.43677604</v>
      </c>
    </row>
    <row r="348" spans="1:4" x14ac:dyDescent="0.3">
      <c r="A348">
        <v>141500</v>
      </c>
      <c r="B348" s="29">
        <f t="shared" si="20"/>
        <v>935612272.25388396</v>
      </c>
      <c r="C348" s="39">
        <f t="shared" si="21"/>
        <v>1075400000</v>
      </c>
      <c r="D348" s="76">
        <f t="shared" si="22"/>
        <v>139787727.74611604</v>
      </c>
    </row>
    <row r="349" spans="1:4" x14ac:dyDescent="0.3">
      <c r="A349">
        <v>142000</v>
      </c>
      <c r="B349" s="29">
        <f t="shared" si="20"/>
        <v>938806779.94454396</v>
      </c>
      <c r="C349" s="39">
        <f t="shared" si="21"/>
        <v>1079200000</v>
      </c>
      <c r="D349" s="76">
        <f t="shared" si="22"/>
        <v>140393220.05545604</v>
      </c>
    </row>
    <row r="350" spans="1:4" x14ac:dyDescent="0.3">
      <c r="A350">
        <v>142500</v>
      </c>
      <c r="B350" s="29">
        <f t="shared" si="20"/>
        <v>942001287.63520396</v>
      </c>
      <c r="C350" s="39">
        <f t="shared" si="21"/>
        <v>1083000000</v>
      </c>
      <c r="D350" s="76">
        <f t="shared" si="22"/>
        <v>140998712.36479604</v>
      </c>
    </row>
    <row r="351" spans="1:4" x14ac:dyDescent="0.3">
      <c r="A351">
        <v>143000</v>
      </c>
      <c r="B351" s="29">
        <f t="shared" si="20"/>
        <v>945195795.32586396</v>
      </c>
      <c r="C351" s="39">
        <f t="shared" si="21"/>
        <v>1086800000</v>
      </c>
      <c r="D351" s="76">
        <f t="shared" si="22"/>
        <v>141604204.67413604</v>
      </c>
    </row>
    <row r="352" spans="1:4" x14ac:dyDescent="0.3">
      <c r="A352">
        <v>143500</v>
      </c>
      <c r="B352" s="29">
        <f t="shared" si="20"/>
        <v>948390303.01652396</v>
      </c>
      <c r="C352" s="39">
        <f t="shared" si="21"/>
        <v>1090600000</v>
      </c>
      <c r="D352" s="76">
        <f t="shared" si="22"/>
        <v>142209696.98347604</v>
      </c>
    </row>
    <row r="353" spans="1:4" x14ac:dyDescent="0.3">
      <c r="A353">
        <v>144000</v>
      </c>
      <c r="B353" s="29">
        <f t="shared" si="20"/>
        <v>951584810.70718396</v>
      </c>
      <c r="C353" s="39">
        <f t="shared" si="21"/>
        <v>1094400000</v>
      </c>
      <c r="D353" s="76">
        <f t="shared" si="22"/>
        <v>142815189.29281604</v>
      </c>
    </row>
    <row r="354" spans="1:4" x14ac:dyDescent="0.3">
      <c r="A354">
        <v>144500</v>
      </c>
      <c r="B354" s="29">
        <f t="shared" si="20"/>
        <v>954779318.39784396</v>
      </c>
      <c r="C354" s="39">
        <f t="shared" si="21"/>
        <v>1098200000</v>
      </c>
      <c r="D354" s="76">
        <f t="shared" si="22"/>
        <v>143420681.60215604</v>
      </c>
    </row>
    <row r="355" spans="1:4" x14ac:dyDescent="0.3">
      <c r="A355">
        <v>145000</v>
      </c>
      <c r="B355" s="29">
        <f t="shared" si="20"/>
        <v>957973826.08850396</v>
      </c>
      <c r="C355" s="39">
        <f t="shared" si="21"/>
        <v>1102000000</v>
      </c>
      <c r="D355" s="76">
        <f t="shared" si="22"/>
        <v>144026173.91149604</v>
      </c>
    </row>
    <row r="356" spans="1:4" x14ac:dyDescent="0.3">
      <c r="A356">
        <v>145500</v>
      </c>
      <c r="B356" s="29">
        <f t="shared" si="20"/>
        <v>961168333.77916396</v>
      </c>
      <c r="C356" s="39">
        <f t="shared" si="21"/>
        <v>1105800000</v>
      </c>
      <c r="D356" s="76">
        <f t="shared" si="22"/>
        <v>144631666.22083604</v>
      </c>
    </row>
    <row r="357" spans="1:4" x14ac:dyDescent="0.3">
      <c r="A357">
        <v>146000</v>
      </c>
      <c r="B357" s="29">
        <f t="shared" si="20"/>
        <v>964362841.46982396</v>
      </c>
      <c r="C357" s="39">
        <f t="shared" si="21"/>
        <v>1109600000</v>
      </c>
      <c r="D357" s="76">
        <f t="shared" si="22"/>
        <v>145237158.53017604</v>
      </c>
    </row>
    <row r="358" spans="1:4" x14ac:dyDescent="0.3">
      <c r="A358">
        <v>146500</v>
      </c>
      <c r="B358" s="29">
        <f t="shared" si="20"/>
        <v>967557349.16048396</v>
      </c>
      <c r="C358" s="39">
        <f t="shared" si="21"/>
        <v>1113400000</v>
      </c>
      <c r="D358" s="76">
        <f t="shared" si="22"/>
        <v>145842650.83951604</v>
      </c>
    </row>
    <row r="359" spans="1:4" x14ac:dyDescent="0.3">
      <c r="A359">
        <v>147000</v>
      </c>
      <c r="B359" s="29">
        <f t="shared" si="20"/>
        <v>970751856.85114396</v>
      </c>
      <c r="C359" s="39">
        <f t="shared" si="21"/>
        <v>1117200000</v>
      </c>
      <c r="D359" s="76">
        <f t="shared" si="22"/>
        <v>146448143.14885604</v>
      </c>
    </row>
    <row r="360" spans="1:4" x14ac:dyDescent="0.3">
      <c r="A360">
        <v>147500</v>
      </c>
      <c r="B360" s="29">
        <f t="shared" si="20"/>
        <v>973946364.54180396</v>
      </c>
      <c r="C360" s="39">
        <f t="shared" si="21"/>
        <v>1121000000</v>
      </c>
      <c r="D360" s="76">
        <f t="shared" si="22"/>
        <v>147053635.45819604</v>
      </c>
    </row>
    <row r="361" spans="1:4" x14ac:dyDescent="0.3">
      <c r="A361">
        <v>148000</v>
      </c>
      <c r="B361" s="29">
        <f t="shared" si="20"/>
        <v>977140872.23246396</v>
      </c>
      <c r="C361" s="39">
        <f t="shared" si="21"/>
        <v>1124800000</v>
      </c>
      <c r="D361" s="76">
        <f t="shared" si="22"/>
        <v>147659127.76753604</v>
      </c>
    </row>
    <row r="362" spans="1:4" x14ac:dyDescent="0.3">
      <c r="A362">
        <v>148500</v>
      </c>
      <c r="B362" s="29">
        <f t="shared" si="20"/>
        <v>980335379.92312396</v>
      </c>
      <c r="C362" s="39">
        <f t="shared" si="21"/>
        <v>1128600000</v>
      </c>
      <c r="D362" s="76">
        <f t="shared" si="22"/>
        <v>148264620.07687604</v>
      </c>
    </row>
    <row r="363" spans="1:4" x14ac:dyDescent="0.3">
      <c r="A363">
        <v>149000</v>
      </c>
      <c r="B363" s="29">
        <f t="shared" si="20"/>
        <v>983529887.61378396</v>
      </c>
      <c r="C363" s="39">
        <f t="shared" si="21"/>
        <v>1132400000</v>
      </c>
      <c r="D363" s="76">
        <f t="shared" si="22"/>
        <v>148870112.38621604</v>
      </c>
    </row>
    <row r="364" spans="1:4" x14ac:dyDescent="0.3">
      <c r="A364">
        <v>149500</v>
      </c>
      <c r="B364" s="29">
        <f t="shared" si="20"/>
        <v>986724395.30444396</v>
      </c>
      <c r="C364" s="39">
        <f t="shared" si="21"/>
        <v>1136200000</v>
      </c>
      <c r="D364" s="76">
        <f t="shared" si="22"/>
        <v>149475604.69555604</v>
      </c>
    </row>
    <row r="365" spans="1:4" x14ac:dyDescent="0.3">
      <c r="A365">
        <v>150000</v>
      </c>
      <c r="B365" s="29">
        <f t="shared" si="20"/>
        <v>989918902.99510396</v>
      </c>
      <c r="C365" s="39">
        <f t="shared" si="21"/>
        <v>1140000000</v>
      </c>
      <c r="D365" s="76">
        <f t="shared" si="22"/>
        <v>150081097.00489604</v>
      </c>
    </row>
    <row r="366" spans="1:4" x14ac:dyDescent="0.3">
      <c r="A366">
        <v>150500</v>
      </c>
      <c r="B366" s="29">
        <f t="shared" si="20"/>
        <v>993113410.68576396</v>
      </c>
      <c r="C366" s="39">
        <f t="shared" si="21"/>
        <v>1143800000</v>
      </c>
      <c r="D366" s="76">
        <f t="shared" si="22"/>
        <v>150686589.31423604</v>
      </c>
    </row>
    <row r="367" spans="1:4" x14ac:dyDescent="0.3">
      <c r="A367">
        <v>151000</v>
      </c>
      <c r="B367" s="29">
        <f t="shared" si="20"/>
        <v>996307918.37642395</v>
      </c>
      <c r="C367" s="39">
        <f t="shared" si="21"/>
        <v>1147600000</v>
      </c>
      <c r="D367" s="76">
        <f t="shared" si="22"/>
        <v>151292081.62357605</v>
      </c>
    </row>
    <row r="368" spans="1:4" x14ac:dyDescent="0.3">
      <c r="A368">
        <v>151500</v>
      </c>
      <c r="B368" s="29">
        <f t="shared" si="20"/>
        <v>999502426.06708395</v>
      </c>
      <c r="C368" s="39">
        <f t="shared" si="21"/>
        <v>1151400000</v>
      </c>
      <c r="D368" s="76">
        <f t="shared" si="22"/>
        <v>151897573.93291605</v>
      </c>
    </row>
    <row r="369" spans="1:4" x14ac:dyDescent="0.3">
      <c r="A369">
        <v>152000</v>
      </c>
      <c r="B369" s="29">
        <f t="shared" si="20"/>
        <v>1002696933.757744</v>
      </c>
      <c r="C369" s="39">
        <f t="shared" si="21"/>
        <v>1155200000</v>
      </c>
      <c r="D369" s="76">
        <f t="shared" si="22"/>
        <v>152503066.24225605</v>
      </c>
    </row>
    <row r="370" spans="1:4" x14ac:dyDescent="0.3">
      <c r="A370">
        <v>152500</v>
      </c>
      <c r="B370" s="29">
        <f t="shared" si="20"/>
        <v>1005891441.448404</v>
      </c>
      <c r="C370" s="39">
        <f t="shared" si="21"/>
        <v>1159000000</v>
      </c>
      <c r="D370" s="76">
        <f t="shared" si="22"/>
        <v>153108558.55159605</v>
      </c>
    </row>
    <row r="371" spans="1:4" x14ac:dyDescent="0.3">
      <c r="A371">
        <v>153000</v>
      </c>
      <c r="B371" s="29">
        <f t="shared" si="20"/>
        <v>1009085949.139064</v>
      </c>
      <c r="C371" s="39">
        <f t="shared" si="21"/>
        <v>1162800000</v>
      </c>
      <c r="D371" s="76">
        <f t="shared" si="22"/>
        <v>153714050.86093605</v>
      </c>
    </row>
    <row r="372" spans="1:4" x14ac:dyDescent="0.3">
      <c r="A372">
        <v>153500</v>
      </c>
      <c r="B372" s="29">
        <f t="shared" si="20"/>
        <v>1012280456.829724</v>
      </c>
      <c r="C372" s="39">
        <f t="shared" si="21"/>
        <v>1166600000</v>
      </c>
      <c r="D372" s="76">
        <f t="shared" si="22"/>
        <v>154319543.17027605</v>
      </c>
    </row>
    <row r="373" spans="1:4" x14ac:dyDescent="0.3">
      <c r="A373">
        <v>154000</v>
      </c>
      <c r="B373" s="29">
        <f t="shared" si="20"/>
        <v>1015474964.520384</v>
      </c>
      <c r="C373" s="39">
        <f t="shared" si="21"/>
        <v>1170400000</v>
      </c>
      <c r="D373" s="76">
        <f t="shared" si="22"/>
        <v>154925035.47961605</v>
      </c>
    </row>
    <row r="374" spans="1:4" x14ac:dyDescent="0.3">
      <c r="A374">
        <v>154500</v>
      </c>
      <c r="B374" s="29">
        <f t="shared" si="20"/>
        <v>1018669472.211044</v>
      </c>
      <c r="C374" s="39">
        <f t="shared" si="21"/>
        <v>1174200000</v>
      </c>
      <c r="D374" s="76">
        <f t="shared" si="22"/>
        <v>155530527.78895605</v>
      </c>
    </row>
    <row r="375" spans="1:4" x14ac:dyDescent="0.3">
      <c r="A375">
        <v>155000</v>
      </c>
      <c r="B375" s="29">
        <f t="shared" si="20"/>
        <v>1021863979.901704</v>
      </c>
      <c r="C375" s="39">
        <f t="shared" si="21"/>
        <v>1178000000</v>
      </c>
      <c r="D375" s="76">
        <f t="shared" si="22"/>
        <v>156136020.09829605</v>
      </c>
    </row>
    <row r="376" spans="1:4" x14ac:dyDescent="0.3">
      <c r="A376">
        <v>155500</v>
      </c>
      <c r="B376" s="29">
        <f t="shared" si="20"/>
        <v>1025058487.592364</v>
      </c>
      <c r="C376" s="39">
        <f t="shared" si="21"/>
        <v>1181800000</v>
      </c>
      <c r="D376" s="76">
        <f t="shared" si="22"/>
        <v>156741512.40763605</v>
      </c>
    </row>
    <row r="377" spans="1:4" x14ac:dyDescent="0.3">
      <c r="A377">
        <v>156000</v>
      </c>
      <c r="B377" s="29">
        <f t="shared" si="20"/>
        <v>1028252995.283024</v>
      </c>
      <c r="C377" s="39">
        <f t="shared" si="21"/>
        <v>1185600000</v>
      </c>
      <c r="D377" s="76">
        <f t="shared" si="22"/>
        <v>157347004.71697605</v>
      </c>
    </row>
    <row r="378" spans="1:4" x14ac:dyDescent="0.3">
      <c r="A378">
        <v>156500</v>
      </c>
      <c r="B378" s="29">
        <f t="shared" si="20"/>
        <v>1031447502.973684</v>
      </c>
      <c r="C378" s="39">
        <f t="shared" si="21"/>
        <v>1189400000</v>
      </c>
      <c r="D378" s="76">
        <f t="shared" si="22"/>
        <v>157952497.02631605</v>
      </c>
    </row>
    <row r="379" spans="1:4" x14ac:dyDescent="0.3">
      <c r="A379">
        <v>157000</v>
      </c>
      <c r="B379" s="29">
        <f t="shared" si="20"/>
        <v>1034642010.664344</v>
      </c>
      <c r="C379" s="39">
        <f t="shared" si="21"/>
        <v>1193200000</v>
      </c>
      <c r="D379" s="76">
        <f t="shared" si="22"/>
        <v>158557989.33565605</v>
      </c>
    </row>
    <row r="380" spans="1:4" x14ac:dyDescent="0.3">
      <c r="A380">
        <v>157500</v>
      </c>
      <c r="B380" s="29">
        <f t="shared" si="20"/>
        <v>1037836518.355004</v>
      </c>
      <c r="C380" s="39">
        <f t="shared" si="21"/>
        <v>1197000000</v>
      </c>
      <c r="D380" s="76">
        <f t="shared" si="22"/>
        <v>159163481.64499605</v>
      </c>
    </row>
    <row r="381" spans="1:4" x14ac:dyDescent="0.3">
      <c r="A381">
        <v>158000</v>
      </c>
      <c r="B381" s="29">
        <f t="shared" si="20"/>
        <v>1041031026.045664</v>
      </c>
      <c r="C381" s="39">
        <f t="shared" si="21"/>
        <v>1200800000</v>
      </c>
      <c r="D381" s="76">
        <f t="shared" si="22"/>
        <v>159768973.95433605</v>
      </c>
    </row>
    <row r="382" spans="1:4" x14ac:dyDescent="0.3">
      <c r="A382">
        <v>158500</v>
      </c>
      <c r="B382" s="29">
        <f t="shared" si="20"/>
        <v>1044225533.736324</v>
      </c>
      <c r="C382" s="39">
        <f t="shared" si="21"/>
        <v>1204600000</v>
      </c>
      <c r="D382" s="76">
        <f t="shared" si="22"/>
        <v>160374466.26367605</v>
      </c>
    </row>
    <row r="383" spans="1:4" x14ac:dyDescent="0.3">
      <c r="A383">
        <v>159000</v>
      </c>
      <c r="B383" s="29">
        <f t="shared" si="20"/>
        <v>1047420041.426984</v>
      </c>
      <c r="C383" s="39">
        <f t="shared" si="21"/>
        <v>1208400000</v>
      </c>
      <c r="D383" s="76">
        <f t="shared" si="22"/>
        <v>160979958.57301605</v>
      </c>
    </row>
    <row r="384" spans="1:4" x14ac:dyDescent="0.3">
      <c r="A384">
        <v>159500</v>
      </c>
      <c r="B384" s="29">
        <f t="shared" si="20"/>
        <v>1050614549.117644</v>
      </c>
      <c r="C384" s="39">
        <f t="shared" si="21"/>
        <v>1212200000</v>
      </c>
      <c r="D384" s="76">
        <f t="shared" si="22"/>
        <v>161585450.88235605</v>
      </c>
    </row>
    <row r="385" spans="1:4" x14ac:dyDescent="0.3">
      <c r="A385">
        <v>160000</v>
      </c>
      <c r="B385" s="29">
        <f t="shared" si="20"/>
        <v>1053809056.808304</v>
      </c>
      <c r="C385" s="39">
        <f t="shared" si="21"/>
        <v>1216000000</v>
      </c>
      <c r="D385" s="76">
        <f t="shared" si="22"/>
        <v>162190943.19169605</v>
      </c>
    </row>
    <row r="386" spans="1:4" x14ac:dyDescent="0.3">
      <c r="A386">
        <v>160500</v>
      </c>
      <c r="B386" s="29">
        <f t="shared" ref="B386:B449" si="23">$B$54+($B$60*A386)</f>
        <v>1057003564.498964</v>
      </c>
      <c r="C386" s="39">
        <f t="shared" ref="C386:C449" si="24">$E$50*A386</f>
        <v>1219800000</v>
      </c>
      <c r="D386" s="76">
        <f t="shared" ref="D386:D449" si="25">C386-B386</f>
        <v>162796435.50103605</v>
      </c>
    </row>
    <row r="387" spans="1:4" x14ac:dyDescent="0.3">
      <c r="A387">
        <v>161000</v>
      </c>
      <c r="B387" s="29">
        <f t="shared" si="23"/>
        <v>1060198072.189624</v>
      </c>
      <c r="C387" s="39">
        <f t="shared" si="24"/>
        <v>1223600000</v>
      </c>
      <c r="D387" s="76">
        <f t="shared" si="25"/>
        <v>163401927.81037605</v>
      </c>
    </row>
    <row r="388" spans="1:4" x14ac:dyDescent="0.3">
      <c r="A388">
        <v>161500</v>
      </c>
      <c r="B388" s="29">
        <f t="shared" si="23"/>
        <v>1063392579.880284</v>
      </c>
      <c r="C388" s="39">
        <f t="shared" si="24"/>
        <v>1227400000</v>
      </c>
      <c r="D388" s="76">
        <f t="shared" si="25"/>
        <v>164007420.11971605</v>
      </c>
    </row>
    <row r="389" spans="1:4" x14ac:dyDescent="0.3">
      <c r="A389">
        <v>162000</v>
      </c>
      <c r="B389" s="29">
        <f t="shared" si="23"/>
        <v>1066587087.570944</v>
      </c>
      <c r="C389" s="39">
        <f t="shared" si="24"/>
        <v>1231200000</v>
      </c>
      <c r="D389" s="76">
        <f t="shared" si="25"/>
        <v>164612912.42905605</v>
      </c>
    </row>
    <row r="390" spans="1:4" x14ac:dyDescent="0.3">
      <c r="A390">
        <v>162500</v>
      </c>
      <c r="B390" s="29">
        <f t="shared" si="23"/>
        <v>1069781595.261604</v>
      </c>
      <c r="C390" s="39">
        <f t="shared" si="24"/>
        <v>1235000000</v>
      </c>
      <c r="D390" s="76">
        <f t="shared" si="25"/>
        <v>165218404.73839605</v>
      </c>
    </row>
    <row r="391" spans="1:4" x14ac:dyDescent="0.3">
      <c r="A391">
        <v>163000</v>
      </c>
      <c r="B391" s="29">
        <f t="shared" si="23"/>
        <v>1072976102.952264</v>
      </c>
      <c r="C391" s="39">
        <f t="shared" si="24"/>
        <v>1238800000</v>
      </c>
      <c r="D391" s="76">
        <f t="shared" si="25"/>
        <v>165823897.04773605</v>
      </c>
    </row>
    <row r="392" spans="1:4" x14ac:dyDescent="0.3">
      <c r="A392">
        <v>163500</v>
      </c>
      <c r="B392" s="29">
        <f t="shared" si="23"/>
        <v>1076170610.6429238</v>
      </c>
      <c r="C392" s="39">
        <f t="shared" si="24"/>
        <v>1242600000</v>
      </c>
      <c r="D392" s="76">
        <f t="shared" si="25"/>
        <v>166429389.35707617</v>
      </c>
    </row>
    <row r="393" spans="1:4" x14ac:dyDescent="0.3">
      <c r="A393">
        <v>164000</v>
      </c>
      <c r="B393" s="29">
        <f t="shared" si="23"/>
        <v>1079365118.3335838</v>
      </c>
      <c r="C393" s="39">
        <f t="shared" si="24"/>
        <v>1246400000</v>
      </c>
      <c r="D393" s="76">
        <f t="shared" si="25"/>
        <v>167034881.66641617</v>
      </c>
    </row>
    <row r="394" spans="1:4" x14ac:dyDescent="0.3">
      <c r="A394">
        <v>164500</v>
      </c>
      <c r="B394" s="29">
        <f t="shared" si="23"/>
        <v>1082559626.0242438</v>
      </c>
      <c r="C394" s="39">
        <f t="shared" si="24"/>
        <v>1250200000</v>
      </c>
      <c r="D394" s="76">
        <f t="shared" si="25"/>
        <v>167640373.97575617</v>
      </c>
    </row>
    <row r="395" spans="1:4" x14ac:dyDescent="0.3">
      <c r="A395">
        <v>165000</v>
      </c>
      <c r="B395" s="29">
        <f t="shared" si="23"/>
        <v>1085754133.7149038</v>
      </c>
      <c r="C395" s="39">
        <f t="shared" si="24"/>
        <v>1254000000</v>
      </c>
      <c r="D395" s="76">
        <f t="shared" si="25"/>
        <v>168245866.28509617</v>
      </c>
    </row>
    <row r="396" spans="1:4" x14ac:dyDescent="0.3">
      <c r="A396">
        <v>165500</v>
      </c>
      <c r="B396" s="29">
        <f t="shared" si="23"/>
        <v>1088948641.4055638</v>
      </c>
      <c r="C396" s="39">
        <f t="shared" si="24"/>
        <v>1257800000</v>
      </c>
      <c r="D396" s="76">
        <f t="shared" si="25"/>
        <v>168851358.59443617</v>
      </c>
    </row>
    <row r="397" spans="1:4" x14ac:dyDescent="0.3">
      <c r="A397">
        <v>166000</v>
      </c>
      <c r="B397" s="29">
        <f t="shared" si="23"/>
        <v>1092143149.0962238</v>
      </c>
      <c r="C397" s="39">
        <f t="shared" si="24"/>
        <v>1261600000</v>
      </c>
      <c r="D397" s="76">
        <f t="shared" si="25"/>
        <v>169456850.90377617</v>
      </c>
    </row>
    <row r="398" spans="1:4" x14ac:dyDescent="0.3">
      <c r="A398">
        <v>166500</v>
      </c>
      <c r="B398" s="29">
        <f t="shared" si="23"/>
        <v>1095337656.7868838</v>
      </c>
      <c r="C398" s="39">
        <f t="shared" si="24"/>
        <v>1265400000</v>
      </c>
      <c r="D398" s="76">
        <f t="shared" si="25"/>
        <v>170062343.21311617</v>
      </c>
    </row>
    <row r="399" spans="1:4" x14ac:dyDescent="0.3">
      <c r="A399">
        <v>167000</v>
      </c>
      <c r="B399" s="29">
        <f t="shared" si="23"/>
        <v>1098532164.4775438</v>
      </c>
      <c r="C399" s="39">
        <f t="shared" si="24"/>
        <v>1269200000</v>
      </c>
      <c r="D399" s="76">
        <f t="shared" si="25"/>
        <v>170667835.52245617</v>
      </c>
    </row>
    <row r="400" spans="1:4" x14ac:dyDescent="0.3">
      <c r="A400">
        <v>167500</v>
      </c>
      <c r="B400" s="29">
        <f t="shared" si="23"/>
        <v>1101726672.1682038</v>
      </c>
      <c r="C400" s="39">
        <f t="shared" si="24"/>
        <v>1273000000</v>
      </c>
      <c r="D400" s="76">
        <f t="shared" si="25"/>
        <v>171273327.83179617</v>
      </c>
    </row>
    <row r="401" spans="1:4" x14ac:dyDescent="0.3">
      <c r="A401">
        <v>168000</v>
      </c>
      <c r="B401" s="29">
        <f t="shared" si="23"/>
        <v>1104921179.8588638</v>
      </c>
      <c r="C401" s="39">
        <f t="shared" si="24"/>
        <v>1276800000</v>
      </c>
      <c r="D401" s="76">
        <f t="shared" si="25"/>
        <v>171878820.14113617</v>
      </c>
    </row>
    <row r="402" spans="1:4" x14ac:dyDescent="0.3">
      <c r="A402">
        <v>168500</v>
      </c>
      <c r="B402" s="29">
        <f t="shared" si="23"/>
        <v>1108115687.5495238</v>
      </c>
      <c r="C402" s="39">
        <f t="shared" si="24"/>
        <v>1280600000</v>
      </c>
      <c r="D402" s="76">
        <f t="shared" si="25"/>
        <v>172484312.45047617</v>
      </c>
    </row>
    <row r="403" spans="1:4" x14ac:dyDescent="0.3">
      <c r="A403">
        <v>169000</v>
      </c>
      <c r="B403" s="29">
        <f t="shared" si="23"/>
        <v>1111310195.2401838</v>
      </c>
      <c r="C403" s="39">
        <f t="shared" si="24"/>
        <v>1284400000</v>
      </c>
      <c r="D403" s="76">
        <f t="shared" si="25"/>
        <v>173089804.75981617</v>
      </c>
    </row>
    <row r="404" spans="1:4" x14ac:dyDescent="0.3">
      <c r="A404">
        <v>169500</v>
      </c>
      <c r="B404" s="29">
        <f t="shared" si="23"/>
        <v>1114504702.9308438</v>
      </c>
      <c r="C404" s="39">
        <f t="shared" si="24"/>
        <v>1288200000</v>
      </c>
      <c r="D404" s="76">
        <f t="shared" si="25"/>
        <v>173695297.06915617</v>
      </c>
    </row>
    <row r="405" spans="1:4" x14ac:dyDescent="0.3">
      <c r="A405">
        <v>170000</v>
      </c>
      <c r="B405" s="29">
        <f t="shared" si="23"/>
        <v>1117699210.6215038</v>
      </c>
      <c r="C405" s="39">
        <f t="shared" si="24"/>
        <v>1292000000</v>
      </c>
      <c r="D405" s="76">
        <f t="shared" si="25"/>
        <v>174300789.37849617</v>
      </c>
    </row>
    <row r="406" spans="1:4" x14ac:dyDescent="0.3">
      <c r="A406">
        <v>170500</v>
      </c>
      <c r="B406" s="29">
        <f t="shared" si="23"/>
        <v>1120893718.3121638</v>
      </c>
      <c r="C406" s="39">
        <f t="shared" si="24"/>
        <v>1295800000</v>
      </c>
      <c r="D406" s="76">
        <f t="shared" si="25"/>
        <v>174906281.68783617</v>
      </c>
    </row>
    <row r="407" spans="1:4" x14ac:dyDescent="0.3">
      <c r="A407">
        <v>171000</v>
      </c>
      <c r="B407" s="29">
        <f t="shared" si="23"/>
        <v>1124088226.0028238</v>
      </c>
      <c r="C407" s="39">
        <f t="shared" si="24"/>
        <v>1299600000</v>
      </c>
      <c r="D407" s="76">
        <f t="shared" si="25"/>
        <v>175511773.99717617</v>
      </c>
    </row>
    <row r="408" spans="1:4" x14ac:dyDescent="0.3">
      <c r="A408">
        <v>171500</v>
      </c>
      <c r="B408" s="29">
        <f t="shared" si="23"/>
        <v>1127282733.6934838</v>
      </c>
      <c r="C408" s="39">
        <f t="shared" si="24"/>
        <v>1303400000</v>
      </c>
      <c r="D408" s="76">
        <f t="shared" si="25"/>
        <v>176117266.30651617</v>
      </c>
    </row>
    <row r="409" spans="1:4" x14ac:dyDescent="0.3">
      <c r="A409">
        <v>172000</v>
      </c>
      <c r="B409" s="29">
        <f t="shared" si="23"/>
        <v>1130477241.3841438</v>
      </c>
      <c r="C409" s="39">
        <f t="shared" si="24"/>
        <v>1307200000</v>
      </c>
      <c r="D409" s="76">
        <f t="shared" si="25"/>
        <v>176722758.61585617</v>
      </c>
    </row>
    <row r="410" spans="1:4" x14ac:dyDescent="0.3">
      <c r="A410">
        <v>172500</v>
      </c>
      <c r="B410" s="29">
        <f t="shared" si="23"/>
        <v>1133671749.0748038</v>
      </c>
      <c r="C410" s="39">
        <f t="shared" si="24"/>
        <v>1311000000</v>
      </c>
      <c r="D410" s="76">
        <f t="shared" si="25"/>
        <v>177328250.92519617</v>
      </c>
    </row>
    <row r="411" spans="1:4" x14ac:dyDescent="0.3">
      <c r="A411">
        <v>173000</v>
      </c>
      <c r="B411" s="29">
        <f t="shared" si="23"/>
        <v>1136866256.7654638</v>
      </c>
      <c r="C411" s="39">
        <f t="shared" si="24"/>
        <v>1314800000</v>
      </c>
      <c r="D411" s="76">
        <f t="shared" si="25"/>
        <v>177933743.23453617</v>
      </c>
    </row>
    <row r="412" spans="1:4" x14ac:dyDescent="0.3">
      <c r="A412">
        <v>173500</v>
      </c>
      <c r="B412" s="29">
        <f t="shared" si="23"/>
        <v>1140060764.4561238</v>
      </c>
      <c r="C412" s="39">
        <f t="shared" si="24"/>
        <v>1318600000</v>
      </c>
      <c r="D412" s="76">
        <f t="shared" si="25"/>
        <v>178539235.54387617</v>
      </c>
    </row>
    <row r="413" spans="1:4" x14ac:dyDescent="0.3">
      <c r="A413">
        <v>174000</v>
      </c>
      <c r="B413" s="29">
        <f t="shared" si="23"/>
        <v>1143255272.1467838</v>
      </c>
      <c r="C413" s="39">
        <f t="shared" si="24"/>
        <v>1322400000</v>
      </c>
      <c r="D413" s="76">
        <f t="shared" si="25"/>
        <v>179144727.85321617</v>
      </c>
    </row>
    <row r="414" spans="1:4" x14ac:dyDescent="0.3">
      <c r="A414">
        <v>174500</v>
      </c>
      <c r="B414" s="29">
        <f t="shared" si="23"/>
        <v>1146449779.8374438</v>
      </c>
      <c r="C414" s="39">
        <f t="shared" si="24"/>
        <v>1326200000</v>
      </c>
      <c r="D414" s="76">
        <f t="shared" si="25"/>
        <v>179750220.16255617</v>
      </c>
    </row>
    <row r="415" spans="1:4" x14ac:dyDescent="0.3">
      <c r="A415">
        <v>175000</v>
      </c>
      <c r="B415" s="29">
        <f t="shared" si="23"/>
        <v>1149644287.5281038</v>
      </c>
      <c r="C415" s="39">
        <f t="shared" si="24"/>
        <v>1330000000</v>
      </c>
      <c r="D415" s="76">
        <f t="shared" si="25"/>
        <v>180355712.47189617</v>
      </c>
    </row>
    <row r="416" spans="1:4" x14ac:dyDescent="0.3">
      <c r="A416">
        <v>175500</v>
      </c>
      <c r="B416" s="29">
        <f t="shared" si="23"/>
        <v>1152838795.2187638</v>
      </c>
      <c r="C416" s="39">
        <f t="shared" si="24"/>
        <v>1333800000</v>
      </c>
      <c r="D416" s="76">
        <f t="shared" si="25"/>
        <v>180961204.78123617</v>
      </c>
    </row>
    <row r="417" spans="1:4" x14ac:dyDescent="0.3">
      <c r="A417">
        <v>176000</v>
      </c>
      <c r="B417" s="29">
        <f t="shared" si="23"/>
        <v>1156033302.9094238</v>
      </c>
      <c r="C417" s="39">
        <f t="shared" si="24"/>
        <v>1337600000</v>
      </c>
      <c r="D417" s="76">
        <f t="shared" si="25"/>
        <v>181566697.09057617</v>
      </c>
    </row>
    <row r="418" spans="1:4" x14ac:dyDescent="0.3">
      <c r="A418">
        <v>176500</v>
      </c>
      <c r="B418" s="29">
        <f t="shared" si="23"/>
        <v>1159227810.6000838</v>
      </c>
      <c r="C418" s="39">
        <f t="shared" si="24"/>
        <v>1341400000</v>
      </c>
      <c r="D418" s="76">
        <f t="shared" si="25"/>
        <v>182172189.39991617</v>
      </c>
    </row>
    <row r="419" spans="1:4" x14ac:dyDescent="0.3">
      <c r="A419">
        <v>177000</v>
      </c>
      <c r="B419" s="29">
        <f t="shared" si="23"/>
        <v>1162422318.2907438</v>
      </c>
      <c r="C419" s="39">
        <f t="shared" si="24"/>
        <v>1345200000</v>
      </c>
      <c r="D419" s="76">
        <f t="shared" si="25"/>
        <v>182777681.70925617</v>
      </c>
    </row>
    <row r="420" spans="1:4" x14ac:dyDescent="0.3">
      <c r="A420">
        <v>177500</v>
      </c>
      <c r="B420" s="29">
        <f t="shared" si="23"/>
        <v>1165616825.9814038</v>
      </c>
      <c r="C420" s="39">
        <f t="shared" si="24"/>
        <v>1349000000</v>
      </c>
      <c r="D420" s="76">
        <f t="shared" si="25"/>
        <v>183383174.01859617</v>
      </c>
    </row>
    <row r="421" spans="1:4" x14ac:dyDescent="0.3">
      <c r="A421">
        <v>178000</v>
      </c>
      <c r="B421" s="29">
        <f t="shared" si="23"/>
        <v>1168811333.6720638</v>
      </c>
      <c r="C421" s="39">
        <f t="shared" si="24"/>
        <v>1352800000</v>
      </c>
      <c r="D421" s="76">
        <f t="shared" si="25"/>
        <v>183988666.32793617</v>
      </c>
    </row>
    <row r="422" spans="1:4" x14ac:dyDescent="0.3">
      <c r="A422">
        <v>178500</v>
      </c>
      <c r="B422" s="29">
        <f t="shared" si="23"/>
        <v>1172005841.3627238</v>
      </c>
      <c r="C422" s="39">
        <f t="shared" si="24"/>
        <v>1356600000</v>
      </c>
      <c r="D422" s="76">
        <f t="shared" si="25"/>
        <v>184594158.63727617</v>
      </c>
    </row>
    <row r="423" spans="1:4" x14ac:dyDescent="0.3">
      <c r="A423">
        <v>179000</v>
      </c>
      <c r="B423" s="29">
        <f t="shared" si="23"/>
        <v>1175200349.0533838</v>
      </c>
      <c r="C423" s="39">
        <f t="shared" si="24"/>
        <v>1360400000</v>
      </c>
      <c r="D423" s="76">
        <f t="shared" si="25"/>
        <v>185199650.94661617</v>
      </c>
    </row>
    <row r="424" spans="1:4" x14ac:dyDescent="0.3">
      <c r="A424">
        <v>179500</v>
      </c>
      <c r="B424" s="29">
        <f t="shared" si="23"/>
        <v>1178394856.7440438</v>
      </c>
      <c r="C424" s="39">
        <f t="shared" si="24"/>
        <v>1364200000</v>
      </c>
      <c r="D424" s="76">
        <f t="shared" si="25"/>
        <v>185805143.25595617</v>
      </c>
    </row>
    <row r="425" spans="1:4" x14ac:dyDescent="0.3">
      <c r="A425">
        <v>180000</v>
      </c>
      <c r="B425" s="29">
        <f t="shared" si="23"/>
        <v>1181589364.4347038</v>
      </c>
      <c r="C425" s="39">
        <f t="shared" si="24"/>
        <v>1368000000</v>
      </c>
      <c r="D425" s="76">
        <f t="shared" si="25"/>
        <v>186410635.56529617</v>
      </c>
    </row>
    <row r="426" spans="1:4" x14ac:dyDescent="0.3">
      <c r="A426">
        <v>180500</v>
      </c>
      <c r="B426" s="29">
        <f t="shared" si="23"/>
        <v>1184783872.1253638</v>
      </c>
      <c r="C426" s="39">
        <f t="shared" si="24"/>
        <v>1371800000</v>
      </c>
      <c r="D426" s="76">
        <f t="shared" si="25"/>
        <v>187016127.87463617</v>
      </c>
    </row>
    <row r="427" spans="1:4" x14ac:dyDescent="0.3">
      <c r="A427">
        <v>181000</v>
      </c>
      <c r="B427" s="29">
        <f t="shared" si="23"/>
        <v>1187978379.8160238</v>
      </c>
      <c r="C427" s="39">
        <f t="shared" si="24"/>
        <v>1375600000</v>
      </c>
      <c r="D427" s="76">
        <f t="shared" si="25"/>
        <v>187621620.18397617</v>
      </c>
    </row>
    <row r="428" spans="1:4" x14ac:dyDescent="0.3">
      <c r="A428">
        <v>181500</v>
      </c>
      <c r="B428" s="29">
        <f t="shared" si="23"/>
        <v>1191172887.5066838</v>
      </c>
      <c r="C428" s="39">
        <f t="shared" si="24"/>
        <v>1379400000</v>
      </c>
      <c r="D428" s="76">
        <f t="shared" si="25"/>
        <v>188227112.49331617</v>
      </c>
    </row>
    <row r="429" spans="1:4" x14ac:dyDescent="0.3">
      <c r="A429">
        <v>182000</v>
      </c>
      <c r="B429" s="29">
        <f t="shared" si="23"/>
        <v>1194367395.1973438</v>
      </c>
      <c r="C429" s="39">
        <f t="shared" si="24"/>
        <v>1383200000</v>
      </c>
      <c r="D429" s="76">
        <f t="shared" si="25"/>
        <v>188832604.80265617</v>
      </c>
    </row>
    <row r="430" spans="1:4" x14ac:dyDescent="0.3">
      <c r="A430">
        <v>182500</v>
      </c>
      <c r="B430" s="29">
        <f t="shared" si="23"/>
        <v>1197561902.8880038</v>
      </c>
      <c r="C430" s="39">
        <f t="shared" si="24"/>
        <v>1387000000</v>
      </c>
      <c r="D430" s="76">
        <f t="shared" si="25"/>
        <v>189438097.11199617</v>
      </c>
    </row>
    <row r="431" spans="1:4" x14ac:dyDescent="0.3">
      <c r="A431">
        <v>183000</v>
      </c>
      <c r="B431" s="29">
        <f t="shared" si="23"/>
        <v>1200756410.5786638</v>
      </c>
      <c r="C431" s="39">
        <f t="shared" si="24"/>
        <v>1390800000</v>
      </c>
      <c r="D431" s="76">
        <f t="shared" si="25"/>
        <v>190043589.42133617</v>
      </c>
    </row>
    <row r="432" spans="1:4" x14ac:dyDescent="0.3">
      <c r="A432">
        <v>183500</v>
      </c>
      <c r="B432" s="29">
        <f t="shared" si="23"/>
        <v>1203950918.2693238</v>
      </c>
      <c r="C432" s="39">
        <f t="shared" si="24"/>
        <v>1394600000</v>
      </c>
      <c r="D432" s="76">
        <f t="shared" si="25"/>
        <v>190649081.73067617</v>
      </c>
    </row>
    <row r="433" spans="1:4" x14ac:dyDescent="0.3">
      <c r="A433">
        <v>184000</v>
      </c>
      <c r="B433" s="29">
        <f t="shared" si="23"/>
        <v>1207145425.9599838</v>
      </c>
      <c r="C433" s="39">
        <f t="shared" si="24"/>
        <v>1398400000</v>
      </c>
      <c r="D433" s="76">
        <f t="shared" si="25"/>
        <v>191254574.04001617</v>
      </c>
    </row>
    <row r="434" spans="1:4" x14ac:dyDescent="0.3">
      <c r="A434">
        <v>184500</v>
      </c>
      <c r="B434" s="29">
        <f t="shared" si="23"/>
        <v>1210339933.6506438</v>
      </c>
      <c r="C434" s="39">
        <f t="shared" si="24"/>
        <v>1402200000</v>
      </c>
      <c r="D434" s="76">
        <f t="shared" si="25"/>
        <v>191860066.34935617</v>
      </c>
    </row>
    <row r="435" spans="1:4" x14ac:dyDescent="0.3">
      <c r="A435">
        <v>185000</v>
      </c>
      <c r="B435" s="29">
        <f t="shared" si="23"/>
        <v>1213534441.3413038</v>
      </c>
      <c r="C435" s="39">
        <f t="shared" si="24"/>
        <v>1406000000</v>
      </c>
      <c r="D435" s="76">
        <f t="shared" si="25"/>
        <v>192465558.65869617</v>
      </c>
    </row>
    <row r="436" spans="1:4" x14ac:dyDescent="0.3">
      <c r="A436">
        <v>185500</v>
      </c>
      <c r="B436" s="29">
        <f t="shared" si="23"/>
        <v>1216728949.0319638</v>
      </c>
      <c r="C436" s="39">
        <f t="shared" si="24"/>
        <v>1409800000</v>
      </c>
      <c r="D436" s="76">
        <f t="shared" si="25"/>
        <v>193071050.96803617</v>
      </c>
    </row>
    <row r="437" spans="1:4" x14ac:dyDescent="0.3">
      <c r="A437">
        <v>186000</v>
      </c>
      <c r="B437" s="29">
        <f t="shared" si="23"/>
        <v>1219923456.7226238</v>
      </c>
      <c r="C437" s="39">
        <f t="shared" si="24"/>
        <v>1413600000</v>
      </c>
      <c r="D437" s="76">
        <f t="shared" si="25"/>
        <v>193676543.27737617</v>
      </c>
    </row>
    <row r="438" spans="1:4" x14ac:dyDescent="0.3">
      <c r="A438">
        <v>186500</v>
      </c>
      <c r="B438" s="29">
        <f t="shared" si="23"/>
        <v>1223117964.4132838</v>
      </c>
      <c r="C438" s="39">
        <f t="shared" si="24"/>
        <v>1417400000</v>
      </c>
      <c r="D438" s="76">
        <f t="shared" si="25"/>
        <v>194282035.58671618</v>
      </c>
    </row>
    <row r="439" spans="1:4" x14ac:dyDescent="0.3">
      <c r="A439">
        <v>187000</v>
      </c>
      <c r="B439" s="29">
        <f t="shared" si="23"/>
        <v>1226312472.1039438</v>
      </c>
      <c r="C439" s="39">
        <f t="shared" si="24"/>
        <v>1421200000</v>
      </c>
      <c r="D439" s="76">
        <f t="shared" si="25"/>
        <v>194887527.89605618</v>
      </c>
    </row>
    <row r="440" spans="1:4" x14ac:dyDescent="0.3">
      <c r="A440">
        <v>187500</v>
      </c>
      <c r="B440" s="29">
        <f t="shared" si="23"/>
        <v>1229506979.7946038</v>
      </c>
      <c r="C440" s="39">
        <f t="shared" si="24"/>
        <v>1425000000</v>
      </c>
      <c r="D440" s="76">
        <f t="shared" si="25"/>
        <v>195493020.20539618</v>
      </c>
    </row>
    <row r="441" spans="1:4" x14ac:dyDescent="0.3">
      <c r="A441">
        <v>188000</v>
      </c>
      <c r="B441" s="29">
        <f t="shared" si="23"/>
        <v>1232701487.4852638</v>
      </c>
      <c r="C441" s="39">
        <f t="shared" si="24"/>
        <v>1428800000</v>
      </c>
      <c r="D441" s="76">
        <f t="shared" si="25"/>
        <v>196098512.51473618</v>
      </c>
    </row>
    <row r="442" spans="1:4" x14ac:dyDescent="0.3">
      <c r="A442">
        <v>188500</v>
      </c>
      <c r="B442" s="29">
        <f t="shared" si="23"/>
        <v>1235895995.1759238</v>
      </c>
      <c r="C442" s="39">
        <f t="shared" si="24"/>
        <v>1432600000</v>
      </c>
      <c r="D442" s="76">
        <f t="shared" si="25"/>
        <v>196704004.82407618</v>
      </c>
    </row>
    <row r="443" spans="1:4" x14ac:dyDescent="0.3">
      <c r="A443">
        <v>189000</v>
      </c>
      <c r="B443" s="29">
        <f t="shared" si="23"/>
        <v>1239090502.8665838</v>
      </c>
      <c r="C443" s="39">
        <f t="shared" si="24"/>
        <v>1436400000</v>
      </c>
      <c r="D443" s="76">
        <f t="shared" si="25"/>
        <v>197309497.13341618</v>
      </c>
    </row>
    <row r="444" spans="1:4" x14ac:dyDescent="0.3">
      <c r="A444">
        <v>189500</v>
      </c>
      <c r="B444" s="29">
        <f t="shared" si="23"/>
        <v>1242285010.5572438</v>
      </c>
      <c r="C444" s="39">
        <f t="shared" si="24"/>
        <v>1440200000</v>
      </c>
      <c r="D444" s="76">
        <f t="shared" si="25"/>
        <v>197914989.44275618</v>
      </c>
    </row>
    <row r="445" spans="1:4" x14ac:dyDescent="0.3">
      <c r="A445">
        <v>190000</v>
      </c>
      <c r="B445" s="29">
        <f t="shared" si="23"/>
        <v>1245479518.2479038</v>
      </c>
      <c r="C445" s="39">
        <f t="shared" si="24"/>
        <v>1444000000</v>
      </c>
      <c r="D445" s="76">
        <f t="shared" si="25"/>
        <v>198520481.75209618</v>
      </c>
    </row>
    <row r="446" spans="1:4" x14ac:dyDescent="0.3">
      <c r="A446">
        <v>190500</v>
      </c>
      <c r="B446" s="29">
        <f t="shared" si="23"/>
        <v>1248674025.9385638</v>
      </c>
      <c r="C446" s="39">
        <f t="shared" si="24"/>
        <v>1447800000</v>
      </c>
      <c r="D446" s="76">
        <f t="shared" si="25"/>
        <v>199125974.06143618</v>
      </c>
    </row>
    <row r="447" spans="1:4" x14ac:dyDescent="0.3">
      <c r="A447">
        <v>191000</v>
      </c>
      <c r="B447" s="29">
        <f t="shared" si="23"/>
        <v>1251868533.6292238</v>
      </c>
      <c r="C447" s="39">
        <f t="shared" si="24"/>
        <v>1451600000</v>
      </c>
      <c r="D447" s="76">
        <f t="shared" si="25"/>
        <v>199731466.37077618</v>
      </c>
    </row>
    <row r="448" spans="1:4" x14ac:dyDescent="0.3">
      <c r="A448">
        <v>191500</v>
      </c>
      <c r="B448" s="29">
        <f t="shared" si="23"/>
        <v>1255063041.3198838</v>
      </c>
      <c r="C448" s="39">
        <f t="shared" si="24"/>
        <v>1455400000</v>
      </c>
      <c r="D448" s="76">
        <f t="shared" si="25"/>
        <v>200336958.68011618</v>
      </c>
    </row>
    <row r="449" spans="1:4" x14ac:dyDescent="0.3">
      <c r="A449">
        <v>192000</v>
      </c>
      <c r="B449" s="29">
        <f t="shared" si="23"/>
        <v>1258257549.0105438</v>
      </c>
      <c r="C449" s="39">
        <f t="shared" si="24"/>
        <v>1459200000</v>
      </c>
      <c r="D449" s="76">
        <f t="shared" si="25"/>
        <v>200942450.98945618</v>
      </c>
    </row>
    <row r="450" spans="1:4" x14ac:dyDescent="0.3">
      <c r="A450">
        <v>192500</v>
      </c>
      <c r="B450" s="29">
        <f t="shared" ref="B450:B513" si="26">$B$54+($B$60*A450)</f>
        <v>1261452056.7012038</v>
      </c>
      <c r="C450" s="39">
        <f t="shared" ref="C450:C513" si="27">$E$50*A450</f>
        <v>1463000000</v>
      </c>
      <c r="D450" s="76">
        <f t="shared" ref="D450:D513" si="28">C450-B450</f>
        <v>201547943.29879618</v>
      </c>
    </row>
    <row r="451" spans="1:4" x14ac:dyDescent="0.3">
      <c r="A451">
        <v>193000</v>
      </c>
      <c r="B451" s="29">
        <f t="shared" si="26"/>
        <v>1264646564.3918638</v>
      </c>
      <c r="C451" s="39">
        <f t="shared" si="27"/>
        <v>1466800000</v>
      </c>
      <c r="D451" s="76">
        <f t="shared" si="28"/>
        <v>202153435.60813618</v>
      </c>
    </row>
    <row r="452" spans="1:4" x14ac:dyDescent="0.3">
      <c r="A452">
        <v>193500</v>
      </c>
      <c r="B452" s="29">
        <f t="shared" si="26"/>
        <v>1267841072.0825238</v>
      </c>
      <c r="C452" s="39">
        <f t="shared" si="27"/>
        <v>1470600000</v>
      </c>
      <c r="D452" s="76">
        <f t="shared" si="28"/>
        <v>202758927.91747618</v>
      </c>
    </row>
    <row r="453" spans="1:4" x14ac:dyDescent="0.3">
      <c r="A453">
        <v>194000</v>
      </c>
      <c r="B453" s="29">
        <f t="shared" si="26"/>
        <v>1271035579.7731838</v>
      </c>
      <c r="C453" s="39">
        <f t="shared" si="27"/>
        <v>1474400000</v>
      </c>
      <c r="D453" s="76">
        <f t="shared" si="28"/>
        <v>203364420.22681618</v>
      </c>
    </row>
    <row r="454" spans="1:4" x14ac:dyDescent="0.3">
      <c r="A454">
        <v>194500</v>
      </c>
      <c r="B454" s="29">
        <f t="shared" si="26"/>
        <v>1274230087.4638438</v>
      </c>
      <c r="C454" s="39">
        <f t="shared" si="27"/>
        <v>1478200000</v>
      </c>
      <c r="D454" s="76">
        <f t="shared" si="28"/>
        <v>203969912.53615618</v>
      </c>
    </row>
    <row r="455" spans="1:4" x14ac:dyDescent="0.3">
      <c r="A455">
        <v>195000</v>
      </c>
      <c r="B455" s="29">
        <f t="shared" si="26"/>
        <v>1277424595.1545038</v>
      </c>
      <c r="C455" s="39">
        <f t="shared" si="27"/>
        <v>1482000000</v>
      </c>
      <c r="D455" s="76">
        <f t="shared" si="28"/>
        <v>204575404.84549618</v>
      </c>
    </row>
    <row r="456" spans="1:4" x14ac:dyDescent="0.3">
      <c r="A456">
        <v>195500</v>
      </c>
      <c r="B456" s="29">
        <f t="shared" si="26"/>
        <v>1280619102.8451638</v>
      </c>
      <c r="C456" s="39">
        <f t="shared" si="27"/>
        <v>1485800000</v>
      </c>
      <c r="D456" s="76">
        <f t="shared" si="28"/>
        <v>205180897.15483618</v>
      </c>
    </row>
    <row r="457" spans="1:4" x14ac:dyDescent="0.3">
      <c r="A457">
        <v>196000</v>
      </c>
      <c r="B457" s="29">
        <f t="shared" si="26"/>
        <v>1283813610.5358238</v>
      </c>
      <c r="C457" s="39">
        <f t="shared" si="27"/>
        <v>1489600000</v>
      </c>
      <c r="D457" s="76">
        <f t="shared" si="28"/>
        <v>205786389.46417618</v>
      </c>
    </row>
    <row r="458" spans="1:4" x14ac:dyDescent="0.3">
      <c r="A458">
        <v>196500</v>
      </c>
      <c r="B458" s="29">
        <f t="shared" si="26"/>
        <v>1287008118.2264838</v>
      </c>
      <c r="C458" s="39">
        <f t="shared" si="27"/>
        <v>1493400000</v>
      </c>
      <c r="D458" s="76">
        <f t="shared" si="28"/>
        <v>206391881.77351618</v>
      </c>
    </row>
    <row r="459" spans="1:4" x14ac:dyDescent="0.3">
      <c r="A459">
        <v>197000</v>
      </c>
      <c r="B459" s="29">
        <f t="shared" si="26"/>
        <v>1290202625.9171438</v>
      </c>
      <c r="C459" s="39">
        <f t="shared" si="27"/>
        <v>1497200000</v>
      </c>
      <c r="D459" s="76">
        <f t="shared" si="28"/>
        <v>206997374.08285618</v>
      </c>
    </row>
    <row r="460" spans="1:4" x14ac:dyDescent="0.3">
      <c r="A460">
        <v>197500</v>
      </c>
      <c r="B460" s="29">
        <f t="shared" si="26"/>
        <v>1293397133.6078038</v>
      </c>
      <c r="C460" s="39">
        <f t="shared" si="27"/>
        <v>1501000000</v>
      </c>
      <c r="D460" s="76">
        <f t="shared" si="28"/>
        <v>207602866.39219618</v>
      </c>
    </row>
    <row r="461" spans="1:4" x14ac:dyDescent="0.3">
      <c r="A461">
        <v>198000</v>
      </c>
      <c r="B461" s="29">
        <f t="shared" si="26"/>
        <v>1296591641.2984638</v>
      </c>
      <c r="C461" s="39">
        <f t="shared" si="27"/>
        <v>1504800000</v>
      </c>
      <c r="D461" s="76">
        <f t="shared" si="28"/>
        <v>208208358.70153618</v>
      </c>
    </row>
    <row r="462" spans="1:4" x14ac:dyDescent="0.3">
      <c r="A462">
        <v>198500</v>
      </c>
      <c r="B462" s="29">
        <f t="shared" si="26"/>
        <v>1299786148.9891238</v>
      </c>
      <c r="C462" s="39">
        <f t="shared" si="27"/>
        <v>1508600000</v>
      </c>
      <c r="D462" s="76">
        <f t="shared" si="28"/>
        <v>208813851.01087618</v>
      </c>
    </row>
    <row r="463" spans="1:4" x14ac:dyDescent="0.3">
      <c r="A463">
        <v>199000</v>
      </c>
      <c r="B463" s="29">
        <f t="shared" si="26"/>
        <v>1302980656.6797838</v>
      </c>
      <c r="C463" s="39">
        <f t="shared" si="27"/>
        <v>1512400000</v>
      </c>
      <c r="D463" s="76">
        <f t="shared" si="28"/>
        <v>209419343.32021618</v>
      </c>
    </row>
    <row r="464" spans="1:4" x14ac:dyDescent="0.3">
      <c r="A464">
        <v>199500</v>
      </c>
      <c r="B464" s="29">
        <f t="shared" si="26"/>
        <v>1306175164.3704438</v>
      </c>
      <c r="C464" s="39">
        <f t="shared" si="27"/>
        <v>1516200000</v>
      </c>
      <c r="D464" s="76">
        <f t="shared" si="28"/>
        <v>210024835.62955618</v>
      </c>
    </row>
    <row r="465" spans="1:4" x14ac:dyDescent="0.3">
      <c r="A465">
        <v>200000</v>
      </c>
      <c r="B465" s="29">
        <f t="shared" si="26"/>
        <v>1309369672.0611038</v>
      </c>
      <c r="C465" s="39">
        <f t="shared" si="27"/>
        <v>1520000000</v>
      </c>
      <c r="D465" s="76">
        <f t="shared" si="28"/>
        <v>210630327.93889618</v>
      </c>
    </row>
    <row r="466" spans="1:4" x14ac:dyDescent="0.3">
      <c r="A466">
        <v>200500</v>
      </c>
      <c r="B466" s="29">
        <f t="shared" si="26"/>
        <v>1312564179.7517638</v>
      </c>
      <c r="C466" s="39">
        <f t="shared" si="27"/>
        <v>1523800000</v>
      </c>
      <c r="D466" s="76">
        <f t="shared" si="28"/>
        <v>211235820.24823618</v>
      </c>
    </row>
    <row r="467" spans="1:4" x14ac:dyDescent="0.3">
      <c r="A467">
        <v>201000</v>
      </c>
      <c r="B467" s="29">
        <f t="shared" si="26"/>
        <v>1315758687.4424238</v>
      </c>
      <c r="C467" s="39">
        <f t="shared" si="27"/>
        <v>1527600000</v>
      </c>
      <c r="D467" s="76">
        <f t="shared" si="28"/>
        <v>211841312.55757618</v>
      </c>
    </row>
    <row r="468" spans="1:4" x14ac:dyDescent="0.3">
      <c r="A468">
        <v>201500</v>
      </c>
      <c r="B468" s="29">
        <f t="shared" si="26"/>
        <v>1318953195.1330838</v>
      </c>
      <c r="C468" s="39">
        <f t="shared" si="27"/>
        <v>1531400000</v>
      </c>
      <c r="D468" s="76">
        <f t="shared" si="28"/>
        <v>212446804.86691618</v>
      </c>
    </row>
    <row r="469" spans="1:4" x14ac:dyDescent="0.3">
      <c r="A469">
        <v>202000</v>
      </c>
      <c r="B469" s="29">
        <f t="shared" si="26"/>
        <v>1322147702.8237438</v>
      </c>
      <c r="C469" s="39">
        <f t="shared" si="27"/>
        <v>1535200000</v>
      </c>
      <c r="D469" s="76">
        <f t="shared" si="28"/>
        <v>213052297.17625618</v>
      </c>
    </row>
    <row r="470" spans="1:4" x14ac:dyDescent="0.3">
      <c r="A470">
        <v>202500</v>
      </c>
      <c r="B470" s="29">
        <f t="shared" si="26"/>
        <v>1325342210.5144038</v>
      </c>
      <c r="C470" s="39">
        <f t="shared" si="27"/>
        <v>1539000000</v>
      </c>
      <c r="D470" s="76">
        <f t="shared" si="28"/>
        <v>213657789.48559618</v>
      </c>
    </row>
    <row r="471" spans="1:4" x14ac:dyDescent="0.3">
      <c r="A471">
        <v>203000</v>
      </c>
      <c r="B471" s="29">
        <f t="shared" si="26"/>
        <v>1328536718.2050638</v>
      </c>
      <c r="C471" s="39">
        <f t="shared" si="27"/>
        <v>1542800000</v>
      </c>
      <c r="D471" s="76">
        <f t="shared" si="28"/>
        <v>214263281.79493618</v>
      </c>
    </row>
    <row r="472" spans="1:4" x14ac:dyDescent="0.3">
      <c r="A472">
        <v>203500</v>
      </c>
      <c r="B472" s="29">
        <f t="shared" si="26"/>
        <v>1331731225.8957238</v>
      </c>
      <c r="C472" s="39">
        <f t="shared" si="27"/>
        <v>1546600000</v>
      </c>
      <c r="D472" s="76">
        <f t="shared" si="28"/>
        <v>214868774.10427618</v>
      </c>
    </row>
    <row r="473" spans="1:4" x14ac:dyDescent="0.3">
      <c r="A473">
        <v>204000</v>
      </c>
      <c r="B473" s="29">
        <f t="shared" si="26"/>
        <v>1334925733.5863838</v>
      </c>
      <c r="C473" s="39">
        <f t="shared" si="27"/>
        <v>1550400000</v>
      </c>
      <c r="D473" s="76">
        <f t="shared" si="28"/>
        <v>215474266.41361618</v>
      </c>
    </row>
    <row r="474" spans="1:4" x14ac:dyDescent="0.3">
      <c r="A474">
        <v>204500</v>
      </c>
      <c r="B474" s="29">
        <f t="shared" si="26"/>
        <v>1338120241.2770438</v>
      </c>
      <c r="C474" s="39">
        <f t="shared" si="27"/>
        <v>1554200000</v>
      </c>
      <c r="D474" s="76">
        <f t="shared" si="28"/>
        <v>216079758.72295618</v>
      </c>
    </row>
    <row r="475" spans="1:4" x14ac:dyDescent="0.3">
      <c r="A475">
        <v>205000</v>
      </c>
      <c r="B475" s="29">
        <f t="shared" si="26"/>
        <v>1341314748.9677038</v>
      </c>
      <c r="C475" s="39">
        <f t="shared" si="27"/>
        <v>1558000000</v>
      </c>
      <c r="D475" s="76">
        <f t="shared" si="28"/>
        <v>216685251.03229618</v>
      </c>
    </row>
    <row r="476" spans="1:4" x14ac:dyDescent="0.3">
      <c r="A476">
        <v>205500</v>
      </c>
      <c r="B476" s="29">
        <f t="shared" si="26"/>
        <v>1344509256.6583638</v>
      </c>
      <c r="C476" s="39">
        <f t="shared" si="27"/>
        <v>1561800000</v>
      </c>
      <c r="D476" s="76">
        <f t="shared" si="28"/>
        <v>217290743.34163618</v>
      </c>
    </row>
    <row r="477" spans="1:4" x14ac:dyDescent="0.3">
      <c r="A477">
        <v>206000</v>
      </c>
      <c r="B477" s="29">
        <f t="shared" si="26"/>
        <v>1347703764.3490238</v>
      </c>
      <c r="C477" s="39">
        <f t="shared" si="27"/>
        <v>1565600000</v>
      </c>
      <c r="D477" s="76">
        <f t="shared" si="28"/>
        <v>217896235.65097618</v>
      </c>
    </row>
    <row r="478" spans="1:4" x14ac:dyDescent="0.3">
      <c r="A478">
        <v>206500</v>
      </c>
      <c r="B478" s="29">
        <f t="shared" si="26"/>
        <v>1350898272.0396838</v>
      </c>
      <c r="C478" s="39">
        <f t="shared" si="27"/>
        <v>1569400000</v>
      </c>
      <c r="D478" s="76">
        <f t="shared" si="28"/>
        <v>218501727.96031618</v>
      </c>
    </row>
    <row r="479" spans="1:4" x14ac:dyDescent="0.3">
      <c r="A479">
        <v>207000</v>
      </c>
      <c r="B479" s="29">
        <f t="shared" si="26"/>
        <v>1354092779.7303438</v>
      </c>
      <c r="C479" s="39">
        <f t="shared" si="27"/>
        <v>1573200000</v>
      </c>
      <c r="D479" s="76">
        <f t="shared" si="28"/>
        <v>219107220.26965618</v>
      </c>
    </row>
    <row r="480" spans="1:4" x14ac:dyDescent="0.3">
      <c r="A480">
        <v>207500</v>
      </c>
      <c r="B480" s="29">
        <f t="shared" si="26"/>
        <v>1357287287.4210038</v>
      </c>
      <c r="C480" s="39">
        <f t="shared" si="27"/>
        <v>1577000000</v>
      </c>
      <c r="D480" s="76">
        <f t="shared" si="28"/>
        <v>219712712.57899618</v>
      </c>
    </row>
    <row r="481" spans="1:4" x14ac:dyDescent="0.3">
      <c r="A481">
        <v>208000</v>
      </c>
      <c r="B481" s="29">
        <f t="shared" si="26"/>
        <v>1360481795.1116638</v>
      </c>
      <c r="C481" s="39">
        <f t="shared" si="27"/>
        <v>1580800000</v>
      </c>
      <c r="D481" s="76">
        <f t="shared" si="28"/>
        <v>220318204.88833618</v>
      </c>
    </row>
    <row r="482" spans="1:4" x14ac:dyDescent="0.3">
      <c r="A482">
        <v>208500</v>
      </c>
      <c r="B482" s="29">
        <f t="shared" si="26"/>
        <v>1363676302.8023238</v>
      </c>
      <c r="C482" s="39">
        <f t="shared" si="27"/>
        <v>1584600000</v>
      </c>
      <c r="D482" s="76">
        <f t="shared" si="28"/>
        <v>220923697.19767618</v>
      </c>
    </row>
    <row r="483" spans="1:4" x14ac:dyDescent="0.3">
      <c r="A483">
        <v>209000</v>
      </c>
      <c r="B483" s="29">
        <f t="shared" si="26"/>
        <v>1366870810.4929838</v>
      </c>
      <c r="C483" s="39">
        <f t="shared" si="27"/>
        <v>1588400000</v>
      </c>
      <c r="D483" s="76">
        <f t="shared" si="28"/>
        <v>221529189.50701618</v>
      </c>
    </row>
    <row r="484" spans="1:4" x14ac:dyDescent="0.3">
      <c r="A484">
        <v>209500</v>
      </c>
      <c r="B484" s="29">
        <f t="shared" si="26"/>
        <v>1370065318.1836438</v>
      </c>
      <c r="C484" s="39">
        <f t="shared" si="27"/>
        <v>1592200000</v>
      </c>
      <c r="D484" s="76">
        <f t="shared" si="28"/>
        <v>222134681.81635618</v>
      </c>
    </row>
    <row r="485" spans="1:4" x14ac:dyDescent="0.3">
      <c r="A485">
        <v>210000</v>
      </c>
      <c r="B485" s="29">
        <f t="shared" si="26"/>
        <v>1373259825.8743038</v>
      </c>
      <c r="C485" s="39">
        <f t="shared" si="27"/>
        <v>1596000000</v>
      </c>
      <c r="D485" s="76">
        <f t="shared" si="28"/>
        <v>222740174.12569618</v>
      </c>
    </row>
    <row r="486" spans="1:4" x14ac:dyDescent="0.3">
      <c r="A486">
        <v>210500</v>
      </c>
      <c r="B486" s="29">
        <f t="shared" si="26"/>
        <v>1376454333.5649638</v>
      </c>
      <c r="C486" s="39">
        <f t="shared" si="27"/>
        <v>1599800000</v>
      </c>
      <c r="D486" s="76">
        <f t="shared" si="28"/>
        <v>223345666.43503618</v>
      </c>
    </row>
    <row r="487" spans="1:4" x14ac:dyDescent="0.3">
      <c r="A487">
        <v>211000</v>
      </c>
      <c r="B487" s="29">
        <f t="shared" si="26"/>
        <v>1379648841.2556238</v>
      </c>
      <c r="C487" s="39">
        <f t="shared" si="27"/>
        <v>1603600000</v>
      </c>
      <c r="D487" s="76">
        <f t="shared" si="28"/>
        <v>223951158.74437618</v>
      </c>
    </row>
    <row r="488" spans="1:4" x14ac:dyDescent="0.3">
      <c r="A488">
        <v>211500</v>
      </c>
      <c r="B488" s="29">
        <f t="shared" si="26"/>
        <v>1382843348.9462838</v>
      </c>
      <c r="C488" s="39">
        <f t="shared" si="27"/>
        <v>1607400000</v>
      </c>
      <c r="D488" s="76">
        <f t="shared" si="28"/>
        <v>224556651.05371618</v>
      </c>
    </row>
    <row r="489" spans="1:4" x14ac:dyDescent="0.3">
      <c r="A489">
        <v>212000</v>
      </c>
      <c r="B489" s="29">
        <f t="shared" si="26"/>
        <v>1386037856.6369438</v>
      </c>
      <c r="C489" s="39">
        <f t="shared" si="27"/>
        <v>1611200000</v>
      </c>
      <c r="D489" s="76">
        <f t="shared" si="28"/>
        <v>225162143.36305618</v>
      </c>
    </row>
    <row r="490" spans="1:4" x14ac:dyDescent="0.3">
      <c r="A490">
        <v>212500</v>
      </c>
      <c r="B490" s="29">
        <f t="shared" si="26"/>
        <v>1389232364.3276038</v>
      </c>
      <c r="C490" s="39">
        <f t="shared" si="27"/>
        <v>1615000000</v>
      </c>
      <c r="D490" s="76">
        <f t="shared" si="28"/>
        <v>225767635.67239618</v>
      </c>
    </row>
    <row r="491" spans="1:4" x14ac:dyDescent="0.3">
      <c r="A491">
        <v>213000</v>
      </c>
      <c r="B491" s="29">
        <f t="shared" si="26"/>
        <v>1392426872.0182638</v>
      </c>
      <c r="C491" s="39">
        <f t="shared" si="27"/>
        <v>1618800000</v>
      </c>
      <c r="D491" s="76">
        <f t="shared" si="28"/>
        <v>226373127.98173618</v>
      </c>
    </row>
    <row r="492" spans="1:4" x14ac:dyDescent="0.3">
      <c r="A492">
        <v>213500</v>
      </c>
      <c r="B492" s="29">
        <f t="shared" si="26"/>
        <v>1395621379.7089238</v>
      </c>
      <c r="C492" s="39">
        <f t="shared" si="27"/>
        <v>1622600000</v>
      </c>
      <c r="D492" s="76">
        <f t="shared" si="28"/>
        <v>226978620.29107618</v>
      </c>
    </row>
    <row r="493" spans="1:4" x14ac:dyDescent="0.3">
      <c r="A493">
        <v>214000</v>
      </c>
      <c r="B493" s="29">
        <f t="shared" si="26"/>
        <v>1398815887.3995838</v>
      </c>
      <c r="C493" s="39">
        <f t="shared" si="27"/>
        <v>1626400000</v>
      </c>
      <c r="D493" s="76">
        <f t="shared" si="28"/>
        <v>227584112.60041618</v>
      </c>
    </row>
    <row r="494" spans="1:4" x14ac:dyDescent="0.3">
      <c r="A494">
        <v>214500</v>
      </c>
      <c r="B494" s="29">
        <f t="shared" si="26"/>
        <v>1402010395.0902438</v>
      </c>
      <c r="C494" s="39">
        <f t="shared" si="27"/>
        <v>1630200000</v>
      </c>
      <c r="D494" s="76">
        <f t="shared" si="28"/>
        <v>228189604.90975618</v>
      </c>
    </row>
    <row r="495" spans="1:4" x14ac:dyDescent="0.3">
      <c r="A495">
        <v>215000</v>
      </c>
      <c r="B495" s="29">
        <f t="shared" si="26"/>
        <v>1405204902.7809038</v>
      </c>
      <c r="C495" s="39">
        <f t="shared" si="27"/>
        <v>1634000000</v>
      </c>
      <c r="D495" s="76">
        <f t="shared" si="28"/>
        <v>228795097.21909618</v>
      </c>
    </row>
    <row r="496" spans="1:4" x14ac:dyDescent="0.3">
      <c r="A496">
        <v>215500</v>
      </c>
      <c r="B496" s="29">
        <f t="shared" si="26"/>
        <v>1408399410.4715638</v>
      </c>
      <c r="C496" s="39">
        <f t="shared" si="27"/>
        <v>1637800000</v>
      </c>
      <c r="D496" s="76">
        <f t="shared" si="28"/>
        <v>229400589.52843618</v>
      </c>
    </row>
    <row r="497" spans="1:4" x14ac:dyDescent="0.3">
      <c r="A497">
        <v>216000</v>
      </c>
      <c r="B497" s="29">
        <f t="shared" si="26"/>
        <v>1411593918.1622238</v>
      </c>
      <c r="C497" s="39">
        <f t="shared" si="27"/>
        <v>1641600000</v>
      </c>
      <c r="D497" s="76">
        <f t="shared" si="28"/>
        <v>230006081.83777618</v>
      </c>
    </row>
    <row r="498" spans="1:4" x14ac:dyDescent="0.3">
      <c r="A498">
        <v>216500</v>
      </c>
      <c r="B498" s="29">
        <f t="shared" si="26"/>
        <v>1414788425.8528838</v>
      </c>
      <c r="C498" s="39">
        <f t="shared" si="27"/>
        <v>1645400000</v>
      </c>
      <c r="D498" s="76">
        <f t="shared" si="28"/>
        <v>230611574.14711618</v>
      </c>
    </row>
    <row r="499" spans="1:4" x14ac:dyDescent="0.3">
      <c r="A499">
        <v>217000</v>
      </c>
      <c r="B499" s="29">
        <f t="shared" si="26"/>
        <v>1417982933.5435438</v>
      </c>
      <c r="C499" s="39">
        <f t="shared" si="27"/>
        <v>1649200000</v>
      </c>
      <c r="D499" s="76">
        <f t="shared" si="28"/>
        <v>231217066.45645618</v>
      </c>
    </row>
    <row r="500" spans="1:4" x14ac:dyDescent="0.3">
      <c r="A500">
        <v>217500</v>
      </c>
      <c r="B500" s="29">
        <f t="shared" si="26"/>
        <v>1421177441.2342038</v>
      </c>
      <c r="C500" s="39">
        <f t="shared" si="27"/>
        <v>1653000000</v>
      </c>
      <c r="D500" s="76">
        <f t="shared" si="28"/>
        <v>231822558.76579618</v>
      </c>
    </row>
    <row r="501" spans="1:4" x14ac:dyDescent="0.3">
      <c r="A501">
        <v>218000</v>
      </c>
      <c r="B501" s="29">
        <f t="shared" si="26"/>
        <v>1424371948.9248638</v>
      </c>
      <c r="C501" s="39">
        <f t="shared" si="27"/>
        <v>1656800000</v>
      </c>
      <c r="D501" s="76">
        <f t="shared" si="28"/>
        <v>232428051.07513618</v>
      </c>
    </row>
    <row r="502" spans="1:4" x14ac:dyDescent="0.3">
      <c r="A502">
        <v>218500</v>
      </c>
      <c r="B502" s="29">
        <f t="shared" si="26"/>
        <v>1427566456.6155238</v>
      </c>
      <c r="C502" s="39">
        <f t="shared" si="27"/>
        <v>1660600000</v>
      </c>
      <c r="D502" s="76">
        <f t="shared" si="28"/>
        <v>233033543.38447618</v>
      </c>
    </row>
    <row r="503" spans="1:4" x14ac:dyDescent="0.3">
      <c r="A503">
        <v>219000</v>
      </c>
      <c r="B503" s="29">
        <f t="shared" si="26"/>
        <v>1430760964.3061838</v>
      </c>
      <c r="C503" s="39">
        <f t="shared" si="27"/>
        <v>1664400000</v>
      </c>
      <c r="D503" s="76">
        <f t="shared" si="28"/>
        <v>233639035.69381618</v>
      </c>
    </row>
    <row r="504" spans="1:4" x14ac:dyDescent="0.3">
      <c r="A504">
        <v>219500</v>
      </c>
      <c r="B504" s="29">
        <f t="shared" si="26"/>
        <v>1433955471.9968438</v>
      </c>
      <c r="C504" s="39">
        <f t="shared" si="27"/>
        <v>1668200000</v>
      </c>
      <c r="D504" s="76">
        <f t="shared" si="28"/>
        <v>234244528.00315619</v>
      </c>
    </row>
    <row r="505" spans="1:4" x14ac:dyDescent="0.3">
      <c r="A505">
        <v>220000</v>
      </c>
      <c r="B505" s="29">
        <f t="shared" si="26"/>
        <v>1437149979.6875038</v>
      </c>
      <c r="C505" s="39">
        <f t="shared" si="27"/>
        <v>1672000000</v>
      </c>
      <c r="D505" s="76">
        <f t="shared" si="28"/>
        <v>234850020.31249619</v>
      </c>
    </row>
    <row r="506" spans="1:4" x14ac:dyDescent="0.3">
      <c r="A506">
        <v>220500</v>
      </c>
      <c r="B506" s="29">
        <f t="shared" si="26"/>
        <v>1440344487.3781638</v>
      </c>
      <c r="C506" s="39">
        <f t="shared" si="27"/>
        <v>1675800000</v>
      </c>
      <c r="D506" s="76">
        <f t="shared" si="28"/>
        <v>235455512.62183619</v>
      </c>
    </row>
    <row r="507" spans="1:4" x14ac:dyDescent="0.3">
      <c r="A507">
        <v>221000</v>
      </c>
      <c r="B507" s="29">
        <f t="shared" si="26"/>
        <v>1443538995.0688238</v>
      </c>
      <c r="C507" s="39">
        <f t="shared" si="27"/>
        <v>1679600000</v>
      </c>
      <c r="D507" s="76">
        <f t="shared" si="28"/>
        <v>236061004.93117619</v>
      </c>
    </row>
    <row r="508" spans="1:4" x14ac:dyDescent="0.3">
      <c r="A508">
        <v>221500</v>
      </c>
      <c r="B508" s="29">
        <f t="shared" si="26"/>
        <v>1446733502.7594838</v>
      </c>
      <c r="C508" s="39">
        <f t="shared" si="27"/>
        <v>1683400000</v>
      </c>
      <c r="D508" s="76">
        <f t="shared" si="28"/>
        <v>236666497.24051619</v>
      </c>
    </row>
    <row r="509" spans="1:4" x14ac:dyDescent="0.3">
      <c r="A509">
        <v>222000</v>
      </c>
      <c r="B509" s="29">
        <f t="shared" si="26"/>
        <v>1449928010.4501438</v>
      </c>
      <c r="C509" s="39">
        <f t="shared" si="27"/>
        <v>1687200000</v>
      </c>
      <c r="D509" s="76">
        <f t="shared" si="28"/>
        <v>237271989.54985619</v>
      </c>
    </row>
    <row r="510" spans="1:4" x14ac:dyDescent="0.3">
      <c r="A510">
        <v>222500</v>
      </c>
      <c r="B510" s="29">
        <f t="shared" si="26"/>
        <v>1453122518.1408038</v>
      </c>
      <c r="C510" s="39">
        <f t="shared" si="27"/>
        <v>1691000000</v>
      </c>
      <c r="D510" s="76">
        <f t="shared" si="28"/>
        <v>237877481.85919619</v>
      </c>
    </row>
    <row r="511" spans="1:4" x14ac:dyDescent="0.3">
      <c r="A511">
        <v>223000</v>
      </c>
      <c r="B511" s="29">
        <f t="shared" si="26"/>
        <v>1456317025.8314638</v>
      </c>
      <c r="C511" s="39">
        <f t="shared" si="27"/>
        <v>1694800000</v>
      </c>
      <c r="D511" s="76">
        <f t="shared" si="28"/>
        <v>238482974.16853619</v>
      </c>
    </row>
    <row r="512" spans="1:4" x14ac:dyDescent="0.3">
      <c r="A512">
        <v>223500</v>
      </c>
      <c r="B512" s="29">
        <f t="shared" si="26"/>
        <v>1459511533.5221238</v>
      </c>
      <c r="C512" s="39">
        <f t="shared" si="27"/>
        <v>1698600000</v>
      </c>
      <c r="D512" s="76">
        <f t="shared" si="28"/>
        <v>239088466.47787619</v>
      </c>
    </row>
    <row r="513" spans="1:4" x14ac:dyDescent="0.3">
      <c r="A513">
        <v>224000</v>
      </c>
      <c r="B513" s="29">
        <f t="shared" si="26"/>
        <v>1462706041.2127838</v>
      </c>
      <c r="C513" s="39">
        <f t="shared" si="27"/>
        <v>1702400000</v>
      </c>
      <c r="D513" s="76">
        <f t="shared" si="28"/>
        <v>239693958.78721619</v>
      </c>
    </row>
    <row r="514" spans="1:4" x14ac:dyDescent="0.3">
      <c r="A514">
        <v>224500</v>
      </c>
      <c r="B514" s="29">
        <f t="shared" ref="B514:B577" si="29">$B$54+($B$60*A514)</f>
        <v>1465900548.9034438</v>
      </c>
      <c r="C514" s="39">
        <f t="shared" ref="C514:C577" si="30">$E$50*A514</f>
        <v>1706200000</v>
      </c>
      <c r="D514" s="76">
        <f t="shared" ref="D514:D577" si="31">C514-B514</f>
        <v>240299451.09655619</v>
      </c>
    </row>
    <row r="515" spans="1:4" x14ac:dyDescent="0.3">
      <c r="A515">
        <v>225000</v>
      </c>
      <c r="B515" s="29">
        <f t="shared" si="29"/>
        <v>1469095056.5941038</v>
      </c>
      <c r="C515" s="39">
        <f t="shared" si="30"/>
        <v>1710000000</v>
      </c>
      <c r="D515" s="76">
        <f t="shared" si="31"/>
        <v>240904943.40589619</v>
      </c>
    </row>
    <row r="516" spans="1:4" x14ac:dyDescent="0.3">
      <c r="A516">
        <v>225500</v>
      </c>
      <c r="B516" s="29">
        <f t="shared" si="29"/>
        <v>1472289564.2847638</v>
      </c>
      <c r="C516" s="39">
        <f t="shared" si="30"/>
        <v>1713800000</v>
      </c>
      <c r="D516" s="76">
        <f t="shared" si="31"/>
        <v>241510435.71523619</v>
      </c>
    </row>
    <row r="517" spans="1:4" x14ac:dyDescent="0.3">
      <c r="A517">
        <v>226000</v>
      </c>
      <c r="B517" s="29">
        <f t="shared" si="29"/>
        <v>1475484071.9754238</v>
      </c>
      <c r="C517" s="39">
        <f t="shared" si="30"/>
        <v>1717600000</v>
      </c>
      <c r="D517" s="76">
        <f t="shared" si="31"/>
        <v>242115928.02457619</v>
      </c>
    </row>
    <row r="518" spans="1:4" x14ac:dyDescent="0.3">
      <c r="A518">
        <v>226500</v>
      </c>
      <c r="B518" s="29">
        <f t="shared" si="29"/>
        <v>1478678579.6660838</v>
      </c>
      <c r="C518" s="39">
        <f t="shared" si="30"/>
        <v>1721400000</v>
      </c>
      <c r="D518" s="76">
        <f t="shared" si="31"/>
        <v>242721420.33391619</v>
      </c>
    </row>
    <row r="519" spans="1:4" x14ac:dyDescent="0.3">
      <c r="A519">
        <v>227000</v>
      </c>
      <c r="B519" s="29">
        <f t="shared" si="29"/>
        <v>1481873087.3567438</v>
      </c>
      <c r="C519" s="39">
        <f t="shared" si="30"/>
        <v>1725200000</v>
      </c>
      <c r="D519" s="76">
        <f t="shared" si="31"/>
        <v>243326912.64325619</v>
      </c>
    </row>
    <row r="520" spans="1:4" x14ac:dyDescent="0.3">
      <c r="A520">
        <v>227500</v>
      </c>
      <c r="B520" s="29">
        <f t="shared" si="29"/>
        <v>1485067595.0474038</v>
      </c>
      <c r="C520" s="39">
        <f t="shared" si="30"/>
        <v>1729000000</v>
      </c>
      <c r="D520" s="76">
        <f t="shared" si="31"/>
        <v>243932404.95259619</v>
      </c>
    </row>
    <row r="521" spans="1:4" x14ac:dyDescent="0.3">
      <c r="A521">
        <v>228000</v>
      </c>
      <c r="B521" s="29">
        <f t="shared" si="29"/>
        <v>1488262102.7380638</v>
      </c>
      <c r="C521" s="39">
        <f t="shared" si="30"/>
        <v>1732800000</v>
      </c>
      <c r="D521" s="76">
        <f t="shared" si="31"/>
        <v>244537897.26193619</v>
      </c>
    </row>
    <row r="522" spans="1:4" x14ac:dyDescent="0.3">
      <c r="A522">
        <v>228500</v>
      </c>
      <c r="B522" s="29">
        <f t="shared" si="29"/>
        <v>1491456610.4287238</v>
      </c>
      <c r="C522" s="39">
        <f t="shared" si="30"/>
        <v>1736600000</v>
      </c>
      <c r="D522" s="76">
        <f t="shared" si="31"/>
        <v>245143389.57127619</v>
      </c>
    </row>
    <row r="523" spans="1:4" x14ac:dyDescent="0.3">
      <c r="A523">
        <v>229000</v>
      </c>
      <c r="B523" s="29">
        <f t="shared" si="29"/>
        <v>1494651118.1193838</v>
      </c>
      <c r="C523" s="39">
        <f t="shared" si="30"/>
        <v>1740400000</v>
      </c>
      <c r="D523" s="76">
        <f t="shared" si="31"/>
        <v>245748881.88061619</v>
      </c>
    </row>
    <row r="524" spans="1:4" x14ac:dyDescent="0.3">
      <c r="A524">
        <v>229500</v>
      </c>
      <c r="B524" s="29">
        <f t="shared" si="29"/>
        <v>1497845625.8100438</v>
      </c>
      <c r="C524" s="39">
        <f t="shared" si="30"/>
        <v>1744200000</v>
      </c>
      <c r="D524" s="76">
        <f t="shared" si="31"/>
        <v>246354374.18995619</v>
      </c>
    </row>
    <row r="525" spans="1:4" x14ac:dyDescent="0.3">
      <c r="A525">
        <v>230000</v>
      </c>
      <c r="B525" s="29">
        <f t="shared" si="29"/>
        <v>1501040133.5007038</v>
      </c>
      <c r="C525" s="39">
        <f t="shared" si="30"/>
        <v>1748000000</v>
      </c>
      <c r="D525" s="76">
        <f t="shared" si="31"/>
        <v>246959866.49929619</v>
      </c>
    </row>
    <row r="526" spans="1:4" x14ac:dyDescent="0.3">
      <c r="A526">
        <v>230500</v>
      </c>
      <c r="B526" s="29">
        <f t="shared" si="29"/>
        <v>1504234641.1913638</v>
      </c>
      <c r="C526" s="39">
        <f t="shared" si="30"/>
        <v>1751800000</v>
      </c>
      <c r="D526" s="76">
        <f t="shared" si="31"/>
        <v>247565358.80863619</v>
      </c>
    </row>
    <row r="527" spans="1:4" x14ac:dyDescent="0.3">
      <c r="A527">
        <v>231000</v>
      </c>
      <c r="B527" s="29">
        <f t="shared" si="29"/>
        <v>1507429148.8820238</v>
      </c>
      <c r="C527" s="39">
        <f t="shared" si="30"/>
        <v>1755600000</v>
      </c>
      <c r="D527" s="76">
        <f t="shared" si="31"/>
        <v>248170851.11797619</v>
      </c>
    </row>
    <row r="528" spans="1:4" x14ac:dyDescent="0.3">
      <c r="A528">
        <v>231500</v>
      </c>
      <c r="B528" s="29">
        <f t="shared" si="29"/>
        <v>1510623656.5726838</v>
      </c>
      <c r="C528" s="39">
        <f t="shared" si="30"/>
        <v>1759400000</v>
      </c>
      <c r="D528" s="76">
        <f t="shared" si="31"/>
        <v>248776343.42731619</v>
      </c>
    </row>
    <row r="529" spans="1:4" x14ac:dyDescent="0.3">
      <c r="A529">
        <v>232000</v>
      </c>
      <c r="B529" s="29">
        <f t="shared" si="29"/>
        <v>1513818164.2633438</v>
      </c>
      <c r="C529" s="39">
        <f t="shared" si="30"/>
        <v>1763200000</v>
      </c>
      <c r="D529" s="76">
        <f t="shared" si="31"/>
        <v>249381835.73665619</v>
      </c>
    </row>
    <row r="530" spans="1:4" x14ac:dyDescent="0.3">
      <c r="A530">
        <v>232500</v>
      </c>
      <c r="B530" s="29">
        <f t="shared" si="29"/>
        <v>1517012671.9540038</v>
      </c>
      <c r="C530" s="39">
        <f t="shared" si="30"/>
        <v>1767000000</v>
      </c>
      <c r="D530" s="76">
        <f t="shared" si="31"/>
        <v>249987328.04599619</v>
      </c>
    </row>
    <row r="531" spans="1:4" x14ac:dyDescent="0.3">
      <c r="A531">
        <v>233000</v>
      </c>
      <c r="B531" s="29">
        <f t="shared" si="29"/>
        <v>1520207179.6446638</v>
      </c>
      <c r="C531" s="39">
        <f t="shared" si="30"/>
        <v>1770800000</v>
      </c>
      <c r="D531" s="76">
        <f t="shared" si="31"/>
        <v>250592820.35533619</v>
      </c>
    </row>
    <row r="532" spans="1:4" x14ac:dyDescent="0.3">
      <c r="A532">
        <v>233500</v>
      </c>
      <c r="B532" s="29">
        <f t="shared" si="29"/>
        <v>1523401687.3353238</v>
      </c>
      <c r="C532" s="39">
        <f t="shared" si="30"/>
        <v>1774600000</v>
      </c>
      <c r="D532" s="76">
        <f t="shared" si="31"/>
        <v>251198312.66467619</v>
      </c>
    </row>
    <row r="533" spans="1:4" x14ac:dyDescent="0.3">
      <c r="A533">
        <v>234000</v>
      </c>
      <c r="B533" s="29">
        <f t="shared" si="29"/>
        <v>1526596195.0259838</v>
      </c>
      <c r="C533" s="39">
        <f t="shared" si="30"/>
        <v>1778400000</v>
      </c>
      <c r="D533" s="76">
        <f t="shared" si="31"/>
        <v>251803804.97401619</v>
      </c>
    </row>
    <row r="534" spans="1:4" x14ac:dyDescent="0.3">
      <c r="A534">
        <v>234500</v>
      </c>
      <c r="B534" s="29">
        <f t="shared" si="29"/>
        <v>1529790702.7166438</v>
      </c>
      <c r="C534" s="39">
        <f t="shared" si="30"/>
        <v>1782200000</v>
      </c>
      <c r="D534" s="76">
        <f t="shared" si="31"/>
        <v>252409297.28335619</v>
      </c>
    </row>
    <row r="535" spans="1:4" x14ac:dyDescent="0.3">
      <c r="A535">
        <v>235000</v>
      </c>
      <c r="B535" s="29">
        <f t="shared" si="29"/>
        <v>1532985210.4073038</v>
      </c>
      <c r="C535" s="39">
        <f t="shared" si="30"/>
        <v>1786000000</v>
      </c>
      <c r="D535" s="76">
        <f t="shared" si="31"/>
        <v>253014789.59269619</v>
      </c>
    </row>
    <row r="536" spans="1:4" x14ac:dyDescent="0.3">
      <c r="A536">
        <v>235500</v>
      </c>
      <c r="B536" s="29">
        <f t="shared" si="29"/>
        <v>1536179718.0979638</v>
      </c>
      <c r="C536" s="39">
        <f t="shared" si="30"/>
        <v>1789800000</v>
      </c>
      <c r="D536" s="76">
        <f t="shared" si="31"/>
        <v>253620281.90203619</v>
      </c>
    </row>
    <row r="537" spans="1:4" x14ac:dyDescent="0.3">
      <c r="A537">
        <v>236000</v>
      </c>
      <c r="B537" s="29">
        <f t="shared" si="29"/>
        <v>1539374225.7886238</v>
      </c>
      <c r="C537" s="39">
        <f t="shared" si="30"/>
        <v>1793600000</v>
      </c>
      <c r="D537" s="76">
        <f t="shared" si="31"/>
        <v>254225774.21137619</v>
      </c>
    </row>
    <row r="538" spans="1:4" x14ac:dyDescent="0.3">
      <c r="A538">
        <v>236500</v>
      </c>
      <c r="B538" s="29">
        <f t="shared" si="29"/>
        <v>1542568733.4792838</v>
      </c>
      <c r="C538" s="39">
        <f t="shared" si="30"/>
        <v>1797400000</v>
      </c>
      <c r="D538" s="76">
        <f t="shared" si="31"/>
        <v>254831266.52071619</v>
      </c>
    </row>
    <row r="539" spans="1:4" x14ac:dyDescent="0.3">
      <c r="A539">
        <v>237000</v>
      </c>
      <c r="B539" s="29">
        <f t="shared" si="29"/>
        <v>1545763241.1699438</v>
      </c>
      <c r="C539" s="39">
        <f t="shared" si="30"/>
        <v>1801200000</v>
      </c>
      <c r="D539" s="76">
        <f t="shared" si="31"/>
        <v>255436758.83005619</v>
      </c>
    </row>
    <row r="540" spans="1:4" x14ac:dyDescent="0.3">
      <c r="A540">
        <v>237500</v>
      </c>
      <c r="B540" s="29">
        <f t="shared" si="29"/>
        <v>1548957748.8606038</v>
      </c>
      <c r="C540" s="39">
        <f t="shared" si="30"/>
        <v>1805000000</v>
      </c>
      <c r="D540" s="76">
        <f t="shared" si="31"/>
        <v>256042251.13939619</v>
      </c>
    </row>
    <row r="541" spans="1:4" x14ac:dyDescent="0.3">
      <c r="A541">
        <v>238000</v>
      </c>
      <c r="B541" s="29">
        <f t="shared" si="29"/>
        <v>1552152256.5512638</v>
      </c>
      <c r="C541" s="39">
        <f t="shared" si="30"/>
        <v>1808800000</v>
      </c>
      <c r="D541" s="76">
        <f t="shared" si="31"/>
        <v>256647743.44873619</v>
      </c>
    </row>
    <row r="542" spans="1:4" x14ac:dyDescent="0.3">
      <c r="A542">
        <v>238500</v>
      </c>
      <c r="B542" s="29">
        <f t="shared" si="29"/>
        <v>1555346764.2419238</v>
      </c>
      <c r="C542" s="39">
        <f t="shared" si="30"/>
        <v>1812600000</v>
      </c>
      <c r="D542" s="76">
        <f t="shared" si="31"/>
        <v>257253235.75807619</v>
      </c>
    </row>
    <row r="543" spans="1:4" x14ac:dyDescent="0.3">
      <c r="A543">
        <v>239000</v>
      </c>
      <c r="B543" s="29">
        <f t="shared" si="29"/>
        <v>1558541271.9325838</v>
      </c>
      <c r="C543" s="39">
        <f t="shared" si="30"/>
        <v>1816400000</v>
      </c>
      <c r="D543" s="76">
        <f t="shared" si="31"/>
        <v>257858728.06741619</v>
      </c>
    </row>
    <row r="544" spans="1:4" x14ac:dyDescent="0.3">
      <c r="A544">
        <v>239500</v>
      </c>
      <c r="B544" s="29">
        <f t="shared" si="29"/>
        <v>1561735779.6232438</v>
      </c>
      <c r="C544" s="39">
        <f t="shared" si="30"/>
        <v>1820200000</v>
      </c>
      <c r="D544" s="76">
        <f t="shared" si="31"/>
        <v>258464220.37675619</v>
      </c>
    </row>
    <row r="545" spans="1:4" x14ac:dyDescent="0.3">
      <c r="A545">
        <v>240000</v>
      </c>
      <c r="B545" s="29">
        <f t="shared" si="29"/>
        <v>1564930287.3139038</v>
      </c>
      <c r="C545" s="39">
        <f t="shared" si="30"/>
        <v>1824000000</v>
      </c>
      <c r="D545" s="76">
        <f t="shared" si="31"/>
        <v>259069712.68609619</v>
      </c>
    </row>
    <row r="546" spans="1:4" x14ac:dyDescent="0.3">
      <c r="A546">
        <v>240500</v>
      </c>
      <c r="B546" s="29">
        <f t="shared" si="29"/>
        <v>1568124795.0045638</v>
      </c>
      <c r="C546" s="39">
        <f t="shared" si="30"/>
        <v>1827800000</v>
      </c>
      <c r="D546" s="76">
        <f t="shared" si="31"/>
        <v>259675204.99543619</v>
      </c>
    </row>
    <row r="547" spans="1:4" x14ac:dyDescent="0.3">
      <c r="A547">
        <v>241000</v>
      </c>
      <c r="B547" s="29">
        <f t="shared" si="29"/>
        <v>1571319302.6952238</v>
      </c>
      <c r="C547" s="39">
        <f t="shared" si="30"/>
        <v>1831600000</v>
      </c>
      <c r="D547" s="76">
        <f t="shared" si="31"/>
        <v>260280697.30477619</v>
      </c>
    </row>
    <row r="548" spans="1:4" x14ac:dyDescent="0.3">
      <c r="A548">
        <v>241500</v>
      </c>
      <c r="B548" s="29">
        <f t="shared" si="29"/>
        <v>1574513810.3858838</v>
      </c>
      <c r="C548" s="39">
        <f t="shared" si="30"/>
        <v>1835400000</v>
      </c>
      <c r="D548" s="76">
        <f t="shared" si="31"/>
        <v>260886189.61411619</v>
      </c>
    </row>
    <row r="549" spans="1:4" x14ac:dyDescent="0.3">
      <c r="A549">
        <v>242000</v>
      </c>
      <c r="B549" s="29">
        <f t="shared" si="29"/>
        <v>1577708318.0765438</v>
      </c>
      <c r="C549" s="39">
        <f t="shared" si="30"/>
        <v>1839200000</v>
      </c>
      <c r="D549" s="76">
        <f t="shared" si="31"/>
        <v>261491681.92345619</v>
      </c>
    </row>
    <row r="550" spans="1:4" x14ac:dyDescent="0.3">
      <c r="A550">
        <v>242500</v>
      </c>
      <c r="B550" s="29">
        <f t="shared" si="29"/>
        <v>1580902825.7672038</v>
      </c>
      <c r="C550" s="39">
        <f t="shared" si="30"/>
        <v>1843000000</v>
      </c>
      <c r="D550" s="76">
        <f t="shared" si="31"/>
        <v>262097174.23279619</v>
      </c>
    </row>
    <row r="551" spans="1:4" x14ac:dyDescent="0.3">
      <c r="A551">
        <v>243000</v>
      </c>
      <c r="B551" s="29">
        <f t="shared" si="29"/>
        <v>1584097333.4578638</v>
      </c>
      <c r="C551" s="39">
        <f t="shared" si="30"/>
        <v>1846800000</v>
      </c>
      <c r="D551" s="76">
        <f t="shared" si="31"/>
        <v>262702666.54213619</v>
      </c>
    </row>
    <row r="552" spans="1:4" x14ac:dyDescent="0.3">
      <c r="A552">
        <v>243500</v>
      </c>
      <c r="B552" s="29">
        <f t="shared" si="29"/>
        <v>1587291841.1485238</v>
      </c>
      <c r="C552" s="39">
        <f t="shared" si="30"/>
        <v>1850600000</v>
      </c>
      <c r="D552" s="76">
        <f t="shared" si="31"/>
        <v>263308158.85147619</v>
      </c>
    </row>
    <row r="553" spans="1:4" x14ac:dyDescent="0.3">
      <c r="A553">
        <v>244000</v>
      </c>
      <c r="B553" s="29">
        <f t="shared" si="29"/>
        <v>1590486348.8391838</v>
      </c>
      <c r="C553" s="39">
        <f t="shared" si="30"/>
        <v>1854400000</v>
      </c>
      <c r="D553" s="76">
        <f t="shared" si="31"/>
        <v>263913651.16081619</v>
      </c>
    </row>
    <row r="554" spans="1:4" x14ac:dyDescent="0.3">
      <c r="A554">
        <v>244500</v>
      </c>
      <c r="B554" s="29">
        <f t="shared" si="29"/>
        <v>1593680856.5298438</v>
      </c>
      <c r="C554" s="39">
        <f t="shared" si="30"/>
        <v>1858200000</v>
      </c>
      <c r="D554" s="76">
        <f t="shared" si="31"/>
        <v>264519143.47015619</v>
      </c>
    </row>
    <row r="555" spans="1:4" x14ac:dyDescent="0.3">
      <c r="A555">
        <v>245000</v>
      </c>
      <c r="B555" s="29">
        <f t="shared" si="29"/>
        <v>1596875364.2205038</v>
      </c>
      <c r="C555" s="39">
        <f t="shared" si="30"/>
        <v>1862000000</v>
      </c>
      <c r="D555" s="76">
        <f t="shared" si="31"/>
        <v>265124635.77949619</v>
      </c>
    </row>
    <row r="556" spans="1:4" x14ac:dyDescent="0.3">
      <c r="A556">
        <v>245500</v>
      </c>
      <c r="B556" s="29">
        <f t="shared" si="29"/>
        <v>1600069871.9111638</v>
      </c>
      <c r="C556" s="39">
        <f t="shared" si="30"/>
        <v>1865800000</v>
      </c>
      <c r="D556" s="76">
        <f t="shared" si="31"/>
        <v>265730128.08883619</v>
      </c>
    </row>
    <row r="557" spans="1:4" x14ac:dyDescent="0.3">
      <c r="A557">
        <v>246000</v>
      </c>
      <c r="B557" s="29">
        <f t="shared" si="29"/>
        <v>1603264379.6018238</v>
      </c>
      <c r="C557" s="39">
        <f t="shared" si="30"/>
        <v>1869600000</v>
      </c>
      <c r="D557" s="76">
        <f t="shared" si="31"/>
        <v>266335620.39817619</v>
      </c>
    </row>
    <row r="558" spans="1:4" x14ac:dyDescent="0.3">
      <c r="A558">
        <v>246500</v>
      </c>
      <c r="B558" s="29">
        <f t="shared" si="29"/>
        <v>1606458887.2924838</v>
      </c>
      <c r="C558" s="39">
        <f t="shared" si="30"/>
        <v>1873400000</v>
      </c>
      <c r="D558" s="76">
        <f t="shared" si="31"/>
        <v>266941112.70751619</v>
      </c>
    </row>
    <row r="559" spans="1:4" x14ac:dyDescent="0.3">
      <c r="A559">
        <v>247000</v>
      </c>
      <c r="B559" s="29">
        <f t="shared" si="29"/>
        <v>1609653394.9831438</v>
      </c>
      <c r="C559" s="39">
        <f t="shared" si="30"/>
        <v>1877200000</v>
      </c>
      <c r="D559" s="76">
        <f t="shared" si="31"/>
        <v>267546605.01685619</v>
      </c>
    </row>
    <row r="560" spans="1:4" x14ac:dyDescent="0.3">
      <c r="A560">
        <v>247500</v>
      </c>
      <c r="B560" s="29">
        <f t="shared" si="29"/>
        <v>1612847902.6738038</v>
      </c>
      <c r="C560" s="39">
        <f t="shared" si="30"/>
        <v>1881000000</v>
      </c>
      <c r="D560" s="76">
        <f t="shared" si="31"/>
        <v>268152097.32619619</v>
      </c>
    </row>
    <row r="561" spans="1:4" x14ac:dyDescent="0.3">
      <c r="A561">
        <v>248000</v>
      </c>
      <c r="B561" s="29">
        <f t="shared" si="29"/>
        <v>1616042410.3644638</v>
      </c>
      <c r="C561" s="39">
        <f t="shared" si="30"/>
        <v>1884800000</v>
      </c>
      <c r="D561" s="76">
        <f t="shared" si="31"/>
        <v>268757589.63553619</v>
      </c>
    </row>
    <row r="562" spans="1:4" x14ac:dyDescent="0.3">
      <c r="A562">
        <v>248500</v>
      </c>
      <c r="B562" s="29">
        <f t="shared" si="29"/>
        <v>1619236918.0551238</v>
      </c>
      <c r="C562" s="39">
        <f t="shared" si="30"/>
        <v>1888600000</v>
      </c>
      <c r="D562" s="76">
        <f t="shared" si="31"/>
        <v>269363081.94487619</v>
      </c>
    </row>
    <row r="563" spans="1:4" x14ac:dyDescent="0.3">
      <c r="A563">
        <v>249000</v>
      </c>
      <c r="B563" s="29">
        <f t="shared" si="29"/>
        <v>1622431425.7457838</v>
      </c>
      <c r="C563" s="39">
        <f t="shared" si="30"/>
        <v>1892400000</v>
      </c>
      <c r="D563" s="76">
        <f t="shared" si="31"/>
        <v>269968574.25421619</v>
      </c>
    </row>
    <row r="564" spans="1:4" x14ac:dyDescent="0.3">
      <c r="A564">
        <v>249500</v>
      </c>
      <c r="B564" s="29">
        <f t="shared" si="29"/>
        <v>1625625933.4364438</v>
      </c>
      <c r="C564" s="39">
        <f t="shared" si="30"/>
        <v>1896200000</v>
      </c>
      <c r="D564" s="76">
        <f t="shared" si="31"/>
        <v>270574066.56355619</v>
      </c>
    </row>
    <row r="565" spans="1:4" x14ac:dyDescent="0.3">
      <c r="A565">
        <v>250000</v>
      </c>
      <c r="B565" s="29">
        <f t="shared" si="29"/>
        <v>1628820441.1271038</v>
      </c>
      <c r="C565" s="39">
        <f t="shared" si="30"/>
        <v>1900000000</v>
      </c>
      <c r="D565" s="76">
        <f t="shared" si="31"/>
        <v>271179558.87289619</v>
      </c>
    </row>
    <row r="566" spans="1:4" x14ac:dyDescent="0.3">
      <c r="A566">
        <v>250500</v>
      </c>
      <c r="B566" s="29">
        <f t="shared" si="29"/>
        <v>1632014948.8177638</v>
      </c>
      <c r="C566" s="39">
        <f t="shared" si="30"/>
        <v>1903800000</v>
      </c>
      <c r="D566" s="76">
        <f t="shared" si="31"/>
        <v>271785051.18223619</v>
      </c>
    </row>
    <row r="567" spans="1:4" x14ac:dyDescent="0.3">
      <c r="A567">
        <v>251000</v>
      </c>
      <c r="B567" s="29">
        <f t="shared" si="29"/>
        <v>1635209456.5084238</v>
      </c>
      <c r="C567" s="39">
        <f t="shared" si="30"/>
        <v>1907600000</v>
      </c>
      <c r="D567" s="76">
        <f t="shared" si="31"/>
        <v>272390543.49157619</v>
      </c>
    </row>
    <row r="568" spans="1:4" x14ac:dyDescent="0.3">
      <c r="A568">
        <v>251500</v>
      </c>
      <c r="B568" s="29">
        <f t="shared" si="29"/>
        <v>1638403964.1990838</v>
      </c>
      <c r="C568" s="39">
        <f t="shared" si="30"/>
        <v>1911400000</v>
      </c>
      <c r="D568" s="76">
        <f t="shared" si="31"/>
        <v>272996035.80091619</v>
      </c>
    </row>
    <row r="569" spans="1:4" x14ac:dyDescent="0.3">
      <c r="A569">
        <v>252000</v>
      </c>
      <c r="B569" s="29">
        <f t="shared" si="29"/>
        <v>1641598471.8897438</v>
      </c>
      <c r="C569" s="39">
        <f t="shared" si="30"/>
        <v>1915200000</v>
      </c>
      <c r="D569" s="76">
        <f t="shared" si="31"/>
        <v>273601528.1102562</v>
      </c>
    </row>
    <row r="570" spans="1:4" x14ac:dyDescent="0.3">
      <c r="A570">
        <v>252500</v>
      </c>
      <c r="B570" s="29">
        <f t="shared" si="29"/>
        <v>1644792979.5804038</v>
      </c>
      <c r="C570" s="39">
        <f t="shared" si="30"/>
        <v>1919000000</v>
      </c>
      <c r="D570" s="76">
        <f t="shared" si="31"/>
        <v>274207020.4195962</v>
      </c>
    </row>
    <row r="571" spans="1:4" x14ac:dyDescent="0.3">
      <c r="A571">
        <v>253000</v>
      </c>
      <c r="B571" s="29">
        <f t="shared" si="29"/>
        <v>1647987487.2710638</v>
      </c>
      <c r="C571" s="39">
        <f t="shared" si="30"/>
        <v>1922800000</v>
      </c>
      <c r="D571" s="76">
        <f t="shared" si="31"/>
        <v>274812512.7289362</v>
      </c>
    </row>
    <row r="572" spans="1:4" x14ac:dyDescent="0.3">
      <c r="A572">
        <v>253500</v>
      </c>
      <c r="B572" s="29">
        <f t="shared" si="29"/>
        <v>1651181994.9617238</v>
      </c>
      <c r="C572" s="39">
        <f t="shared" si="30"/>
        <v>1926600000</v>
      </c>
      <c r="D572" s="76">
        <f t="shared" si="31"/>
        <v>275418005.0382762</v>
      </c>
    </row>
    <row r="573" spans="1:4" x14ac:dyDescent="0.3">
      <c r="A573">
        <v>254000</v>
      </c>
      <c r="B573" s="29">
        <f t="shared" si="29"/>
        <v>1654376502.6523838</v>
      </c>
      <c r="C573" s="39">
        <f t="shared" si="30"/>
        <v>1930400000</v>
      </c>
      <c r="D573" s="76">
        <f t="shared" si="31"/>
        <v>276023497.3476162</v>
      </c>
    </row>
    <row r="574" spans="1:4" x14ac:dyDescent="0.3">
      <c r="A574">
        <v>254500</v>
      </c>
      <c r="B574" s="29">
        <f t="shared" si="29"/>
        <v>1657571010.3430438</v>
      </c>
      <c r="C574" s="39">
        <f t="shared" si="30"/>
        <v>1934200000</v>
      </c>
      <c r="D574" s="76">
        <f t="shared" si="31"/>
        <v>276628989.6569562</v>
      </c>
    </row>
    <row r="575" spans="1:4" x14ac:dyDescent="0.3">
      <c r="A575">
        <v>255000</v>
      </c>
      <c r="B575" s="29">
        <f t="shared" si="29"/>
        <v>1660765518.0337038</v>
      </c>
      <c r="C575" s="39">
        <f t="shared" si="30"/>
        <v>1938000000</v>
      </c>
      <c r="D575" s="76">
        <f t="shared" si="31"/>
        <v>277234481.9662962</v>
      </c>
    </row>
    <row r="576" spans="1:4" x14ac:dyDescent="0.3">
      <c r="A576">
        <v>255500</v>
      </c>
      <c r="B576" s="29">
        <f t="shared" si="29"/>
        <v>1663960025.7243638</v>
      </c>
      <c r="C576" s="39">
        <f t="shared" si="30"/>
        <v>1941800000</v>
      </c>
      <c r="D576" s="76">
        <f t="shared" si="31"/>
        <v>277839974.2756362</v>
      </c>
    </row>
    <row r="577" spans="1:4" x14ac:dyDescent="0.3">
      <c r="A577">
        <v>256000</v>
      </c>
      <c r="B577" s="29">
        <f t="shared" si="29"/>
        <v>1667154533.4150238</v>
      </c>
      <c r="C577" s="39">
        <f t="shared" si="30"/>
        <v>1945600000</v>
      </c>
      <c r="D577" s="76">
        <f t="shared" si="31"/>
        <v>278445466.5849762</v>
      </c>
    </row>
    <row r="578" spans="1:4" x14ac:dyDescent="0.3">
      <c r="A578">
        <v>256500</v>
      </c>
      <c r="B578" s="29">
        <f t="shared" ref="B578:B641" si="32">$B$54+($B$60*A578)</f>
        <v>1670349041.1056838</v>
      </c>
      <c r="C578" s="39">
        <f t="shared" ref="C578:C641" si="33">$E$50*A578</f>
        <v>1949400000</v>
      </c>
      <c r="D578" s="76">
        <f t="shared" ref="D578:D641" si="34">C578-B578</f>
        <v>279050958.8943162</v>
      </c>
    </row>
    <row r="579" spans="1:4" x14ac:dyDescent="0.3">
      <c r="A579">
        <v>257000</v>
      </c>
      <c r="B579" s="29">
        <f t="shared" si="32"/>
        <v>1673543548.7963438</v>
      </c>
      <c r="C579" s="39">
        <f t="shared" si="33"/>
        <v>1953200000</v>
      </c>
      <c r="D579" s="76">
        <f t="shared" si="34"/>
        <v>279656451.2036562</v>
      </c>
    </row>
    <row r="580" spans="1:4" x14ac:dyDescent="0.3">
      <c r="A580">
        <v>257500</v>
      </c>
      <c r="B580" s="29">
        <f t="shared" si="32"/>
        <v>1676738056.4870038</v>
      </c>
      <c r="C580" s="39">
        <f t="shared" si="33"/>
        <v>1957000000</v>
      </c>
      <c r="D580" s="76">
        <f t="shared" si="34"/>
        <v>280261943.5129962</v>
      </c>
    </row>
    <row r="581" spans="1:4" x14ac:dyDescent="0.3">
      <c r="A581">
        <v>258000</v>
      </c>
      <c r="B581" s="29">
        <f t="shared" si="32"/>
        <v>1679932564.1776638</v>
      </c>
      <c r="C581" s="39">
        <f t="shared" si="33"/>
        <v>1960800000</v>
      </c>
      <c r="D581" s="76">
        <f t="shared" si="34"/>
        <v>280867435.8223362</v>
      </c>
    </row>
    <row r="582" spans="1:4" x14ac:dyDescent="0.3">
      <c r="A582">
        <v>258500</v>
      </c>
      <c r="B582" s="29">
        <f t="shared" si="32"/>
        <v>1683127071.8683238</v>
      </c>
      <c r="C582" s="39">
        <f t="shared" si="33"/>
        <v>1964600000</v>
      </c>
      <c r="D582" s="76">
        <f t="shared" si="34"/>
        <v>281472928.1316762</v>
      </c>
    </row>
    <row r="583" spans="1:4" x14ac:dyDescent="0.3">
      <c r="A583">
        <v>259000</v>
      </c>
      <c r="B583" s="29">
        <f t="shared" si="32"/>
        <v>1686321579.5589838</v>
      </c>
      <c r="C583" s="39">
        <f t="shared" si="33"/>
        <v>1968400000</v>
      </c>
      <c r="D583" s="76">
        <f t="shared" si="34"/>
        <v>282078420.4410162</v>
      </c>
    </row>
    <row r="584" spans="1:4" x14ac:dyDescent="0.3">
      <c r="A584">
        <v>259500</v>
      </c>
      <c r="B584" s="29">
        <f t="shared" si="32"/>
        <v>1689516087.2496438</v>
      </c>
      <c r="C584" s="39">
        <f t="shared" si="33"/>
        <v>1972200000</v>
      </c>
      <c r="D584" s="76">
        <f t="shared" si="34"/>
        <v>282683912.7503562</v>
      </c>
    </row>
    <row r="585" spans="1:4" x14ac:dyDescent="0.3">
      <c r="A585">
        <v>260000</v>
      </c>
      <c r="B585" s="29">
        <f t="shared" si="32"/>
        <v>1692710594.9403038</v>
      </c>
      <c r="C585" s="39">
        <f t="shared" si="33"/>
        <v>1976000000</v>
      </c>
      <c r="D585" s="76">
        <f t="shared" si="34"/>
        <v>283289405.0596962</v>
      </c>
    </row>
    <row r="586" spans="1:4" x14ac:dyDescent="0.3">
      <c r="A586">
        <v>260500</v>
      </c>
      <c r="B586" s="29">
        <f t="shared" si="32"/>
        <v>1695905102.6309638</v>
      </c>
      <c r="C586" s="39">
        <f t="shared" si="33"/>
        <v>1979800000</v>
      </c>
      <c r="D586" s="76">
        <f t="shared" si="34"/>
        <v>283894897.3690362</v>
      </c>
    </row>
    <row r="587" spans="1:4" x14ac:dyDescent="0.3">
      <c r="A587">
        <v>261000</v>
      </c>
      <c r="B587" s="29">
        <f t="shared" si="32"/>
        <v>1699099610.3216238</v>
      </c>
      <c r="C587" s="39">
        <f t="shared" si="33"/>
        <v>1983600000</v>
      </c>
      <c r="D587" s="76">
        <f t="shared" si="34"/>
        <v>284500389.6783762</v>
      </c>
    </row>
    <row r="588" spans="1:4" x14ac:dyDescent="0.3">
      <c r="A588">
        <v>261500</v>
      </c>
      <c r="B588" s="29">
        <f t="shared" si="32"/>
        <v>1702294118.0122838</v>
      </c>
      <c r="C588" s="39">
        <f t="shared" si="33"/>
        <v>1987400000</v>
      </c>
      <c r="D588" s="76">
        <f t="shared" si="34"/>
        <v>285105881.9877162</v>
      </c>
    </row>
    <row r="589" spans="1:4" x14ac:dyDescent="0.3">
      <c r="A589">
        <v>262000</v>
      </c>
      <c r="B589" s="29">
        <f t="shared" si="32"/>
        <v>1705488625.7029438</v>
      </c>
      <c r="C589" s="39">
        <f t="shared" si="33"/>
        <v>1991200000</v>
      </c>
      <c r="D589" s="76">
        <f t="shared" si="34"/>
        <v>285711374.2970562</v>
      </c>
    </row>
    <row r="590" spans="1:4" x14ac:dyDescent="0.3">
      <c r="A590">
        <v>262500</v>
      </c>
      <c r="B590" s="29">
        <f t="shared" si="32"/>
        <v>1708683133.3936038</v>
      </c>
      <c r="C590" s="39">
        <f t="shared" si="33"/>
        <v>1995000000</v>
      </c>
      <c r="D590" s="76">
        <f t="shared" si="34"/>
        <v>286316866.6063962</v>
      </c>
    </row>
    <row r="591" spans="1:4" x14ac:dyDescent="0.3">
      <c r="A591">
        <v>263000</v>
      </c>
      <c r="B591" s="29">
        <f t="shared" si="32"/>
        <v>1711877641.0842638</v>
      </c>
      <c r="C591" s="39">
        <f t="shared" si="33"/>
        <v>1998800000</v>
      </c>
      <c r="D591" s="76">
        <f t="shared" si="34"/>
        <v>286922358.9157362</v>
      </c>
    </row>
    <row r="592" spans="1:4" x14ac:dyDescent="0.3">
      <c r="A592">
        <v>263500</v>
      </c>
      <c r="B592" s="29">
        <f t="shared" si="32"/>
        <v>1715072148.7749238</v>
      </c>
      <c r="C592" s="39">
        <f t="shared" si="33"/>
        <v>2002600000</v>
      </c>
      <c r="D592" s="76">
        <f t="shared" si="34"/>
        <v>287527851.2250762</v>
      </c>
    </row>
    <row r="593" spans="1:4" x14ac:dyDescent="0.3">
      <c r="A593">
        <v>264000</v>
      </c>
      <c r="B593" s="29">
        <f t="shared" si="32"/>
        <v>1718266656.4655838</v>
      </c>
      <c r="C593" s="39">
        <f t="shared" si="33"/>
        <v>2006400000</v>
      </c>
      <c r="D593" s="76">
        <f t="shared" si="34"/>
        <v>288133343.5344162</v>
      </c>
    </row>
    <row r="594" spans="1:4" x14ac:dyDescent="0.3">
      <c r="A594">
        <v>264500</v>
      </c>
      <c r="B594" s="29">
        <f t="shared" si="32"/>
        <v>1721461164.1562438</v>
      </c>
      <c r="C594" s="39">
        <f t="shared" si="33"/>
        <v>2010200000</v>
      </c>
      <c r="D594" s="76">
        <f t="shared" si="34"/>
        <v>288738835.8437562</v>
      </c>
    </row>
    <row r="595" spans="1:4" x14ac:dyDescent="0.3">
      <c r="A595">
        <v>265000</v>
      </c>
      <c r="B595" s="29">
        <f t="shared" si="32"/>
        <v>1724655671.8469038</v>
      </c>
      <c r="C595" s="39">
        <f t="shared" si="33"/>
        <v>2014000000</v>
      </c>
      <c r="D595" s="76">
        <f t="shared" si="34"/>
        <v>289344328.1530962</v>
      </c>
    </row>
    <row r="596" spans="1:4" x14ac:dyDescent="0.3">
      <c r="A596">
        <v>265500</v>
      </c>
      <c r="B596" s="29">
        <f t="shared" si="32"/>
        <v>1727850179.5375638</v>
      </c>
      <c r="C596" s="39">
        <f t="shared" si="33"/>
        <v>2017800000</v>
      </c>
      <c r="D596" s="76">
        <f t="shared" si="34"/>
        <v>289949820.4624362</v>
      </c>
    </row>
    <row r="597" spans="1:4" x14ac:dyDescent="0.3">
      <c r="A597">
        <v>266000</v>
      </c>
      <c r="B597" s="29">
        <f t="shared" si="32"/>
        <v>1731044687.2282238</v>
      </c>
      <c r="C597" s="39">
        <f t="shared" si="33"/>
        <v>2021600000</v>
      </c>
      <c r="D597" s="76">
        <f t="shared" si="34"/>
        <v>290555312.7717762</v>
      </c>
    </row>
    <row r="598" spans="1:4" x14ac:dyDescent="0.3">
      <c r="A598">
        <v>266500</v>
      </c>
      <c r="B598" s="29">
        <f t="shared" si="32"/>
        <v>1734239194.9188838</v>
      </c>
      <c r="C598" s="39">
        <f t="shared" si="33"/>
        <v>2025400000</v>
      </c>
      <c r="D598" s="76">
        <f t="shared" si="34"/>
        <v>291160805.0811162</v>
      </c>
    </row>
    <row r="599" spans="1:4" x14ac:dyDescent="0.3">
      <c r="A599">
        <v>267000</v>
      </c>
      <c r="B599" s="29">
        <f t="shared" si="32"/>
        <v>1737433702.6095438</v>
      </c>
      <c r="C599" s="39">
        <f t="shared" si="33"/>
        <v>2029200000</v>
      </c>
      <c r="D599" s="76">
        <f t="shared" si="34"/>
        <v>291766297.3904562</v>
      </c>
    </row>
    <row r="600" spans="1:4" x14ac:dyDescent="0.3">
      <c r="A600">
        <v>267500</v>
      </c>
      <c r="B600" s="29">
        <f t="shared" si="32"/>
        <v>1740628210.3002038</v>
      </c>
      <c r="C600" s="39">
        <f t="shared" si="33"/>
        <v>2033000000</v>
      </c>
      <c r="D600" s="76">
        <f t="shared" si="34"/>
        <v>292371789.6997962</v>
      </c>
    </row>
    <row r="601" spans="1:4" x14ac:dyDescent="0.3">
      <c r="A601">
        <v>268000</v>
      </c>
      <c r="B601" s="29">
        <f t="shared" si="32"/>
        <v>1743822717.9908638</v>
      </c>
      <c r="C601" s="39">
        <f t="shared" si="33"/>
        <v>2036800000</v>
      </c>
      <c r="D601" s="76">
        <f t="shared" si="34"/>
        <v>292977282.0091362</v>
      </c>
    </row>
    <row r="602" spans="1:4" x14ac:dyDescent="0.3">
      <c r="A602">
        <v>268500</v>
      </c>
      <c r="B602" s="29">
        <f t="shared" si="32"/>
        <v>1747017225.6815238</v>
      </c>
      <c r="C602" s="39">
        <f t="shared" si="33"/>
        <v>2040600000</v>
      </c>
      <c r="D602" s="76">
        <f t="shared" si="34"/>
        <v>293582774.3184762</v>
      </c>
    </row>
    <row r="603" spans="1:4" x14ac:dyDescent="0.3">
      <c r="A603">
        <v>269000</v>
      </c>
      <c r="B603" s="29">
        <f t="shared" si="32"/>
        <v>1750211733.3721838</v>
      </c>
      <c r="C603" s="39">
        <f t="shared" si="33"/>
        <v>2044400000</v>
      </c>
      <c r="D603" s="76">
        <f t="shared" si="34"/>
        <v>294188266.6278162</v>
      </c>
    </row>
    <row r="604" spans="1:4" x14ac:dyDescent="0.3">
      <c r="A604">
        <v>269500</v>
      </c>
      <c r="B604" s="29">
        <f t="shared" si="32"/>
        <v>1753406241.0628438</v>
      </c>
      <c r="C604" s="39">
        <f t="shared" si="33"/>
        <v>2048200000</v>
      </c>
      <c r="D604" s="76">
        <f t="shared" si="34"/>
        <v>294793758.9371562</v>
      </c>
    </row>
    <row r="605" spans="1:4" x14ac:dyDescent="0.3">
      <c r="A605">
        <v>270000</v>
      </c>
      <c r="B605" s="29">
        <f t="shared" si="32"/>
        <v>1756600748.7535038</v>
      </c>
      <c r="C605" s="39">
        <f t="shared" si="33"/>
        <v>2052000000</v>
      </c>
      <c r="D605" s="76">
        <f t="shared" si="34"/>
        <v>295399251.2464962</v>
      </c>
    </row>
    <row r="606" spans="1:4" x14ac:dyDescent="0.3">
      <c r="A606">
        <v>270500</v>
      </c>
      <c r="B606" s="29">
        <f t="shared" si="32"/>
        <v>1759795256.4441638</v>
      </c>
      <c r="C606" s="39">
        <f t="shared" si="33"/>
        <v>2055800000</v>
      </c>
      <c r="D606" s="76">
        <f t="shared" si="34"/>
        <v>296004743.5558362</v>
      </c>
    </row>
    <row r="607" spans="1:4" x14ac:dyDescent="0.3">
      <c r="A607">
        <v>271000</v>
      </c>
      <c r="B607" s="29">
        <f t="shared" si="32"/>
        <v>1762989764.1348238</v>
      </c>
      <c r="C607" s="39">
        <f t="shared" si="33"/>
        <v>2059600000</v>
      </c>
      <c r="D607" s="76">
        <f t="shared" si="34"/>
        <v>296610235.8651762</v>
      </c>
    </row>
    <row r="608" spans="1:4" x14ac:dyDescent="0.3">
      <c r="A608">
        <v>271500</v>
      </c>
      <c r="B608" s="29">
        <f t="shared" si="32"/>
        <v>1766184271.8254838</v>
      </c>
      <c r="C608" s="39">
        <f t="shared" si="33"/>
        <v>2063400000</v>
      </c>
      <c r="D608" s="76">
        <f t="shared" si="34"/>
        <v>297215728.1745162</v>
      </c>
    </row>
    <row r="609" spans="1:4" x14ac:dyDescent="0.3">
      <c r="A609">
        <v>272000</v>
      </c>
      <c r="B609" s="29">
        <f t="shared" si="32"/>
        <v>1769378779.5161438</v>
      </c>
      <c r="C609" s="39">
        <f t="shared" si="33"/>
        <v>2067200000</v>
      </c>
      <c r="D609" s="76">
        <f t="shared" si="34"/>
        <v>297821220.4838562</v>
      </c>
    </row>
    <row r="610" spans="1:4" x14ac:dyDescent="0.3">
      <c r="A610">
        <v>272500</v>
      </c>
      <c r="B610" s="29">
        <f t="shared" si="32"/>
        <v>1772573287.2068038</v>
      </c>
      <c r="C610" s="39">
        <f t="shared" si="33"/>
        <v>2071000000</v>
      </c>
      <c r="D610" s="76">
        <f t="shared" si="34"/>
        <v>298426712.7931962</v>
      </c>
    </row>
    <row r="611" spans="1:4" x14ac:dyDescent="0.3">
      <c r="A611">
        <v>273000</v>
      </c>
      <c r="B611" s="29">
        <f t="shared" si="32"/>
        <v>1775767794.8974638</v>
      </c>
      <c r="C611" s="39">
        <f t="shared" si="33"/>
        <v>2074800000</v>
      </c>
      <c r="D611" s="76">
        <f t="shared" si="34"/>
        <v>299032205.1025362</v>
      </c>
    </row>
    <row r="612" spans="1:4" x14ac:dyDescent="0.3">
      <c r="A612">
        <v>273500</v>
      </c>
      <c r="B612" s="29">
        <f t="shared" si="32"/>
        <v>1778962302.5881238</v>
      </c>
      <c r="C612" s="39">
        <f t="shared" si="33"/>
        <v>2078600000</v>
      </c>
      <c r="D612" s="76">
        <f t="shared" si="34"/>
        <v>299637697.4118762</v>
      </c>
    </row>
    <row r="613" spans="1:4" x14ac:dyDescent="0.3">
      <c r="A613">
        <v>274000</v>
      </c>
      <c r="B613" s="29">
        <f t="shared" si="32"/>
        <v>1782156810.2787838</v>
      </c>
      <c r="C613" s="39">
        <f t="shared" si="33"/>
        <v>2082400000</v>
      </c>
      <c r="D613" s="76">
        <f t="shared" si="34"/>
        <v>300243189.7212162</v>
      </c>
    </row>
    <row r="614" spans="1:4" x14ac:dyDescent="0.3">
      <c r="A614">
        <v>274500</v>
      </c>
      <c r="B614" s="29">
        <f t="shared" si="32"/>
        <v>1785351317.9694438</v>
      </c>
      <c r="C614" s="39">
        <f t="shared" si="33"/>
        <v>2086200000</v>
      </c>
      <c r="D614" s="76">
        <f t="shared" si="34"/>
        <v>300848682.0305562</v>
      </c>
    </row>
    <row r="615" spans="1:4" x14ac:dyDescent="0.3">
      <c r="A615">
        <v>275000</v>
      </c>
      <c r="B615" s="29">
        <f t="shared" si="32"/>
        <v>1788545825.6601038</v>
      </c>
      <c r="C615" s="39">
        <f t="shared" si="33"/>
        <v>2090000000</v>
      </c>
      <c r="D615" s="76">
        <f t="shared" si="34"/>
        <v>301454174.3398962</v>
      </c>
    </row>
    <row r="616" spans="1:4" x14ac:dyDescent="0.3">
      <c r="A616">
        <v>275500</v>
      </c>
      <c r="B616" s="29">
        <f t="shared" si="32"/>
        <v>1791740333.3507638</v>
      </c>
      <c r="C616" s="39">
        <f t="shared" si="33"/>
        <v>2093800000</v>
      </c>
      <c r="D616" s="76">
        <f t="shared" si="34"/>
        <v>302059666.6492362</v>
      </c>
    </row>
    <row r="617" spans="1:4" x14ac:dyDescent="0.3">
      <c r="A617">
        <v>276000</v>
      </c>
      <c r="B617" s="29">
        <f t="shared" si="32"/>
        <v>1794934841.0414238</v>
      </c>
      <c r="C617" s="39">
        <f t="shared" si="33"/>
        <v>2097600000</v>
      </c>
      <c r="D617" s="76">
        <f t="shared" si="34"/>
        <v>302665158.9585762</v>
      </c>
    </row>
    <row r="618" spans="1:4" x14ac:dyDescent="0.3">
      <c r="A618">
        <v>276500</v>
      </c>
      <c r="B618" s="29">
        <f t="shared" si="32"/>
        <v>1798129348.7320838</v>
      </c>
      <c r="C618" s="39">
        <f t="shared" si="33"/>
        <v>2101400000</v>
      </c>
      <c r="D618" s="76">
        <f t="shared" si="34"/>
        <v>303270651.2679162</v>
      </c>
    </row>
    <row r="619" spans="1:4" x14ac:dyDescent="0.3">
      <c r="A619">
        <v>277000</v>
      </c>
      <c r="B619" s="29">
        <f t="shared" si="32"/>
        <v>1801323856.4227438</v>
      </c>
      <c r="C619" s="39">
        <f t="shared" si="33"/>
        <v>2105200000</v>
      </c>
      <c r="D619" s="76">
        <f t="shared" si="34"/>
        <v>303876143.5772562</v>
      </c>
    </row>
    <row r="620" spans="1:4" x14ac:dyDescent="0.3">
      <c r="A620">
        <v>277500</v>
      </c>
      <c r="B620" s="29">
        <f t="shared" si="32"/>
        <v>1804518364.1134038</v>
      </c>
      <c r="C620" s="39">
        <f t="shared" si="33"/>
        <v>2109000000</v>
      </c>
      <c r="D620" s="76">
        <f t="shared" si="34"/>
        <v>304481635.8865962</v>
      </c>
    </row>
    <row r="621" spans="1:4" x14ac:dyDescent="0.3">
      <c r="A621">
        <v>278000</v>
      </c>
      <c r="B621" s="29">
        <f t="shared" si="32"/>
        <v>1807712871.8040638</v>
      </c>
      <c r="C621" s="39">
        <f t="shared" si="33"/>
        <v>2112800000</v>
      </c>
      <c r="D621" s="76">
        <f t="shared" si="34"/>
        <v>305087128.1959362</v>
      </c>
    </row>
    <row r="622" spans="1:4" x14ac:dyDescent="0.3">
      <c r="A622">
        <v>278500</v>
      </c>
      <c r="B622" s="29">
        <f t="shared" si="32"/>
        <v>1810907379.4947238</v>
      </c>
      <c r="C622" s="39">
        <f t="shared" si="33"/>
        <v>2116600000</v>
      </c>
      <c r="D622" s="76">
        <f t="shared" si="34"/>
        <v>305692620.5052762</v>
      </c>
    </row>
    <row r="623" spans="1:4" x14ac:dyDescent="0.3">
      <c r="A623">
        <v>279000</v>
      </c>
      <c r="B623" s="29">
        <f t="shared" si="32"/>
        <v>1814101887.1853838</v>
      </c>
      <c r="C623" s="39">
        <f t="shared" si="33"/>
        <v>2120400000</v>
      </c>
      <c r="D623" s="76">
        <f t="shared" si="34"/>
        <v>306298112.8146162</v>
      </c>
    </row>
    <row r="624" spans="1:4" x14ac:dyDescent="0.3">
      <c r="A624">
        <v>279500</v>
      </c>
      <c r="B624" s="29">
        <f t="shared" si="32"/>
        <v>1817296394.8760438</v>
      </c>
      <c r="C624" s="39">
        <f t="shared" si="33"/>
        <v>2124200000</v>
      </c>
      <c r="D624" s="76">
        <f t="shared" si="34"/>
        <v>306903605.1239562</v>
      </c>
    </row>
    <row r="625" spans="1:4" x14ac:dyDescent="0.3">
      <c r="A625">
        <v>280000</v>
      </c>
      <c r="B625" s="29">
        <f t="shared" si="32"/>
        <v>1820490902.5667038</v>
      </c>
      <c r="C625" s="39">
        <f t="shared" si="33"/>
        <v>2128000000</v>
      </c>
      <c r="D625" s="76">
        <f t="shared" si="34"/>
        <v>307509097.4332962</v>
      </c>
    </row>
    <row r="626" spans="1:4" x14ac:dyDescent="0.3">
      <c r="A626">
        <v>280500</v>
      </c>
      <c r="B626" s="29">
        <f t="shared" si="32"/>
        <v>1823685410.2573638</v>
      </c>
      <c r="C626" s="39">
        <f t="shared" si="33"/>
        <v>2131800000</v>
      </c>
      <c r="D626" s="76">
        <f t="shared" si="34"/>
        <v>308114589.7426362</v>
      </c>
    </row>
    <row r="627" spans="1:4" x14ac:dyDescent="0.3">
      <c r="A627">
        <v>281000</v>
      </c>
      <c r="B627" s="29">
        <f t="shared" si="32"/>
        <v>1826879917.9480238</v>
      </c>
      <c r="C627" s="39">
        <f t="shared" si="33"/>
        <v>2135600000</v>
      </c>
      <c r="D627" s="76">
        <f t="shared" si="34"/>
        <v>308720082.0519762</v>
      </c>
    </row>
    <row r="628" spans="1:4" x14ac:dyDescent="0.3">
      <c r="A628">
        <v>281500</v>
      </c>
      <c r="B628" s="29">
        <f t="shared" si="32"/>
        <v>1830074425.6386838</v>
      </c>
      <c r="C628" s="39">
        <f t="shared" si="33"/>
        <v>2139400000</v>
      </c>
      <c r="D628" s="76">
        <f t="shared" si="34"/>
        <v>309325574.3613162</v>
      </c>
    </row>
    <row r="629" spans="1:4" x14ac:dyDescent="0.3">
      <c r="A629">
        <v>282000</v>
      </c>
      <c r="B629" s="29">
        <f t="shared" si="32"/>
        <v>1833268933.3293438</v>
      </c>
      <c r="C629" s="39">
        <f t="shared" si="33"/>
        <v>2143200000</v>
      </c>
      <c r="D629" s="76">
        <f t="shared" si="34"/>
        <v>309931066.6706562</v>
      </c>
    </row>
    <row r="630" spans="1:4" x14ac:dyDescent="0.3">
      <c r="A630">
        <v>282500</v>
      </c>
      <c r="B630" s="29">
        <f t="shared" si="32"/>
        <v>1836463441.0200038</v>
      </c>
      <c r="C630" s="39">
        <f t="shared" si="33"/>
        <v>2147000000</v>
      </c>
      <c r="D630" s="76">
        <f t="shared" si="34"/>
        <v>310536558.9799962</v>
      </c>
    </row>
    <row r="631" spans="1:4" x14ac:dyDescent="0.3">
      <c r="A631">
        <v>283000</v>
      </c>
      <c r="B631" s="29">
        <f t="shared" si="32"/>
        <v>1839657948.7106638</v>
      </c>
      <c r="C631" s="39">
        <f t="shared" si="33"/>
        <v>2150800000</v>
      </c>
      <c r="D631" s="76">
        <f t="shared" si="34"/>
        <v>311142051.2893362</v>
      </c>
    </row>
    <row r="632" spans="1:4" x14ac:dyDescent="0.3">
      <c r="A632">
        <v>283500</v>
      </c>
      <c r="B632" s="29">
        <f t="shared" si="32"/>
        <v>1842852456.4013238</v>
      </c>
      <c r="C632" s="39">
        <f t="shared" si="33"/>
        <v>2154600000</v>
      </c>
      <c r="D632" s="76">
        <f t="shared" si="34"/>
        <v>311747543.5986762</v>
      </c>
    </row>
    <row r="633" spans="1:4" x14ac:dyDescent="0.3">
      <c r="A633">
        <v>284000</v>
      </c>
      <c r="B633" s="29">
        <f t="shared" si="32"/>
        <v>1846046964.0919838</v>
      </c>
      <c r="C633" s="39">
        <f t="shared" si="33"/>
        <v>2158400000</v>
      </c>
      <c r="D633" s="76">
        <f t="shared" si="34"/>
        <v>312353035.9080162</v>
      </c>
    </row>
    <row r="634" spans="1:4" x14ac:dyDescent="0.3">
      <c r="A634">
        <v>284500</v>
      </c>
      <c r="B634" s="29">
        <f t="shared" si="32"/>
        <v>1849241471.7826438</v>
      </c>
      <c r="C634" s="39">
        <f t="shared" si="33"/>
        <v>2162200000</v>
      </c>
      <c r="D634" s="76">
        <f t="shared" si="34"/>
        <v>312958528.2173562</v>
      </c>
    </row>
    <row r="635" spans="1:4" x14ac:dyDescent="0.3">
      <c r="A635">
        <v>285000</v>
      </c>
      <c r="B635" s="29">
        <f t="shared" si="32"/>
        <v>1852435979.4733038</v>
      </c>
      <c r="C635" s="39">
        <f t="shared" si="33"/>
        <v>2166000000</v>
      </c>
      <c r="D635" s="76">
        <f t="shared" si="34"/>
        <v>313564020.52669621</v>
      </c>
    </row>
    <row r="636" spans="1:4" x14ac:dyDescent="0.3">
      <c r="A636">
        <v>285500</v>
      </c>
      <c r="B636" s="29">
        <f t="shared" si="32"/>
        <v>1855630487.1639638</v>
      </c>
      <c r="C636" s="39">
        <f t="shared" si="33"/>
        <v>2169800000</v>
      </c>
      <c r="D636" s="76">
        <f t="shared" si="34"/>
        <v>314169512.83603621</v>
      </c>
    </row>
    <row r="637" spans="1:4" x14ac:dyDescent="0.3">
      <c r="A637">
        <v>286000</v>
      </c>
      <c r="B637" s="29">
        <f t="shared" si="32"/>
        <v>1858824994.8546238</v>
      </c>
      <c r="C637" s="39">
        <f t="shared" si="33"/>
        <v>2173600000</v>
      </c>
      <c r="D637" s="76">
        <f t="shared" si="34"/>
        <v>314775005.14537621</v>
      </c>
    </row>
    <row r="638" spans="1:4" x14ac:dyDescent="0.3">
      <c r="A638">
        <v>286500</v>
      </c>
      <c r="B638" s="29">
        <f t="shared" si="32"/>
        <v>1862019502.5452838</v>
      </c>
      <c r="C638" s="39">
        <f t="shared" si="33"/>
        <v>2177400000</v>
      </c>
      <c r="D638" s="76">
        <f t="shared" si="34"/>
        <v>315380497.45471621</v>
      </c>
    </row>
    <row r="639" spans="1:4" x14ac:dyDescent="0.3">
      <c r="A639">
        <v>287000</v>
      </c>
      <c r="B639" s="29">
        <f t="shared" si="32"/>
        <v>1865214010.2359438</v>
      </c>
      <c r="C639" s="39">
        <f t="shared" si="33"/>
        <v>2181200000</v>
      </c>
      <c r="D639" s="76">
        <f t="shared" si="34"/>
        <v>315985989.76405621</v>
      </c>
    </row>
    <row r="640" spans="1:4" x14ac:dyDescent="0.3">
      <c r="A640">
        <v>287500</v>
      </c>
      <c r="B640" s="29">
        <f t="shared" si="32"/>
        <v>1868408517.9266038</v>
      </c>
      <c r="C640" s="39">
        <f t="shared" si="33"/>
        <v>2185000000</v>
      </c>
      <c r="D640" s="76">
        <f t="shared" si="34"/>
        <v>316591482.07339621</v>
      </c>
    </row>
    <row r="641" spans="1:4" x14ac:dyDescent="0.3">
      <c r="A641">
        <v>288000</v>
      </c>
      <c r="B641" s="29">
        <f t="shared" si="32"/>
        <v>1871603025.6172638</v>
      </c>
      <c r="C641" s="39">
        <f t="shared" si="33"/>
        <v>2188800000</v>
      </c>
      <c r="D641" s="76">
        <f t="shared" si="34"/>
        <v>317196974.38273621</v>
      </c>
    </row>
    <row r="642" spans="1:4" x14ac:dyDescent="0.3">
      <c r="A642">
        <v>288500</v>
      </c>
      <c r="B642" s="29">
        <f t="shared" ref="B642:B705" si="35">$B$54+($B$60*A642)</f>
        <v>1874797533.3079238</v>
      </c>
      <c r="C642" s="39">
        <f t="shared" ref="C642:C705" si="36">$E$50*A642</f>
        <v>2192600000</v>
      </c>
      <c r="D642" s="76">
        <f t="shared" ref="D642:D705" si="37">C642-B642</f>
        <v>317802466.69207621</v>
      </c>
    </row>
    <row r="643" spans="1:4" x14ac:dyDescent="0.3">
      <c r="A643">
        <v>289000</v>
      </c>
      <c r="B643" s="29">
        <f t="shared" si="35"/>
        <v>1877992040.9985838</v>
      </c>
      <c r="C643" s="39">
        <f t="shared" si="36"/>
        <v>2196400000</v>
      </c>
      <c r="D643" s="76">
        <f t="shared" si="37"/>
        <v>318407959.00141621</v>
      </c>
    </row>
    <row r="644" spans="1:4" x14ac:dyDescent="0.3">
      <c r="A644">
        <v>289500</v>
      </c>
      <c r="B644" s="29">
        <f t="shared" si="35"/>
        <v>1881186548.6892438</v>
      </c>
      <c r="C644" s="39">
        <f t="shared" si="36"/>
        <v>2200200000</v>
      </c>
      <c r="D644" s="76">
        <f t="shared" si="37"/>
        <v>319013451.31075621</v>
      </c>
    </row>
    <row r="645" spans="1:4" x14ac:dyDescent="0.3">
      <c r="A645">
        <v>290000</v>
      </c>
      <c r="B645" s="29">
        <f t="shared" si="35"/>
        <v>1884381056.3799038</v>
      </c>
      <c r="C645" s="39">
        <f t="shared" si="36"/>
        <v>2204000000</v>
      </c>
      <c r="D645" s="76">
        <f t="shared" si="37"/>
        <v>319618943.62009621</v>
      </c>
    </row>
    <row r="646" spans="1:4" x14ac:dyDescent="0.3">
      <c r="A646">
        <v>290500</v>
      </c>
      <c r="B646" s="29">
        <f t="shared" si="35"/>
        <v>1887575564.0705638</v>
      </c>
      <c r="C646" s="39">
        <f t="shared" si="36"/>
        <v>2207800000</v>
      </c>
      <c r="D646" s="76">
        <f t="shared" si="37"/>
        <v>320224435.92943621</v>
      </c>
    </row>
    <row r="647" spans="1:4" x14ac:dyDescent="0.3">
      <c r="A647">
        <v>291000</v>
      </c>
      <c r="B647" s="29">
        <f t="shared" si="35"/>
        <v>1890770071.7612238</v>
      </c>
      <c r="C647" s="39">
        <f t="shared" si="36"/>
        <v>2211600000</v>
      </c>
      <c r="D647" s="76">
        <f t="shared" si="37"/>
        <v>320829928.23877621</v>
      </c>
    </row>
    <row r="648" spans="1:4" x14ac:dyDescent="0.3">
      <c r="A648">
        <v>291500</v>
      </c>
      <c r="B648" s="29">
        <f t="shared" si="35"/>
        <v>1893964579.4518838</v>
      </c>
      <c r="C648" s="39">
        <f t="shared" si="36"/>
        <v>2215400000</v>
      </c>
      <c r="D648" s="76">
        <f t="shared" si="37"/>
        <v>321435420.54811621</v>
      </c>
    </row>
    <row r="649" spans="1:4" x14ac:dyDescent="0.3">
      <c r="A649">
        <v>292000</v>
      </c>
      <c r="B649" s="29">
        <f t="shared" si="35"/>
        <v>1897159087.1425438</v>
      </c>
      <c r="C649" s="39">
        <f t="shared" si="36"/>
        <v>2219200000</v>
      </c>
      <c r="D649" s="76">
        <f t="shared" si="37"/>
        <v>322040912.85745621</v>
      </c>
    </row>
    <row r="650" spans="1:4" x14ac:dyDescent="0.3">
      <c r="A650">
        <v>292500</v>
      </c>
      <c r="B650" s="29">
        <f t="shared" si="35"/>
        <v>1900353594.8332038</v>
      </c>
      <c r="C650" s="39">
        <f t="shared" si="36"/>
        <v>2223000000</v>
      </c>
      <c r="D650" s="76">
        <f t="shared" si="37"/>
        <v>322646405.16679621</v>
      </c>
    </row>
    <row r="651" spans="1:4" x14ac:dyDescent="0.3">
      <c r="A651">
        <v>293000</v>
      </c>
      <c r="B651" s="29">
        <f t="shared" si="35"/>
        <v>1903548102.5238638</v>
      </c>
      <c r="C651" s="39">
        <f t="shared" si="36"/>
        <v>2226800000</v>
      </c>
      <c r="D651" s="76">
        <f t="shared" si="37"/>
        <v>323251897.47613621</v>
      </c>
    </row>
    <row r="652" spans="1:4" x14ac:dyDescent="0.3">
      <c r="A652">
        <v>293500</v>
      </c>
      <c r="B652" s="29">
        <f t="shared" si="35"/>
        <v>1906742610.2145238</v>
      </c>
      <c r="C652" s="39">
        <f t="shared" si="36"/>
        <v>2230600000</v>
      </c>
      <c r="D652" s="76">
        <f t="shared" si="37"/>
        <v>323857389.78547621</v>
      </c>
    </row>
    <row r="653" spans="1:4" x14ac:dyDescent="0.3">
      <c r="A653">
        <v>294000</v>
      </c>
      <c r="B653" s="29">
        <f t="shared" si="35"/>
        <v>1909937117.9051838</v>
      </c>
      <c r="C653" s="39">
        <f t="shared" si="36"/>
        <v>2234400000</v>
      </c>
      <c r="D653" s="76">
        <f t="shared" si="37"/>
        <v>324462882.09481621</v>
      </c>
    </row>
    <row r="654" spans="1:4" x14ac:dyDescent="0.3">
      <c r="A654">
        <v>294500</v>
      </c>
      <c r="B654" s="29">
        <f t="shared" si="35"/>
        <v>1913131625.5958438</v>
      </c>
      <c r="C654" s="39">
        <f t="shared" si="36"/>
        <v>2238200000</v>
      </c>
      <c r="D654" s="76">
        <f t="shared" si="37"/>
        <v>325068374.40415621</v>
      </c>
    </row>
    <row r="655" spans="1:4" x14ac:dyDescent="0.3">
      <c r="A655">
        <v>295000</v>
      </c>
      <c r="B655" s="29">
        <f t="shared" si="35"/>
        <v>1916326133.2865038</v>
      </c>
      <c r="C655" s="39">
        <f t="shared" si="36"/>
        <v>2242000000</v>
      </c>
      <c r="D655" s="76">
        <f t="shared" si="37"/>
        <v>325673866.71349621</v>
      </c>
    </row>
    <row r="656" spans="1:4" x14ac:dyDescent="0.3">
      <c r="A656">
        <v>295500</v>
      </c>
      <c r="B656" s="29">
        <f t="shared" si="35"/>
        <v>1919520640.9771638</v>
      </c>
      <c r="C656" s="39">
        <f t="shared" si="36"/>
        <v>2245800000</v>
      </c>
      <c r="D656" s="76">
        <f t="shared" si="37"/>
        <v>326279359.02283621</v>
      </c>
    </row>
    <row r="657" spans="1:4" x14ac:dyDescent="0.3">
      <c r="A657">
        <v>296000</v>
      </c>
      <c r="B657" s="29">
        <f t="shared" si="35"/>
        <v>1922715148.6678238</v>
      </c>
      <c r="C657" s="39">
        <f t="shared" si="36"/>
        <v>2249600000</v>
      </c>
      <c r="D657" s="76">
        <f t="shared" si="37"/>
        <v>326884851.33217621</v>
      </c>
    </row>
    <row r="658" spans="1:4" x14ac:dyDescent="0.3">
      <c r="A658">
        <v>296500</v>
      </c>
      <c r="B658" s="29">
        <f t="shared" si="35"/>
        <v>1925909656.3584838</v>
      </c>
      <c r="C658" s="39">
        <f t="shared" si="36"/>
        <v>2253400000</v>
      </c>
      <c r="D658" s="76">
        <f t="shared" si="37"/>
        <v>327490343.64151621</v>
      </c>
    </row>
    <row r="659" spans="1:4" x14ac:dyDescent="0.3">
      <c r="A659">
        <v>297000</v>
      </c>
      <c r="B659" s="29">
        <f t="shared" si="35"/>
        <v>1929104164.0491438</v>
      </c>
      <c r="C659" s="39">
        <f t="shared" si="36"/>
        <v>2257200000</v>
      </c>
      <c r="D659" s="76">
        <f t="shared" si="37"/>
        <v>328095835.95085621</v>
      </c>
    </row>
    <row r="660" spans="1:4" x14ac:dyDescent="0.3">
      <c r="A660">
        <v>297500</v>
      </c>
      <c r="B660" s="29">
        <f t="shared" si="35"/>
        <v>1932298671.7398038</v>
      </c>
      <c r="C660" s="39">
        <f t="shared" si="36"/>
        <v>2261000000</v>
      </c>
      <c r="D660" s="76">
        <f t="shared" si="37"/>
        <v>328701328.26019621</v>
      </c>
    </row>
    <row r="661" spans="1:4" x14ac:dyDescent="0.3">
      <c r="A661">
        <v>298000</v>
      </c>
      <c r="B661" s="29">
        <f t="shared" si="35"/>
        <v>1935493179.4304638</v>
      </c>
      <c r="C661" s="39">
        <f t="shared" si="36"/>
        <v>2264800000</v>
      </c>
      <c r="D661" s="76">
        <f t="shared" si="37"/>
        <v>329306820.56953621</v>
      </c>
    </row>
    <row r="662" spans="1:4" x14ac:dyDescent="0.3">
      <c r="A662">
        <v>298500</v>
      </c>
      <c r="B662" s="29">
        <f t="shared" si="35"/>
        <v>1938687687.1211238</v>
      </c>
      <c r="C662" s="39">
        <f t="shared" si="36"/>
        <v>2268600000</v>
      </c>
      <c r="D662" s="76">
        <f t="shared" si="37"/>
        <v>329912312.87887621</v>
      </c>
    </row>
    <row r="663" spans="1:4" x14ac:dyDescent="0.3">
      <c r="A663">
        <v>299000</v>
      </c>
      <c r="B663" s="29">
        <f t="shared" si="35"/>
        <v>1941882194.8117838</v>
      </c>
      <c r="C663" s="39">
        <f t="shared" si="36"/>
        <v>2272400000</v>
      </c>
      <c r="D663" s="76">
        <f t="shared" si="37"/>
        <v>330517805.18821621</v>
      </c>
    </row>
    <row r="664" spans="1:4" x14ac:dyDescent="0.3">
      <c r="A664">
        <v>299500</v>
      </c>
      <c r="B664" s="29">
        <f t="shared" si="35"/>
        <v>1945076702.5024438</v>
      </c>
      <c r="C664" s="39">
        <f t="shared" si="36"/>
        <v>2276200000</v>
      </c>
      <c r="D664" s="76">
        <f t="shared" si="37"/>
        <v>331123297.49755621</v>
      </c>
    </row>
    <row r="665" spans="1:4" x14ac:dyDescent="0.3">
      <c r="A665">
        <v>300000</v>
      </c>
      <c r="B665" s="29">
        <f t="shared" si="35"/>
        <v>1948271210.1931038</v>
      </c>
      <c r="C665" s="39">
        <f t="shared" si="36"/>
        <v>2280000000</v>
      </c>
      <c r="D665" s="76">
        <f t="shared" si="37"/>
        <v>331728789.80689621</v>
      </c>
    </row>
    <row r="666" spans="1:4" x14ac:dyDescent="0.3">
      <c r="A666">
        <v>300500</v>
      </c>
      <c r="B666" s="29">
        <f t="shared" si="35"/>
        <v>1951465717.8837638</v>
      </c>
      <c r="C666" s="39">
        <f t="shared" si="36"/>
        <v>2283800000</v>
      </c>
      <c r="D666" s="76">
        <f t="shared" si="37"/>
        <v>332334282.11623621</v>
      </c>
    </row>
    <row r="667" spans="1:4" x14ac:dyDescent="0.3">
      <c r="A667">
        <v>301000</v>
      </c>
      <c r="B667" s="29">
        <f t="shared" si="35"/>
        <v>1954660225.5744238</v>
      </c>
      <c r="C667" s="39">
        <f t="shared" si="36"/>
        <v>2287600000</v>
      </c>
      <c r="D667" s="76">
        <f t="shared" si="37"/>
        <v>332939774.42557621</v>
      </c>
    </row>
    <row r="668" spans="1:4" x14ac:dyDescent="0.3">
      <c r="A668">
        <v>301500</v>
      </c>
      <c r="B668" s="29">
        <f t="shared" si="35"/>
        <v>1957854733.2650838</v>
      </c>
      <c r="C668" s="39">
        <f t="shared" si="36"/>
        <v>2291400000</v>
      </c>
      <c r="D668" s="76">
        <f t="shared" si="37"/>
        <v>333545266.73491621</v>
      </c>
    </row>
    <row r="669" spans="1:4" x14ac:dyDescent="0.3">
      <c r="A669">
        <v>302000</v>
      </c>
      <c r="B669" s="29">
        <f t="shared" si="35"/>
        <v>1961049240.9557438</v>
      </c>
      <c r="C669" s="39">
        <f t="shared" si="36"/>
        <v>2295200000</v>
      </c>
      <c r="D669" s="76">
        <f t="shared" si="37"/>
        <v>334150759.04425621</v>
      </c>
    </row>
    <row r="670" spans="1:4" x14ac:dyDescent="0.3">
      <c r="A670">
        <v>302500</v>
      </c>
      <c r="B670" s="29">
        <f t="shared" si="35"/>
        <v>1964243748.6464038</v>
      </c>
      <c r="C670" s="39">
        <f t="shared" si="36"/>
        <v>2299000000</v>
      </c>
      <c r="D670" s="76">
        <f t="shared" si="37"/>
        <v>334756251.35359621</v>
      </c>
    </row>
    <row r="671" spans="1:4" x14ac:dyDescent="0.3">
      <c r="A671">
        <v>303000</v>
      </c>
      <c r="B671" s="29">
        <f t="shared" si="35"/>
        <v>1967438256.3370638</v>
      </c>
      <c r="C671" s="39">
        <f t="shared" si="36"/>
        <v>2302800000</v>
      </c>
      <c r="D671" s="76">
        <f t="shared" si="37"/>
        <v>335361743.66293621</v>
      </c>
    </row>
    <row r="672" spans="1:4" x14ac:dyDescent="0.3">
      <c r="A672">
        <v>303500</v>
      </c>
      <c r="B672" s="29">
        <f t="shared" si="35"/>
        <v>1970632764.0277238</v>
      </c>
      <c r="C672" s="39">
        <f t="shared" si="36"/>
        <v>2306600000</v>
      </c>
      <c r="D672" s="76">
        <f t="shared" si="37"/>
        <v>335967235.97227621</v>
      </c>
    </row>
    <row r="673" spans="1:4" x14ac:dyDescent="0.3">
      <c r="A673">
        <v>304000</v>
      </c>
      <c r="B673" s="29">
        <f t="shared" si="35"/>
        <v>1973827271.7183838</v>
      </c>
      <c r="C673" s="39">
        <f t="shared" si="36"/>
        <v>2310400000</v>
      </c>
      <c r="D673" s="76">
        <f t="shared" si="37"/>
        <v>336572728.28161621</v>
      </c>
    </row>
    <row r="674" spans="1:4" x14ac:dyDescent="0.3">
      <c r="A674">
        <v>304500</v>
      </c>
      <c r="B674" s="29">
        <f t="shared" si="35"/>
        <v>1977021779.4090438</v>
      </c>
      <c r="C674" s="39">
        <f t="shared" si="36"/>
        <v>2314200000</v>
      </c>
      <c r="D674" s="76">
        <f t="shared" si="37"/>
        <v>337178220.59095621</v>
      </c>
    </row>
    <row r="675" spans="1:4" x14ac:dyDescent="0.3">
      <c r="A675">
        <v>305000</v>
      </c>
      <c r="B675" s="29">
        <f t="shared" si="35"/>
        <v>1980216287.0997038</v>
      </c>
      <c r="C675" s="39">
        <f t="shared" si="36"/>
        <v>2318000000</v>
      </c>
      <c r="D675" s="76">
        <f t="shared" si="37"/>
        <v>337783712.90029621</v>
      </c>
    </row>
    <row r="676" spans="1:4" x14ac:dyDescent="0.3">
      <c r="A676">
        <v>305500</v>
      </c>
      <c r="B676" s="29">
        <f t="shared" si="35"/>
        <v>1983410794.7903638</v>
      </c>
      <c r="C676" s="39">
        <f t="shared" si="36"/>
        <v>2321800000</v>
      </c>
      <c r="D676" s="76">
        <f t="shared" si="37"/>
        <v>338389205.20963621</v>
      </c>
    </row>
    <row r="677" spans="1:4" x14ac:dyDescent="0.3">
      <c r="A677">
        <v>306000</v>
      </c>
      <c r="B677" s="29">
        <f t="shared" si="35"/>
        <v>1986605302.4810238</v>
      </c>
      <c r="C677" s="39">
        <f t="shared" si="36"/>
        <v>2325600000</v>
      </c>
      <c r="D677" s="76">
        <f t="shared" si="37"/>
        <v>338994697.51897621</v>
      </c>
    </row>
    <row r="678" spans="1:4" x14ac:dyDescent="0.3">
      <c r="A678">
        <v>306500</v>
      </c>
      <c r="B678" s="29">
        <f t="shared" si="35"/>
        <v>1989799810.1716838</v>
      </c>
      <c r="C678" s="39">
        <f t="shared" si="36"/>
        <v>2329400000</v>
      </c>
      <c r="D678" s="76">
        <f t="shared" si="37"/>
        <v>339600189.82831621</v>
      </c>
    </row>
    <row r="679" spans="1:4" x14ac:dyDescent="0.3">
      <c r="A679">
        <v>307000</v>
      </c>
      <c r="B679" s="29">
        <f t="shared" si="35"/>
        <v>1992994317.8623438</v>
      </c>
      <c r="C679" s="39">
        <f t="shared" si="36"/>
        <v>2333200000</v>
      </c>
      <c r="D679" s="76">
        <f t="shared" si="37"/>
        <v>340205682.13765621</v>
      </c>
    </row>
    <row r="680" spans="1:4" x14ac:dyDescent="0.3">
      <c r="A680">
        <v>307500</v>
      </c>
      <c r="B680" s="29">
        <f t="shared" si="35"/>
        <v>1996188825.5530038</v>
      </c>
      <c r="C680" s="39">
        <f t="shared" si="36"/>
        <v>2337000000</v>
      </c>
      <c r="D680" s="76">
        <f t="shared" si="37"/>
        <v>340811174.44699621</v>
      </c>
    </row>
    <row r="681" spans="1:4" x14ac:dyDescent="0.3">
      <c r="A681">
        <v>308000</v>
      </c>
      <c r="B681" s="29">
        <f t="shared" si="35"/>
        <v>1999383333.2436638</v>
      </c>
      <c r="C681" s="39">
        <f t="shared" si="36"/>
        <v>2340800000</v>
      </c>
      <c r="D681" s="76">
        <f t="shared" si="37"/>
        <v>341416666.75633621</v>
      </c>
    </row>
    <row r="682" spans="1:4" x14ac:dyDescent="0.3">
      <c r="A682">
        <v>308500</v>
      </c>
      <c r="B682" s="29">
        <f t="shared" si="35"/>
        <v>2002577840.9343238</v>
      </c>
      <c r="C682" s="39">
        <f t="shared" si="36"/>
        <v>2344600000</v>
      </c>
      <c r="D682" s="76">
        <f t="shared" si="37"/>
        <v>342022159.06567621</v>
      </c>
    </row>
    <row r="683" spans="1:4" x14ac:dyDescent="0.3">
      <c r="A683">
        <v>309000</v>
      </c>
      <c r="B683" s="29">
        <f t="shared" si="35"/>
        <v>2005772348.6249838</v>
      </c>
      <c r="C683" s="39">
        <f t="shared" si="36"/>
        <v>2348400000</v>
      </c>
      <c r="D683" s="76">
        <f t="shared" si="37"/>
        <v>342627651.37501621</v>
      </c>
    </row>
    <row r="684" spans="1:4" x14ac:dyDescent="0.3">
      <c r="A684">
        <v>309500</v>
      </c>
      <c r="B684" s="29">
        <f t="shared" si="35"/>
        <v>2008966856.3156438</v>
      </c>
      <c r="C684" s="39">
        <f t="shared" si="36"/>
        <v>2352200000</v>
      </c>
      <c r="D684" s="76">
        <f t="shared" si="37"/>
        <v>343233143.68435621</v>
      </c>
    </row>
    <row r="685" spans="1:4" x14ac:dyDescent="0.3">
      <c r="A685">
        <v>310000</v>
      </c>
      <c r="B685" s="29">
        <f t="shared" si="35"/>
        <v>2012161364.0063038</v>
      </c>
      <c r="C685" s="39">
        <f t="shared" si="36"/>
        <v>2356000000</v>
      </c>
      <c r="D685" s="76">
        <f t="shared" si="37"/>
        <v>343838635.99369621</v>
      </c>
    </row>
    <row r="686" spans="1:4" x14ac:dyDescent="0.3">
      <c r="A686">
        <v>310500</v>
      </c>
      <c r="B686" s="29">
        <f t="shared" si="35"/>
        <v>2015355871.6969638</v>
      </c>
      <c r="C686" s="39">
        <f t="shared" si="36"/>
        <v>2359800000</v>
      </c>
      <c r="D686" s="76">
        <f t="shared" si="37"/>
        <v>344444128.30303621</v>
      </c>
    </row>
    <row r="687" spans="1:4" x14ac:dyDescent="0.3">
      <c r="A687">
        <v>311000</v>
      </c>
      <c r="B687" s="29">
        <f t="shared" si="35"/>
        <v>2018550379.3876238</v>
      </c>
      <c r="C687" s="39">
        <f t="shared" si="36"/>
        <v>2363600000</v>
      </c>
      <c r="D687" s="76">
        <f t="shared" si="37"/>
        <v>345049620.61237621</v>
      </c>
    </row>
    <row r="688" spans="1:4" x14ac:dyDescent="0.3">
      <c r="A688">
        <v>311500</v>
      </c>
      <c r="B688" s="29">
        <f t="shared" si="35"/>
        <v>2021744887.0782838</v>
      </c>
      <c r="C688" s="39">
        <f t="shared" si="36"/>
        <v>2367400000</v>
      </c>
      <c r="D688" s="76">
        <f t="shared" si="37"/>
        <v>345655112.92171621</v>
      </c>
    </row>
    <row r="689" spans="1:4" x14ac:dyDescent="0.3">
      <c r="A689">
        <v>312000</v>
      </c>
      <c r="B689" s="29">
        <f t="shared" si="35"/>
        <v>2024939394.7689438</v>
      </c>
      <c r="C689" s="39">
        <f t="shared" si="36"/>
        <v>2371200000</v>
      </c>
      <c r="D689" s="76">
        <f t="shared" si="37"/>
        <v>346260605.23105621</v>
      </c>
    </row>
    <row r="690" spans="1:4" x14ac:dyDescent="0.3">
      <c r="A690">
        <v>312500</v>
      </c>
      <c r="B690" s="29">
        <f t="shared" si="35"/>
        <v>2028133902.4596038</v>
      </c>
      <c r="C690" s="39">
        <f t="shared" si="36"/>
        <v>2375000000</v>
      </c>
      <c r="D690" s="76">
        <f t="shared" si="37"/>
        <v>346866097.54039621</v>
      </c>
    </row>
    <row r="691" spans="1:4" x14ac:dyDescent="0.3">
      <c r="A691">
        <v>313000</v>
      </c>
      <c r="B691" s="29">
        <f t="shared" si="35"/>
        <v>2031328410.1502638</v>
      </c>
      <c r="C691" s="39">
        <f t="shared" si="36"/>
        <v>2378800000</v>
      </c>
      <c r="D691" s="76">
        <f t="shared" si="37"/>
        <v>347471589.84973621</v>
      </c>
    </row>
    <row r="692" spans="1:4" x14ac:dyDescent="0.3">
      <c r="A692">
        <v>313500</v>
      </c>
      <c r="B692" s="29">
        <f t="shared" si="35"/>
        <v>2034522917.8409238</v>
      </c>
      <c r="C692" s="39">
        <f t="shared" si="36"/>
        <v>2382600000</v>
      </c>
      <c r="D692" s="76">
        <f t="shared" si="37"/>
        <v>348077082.15907621</v>
      </c>
    </row>
    <row r="693" spans="1:4" x14ac:dyDescent="0.3">
      <c r="A693">
        <v>314000</v>
      </c>
      <c r="B693" s="29">
        <f t="shared" si="35"/>
        <v>2037717425.5315838</v>
      </c>
      <c r="C693" s="39">
        <f t="shared" si="36"/>
        <v>2386400000</v>
      </c>
      <c r="D693" s="76">
        <f t="shared" si="37"/>
        <v>348682574.46841621</v>
      </c>
    </row>
    <row r="694" spans="1:4" x14ac:dyDescent="0.3">
      <c r="A694">
        <v>314500</v>
      </c>
      <c r="B694" s="29">
        <f t="shared" si="35"/>
        <v>2040911933.2222438</v>
      </c>
      <c r="C694" s="39">
        <f t="shared" si="36"/>
        <v>2390200000</v>
      </c>
      <c r="D694" s="76">
        <f t="shared" si="37"/>
        <v>349288066.77775621</v>
      </c>
    </row>
    <row r="695" spans="1:4" x14ac:dyDescent="0.3">
      <c r="A695">
        <v>315000</v>
      </c>
      <c r="B695" s="29">
        <f t="shared" si="35"/>
        <v>2044106440.9129038</v>
      </c>
      <c r="C695" s="39">
        <f t="shared" si="36"/>
        <v>2394000000</v>
      </c>
      <c r="D695" s="76">
        <f t="shared" si="37"/>
        <v>349893559.08709621</v>
      </c>
    </row>
    <row r="696" spans="1:4" x14ac:dyDescent="0.3">
      <c r="A696">
        <v>315500</v>
      </c>
      <c r="B696" s="29">
        <f t="shared" si="35"/>
        <v>2047300948.6035638</v>
      </c>
      <c r="C696" s="39">
        <f t="shared" si="36"/>
        <v>2397800000</v>
      </c>
      <c r="D696" s="76">
        <f t="shared" si="37"/>
        <v>350499051.39643621</v>
      </c>
    </row>
    <row r="697" spans="1:4" x14ac:dyDescent="0.3">
      <c r="A697">
        <v>316000</v>
      </c>
      <c r="B697" s="29">
        <f t="shared" si="35"/>
        <v>2050495456.2942238</v>
      </c>
      <c r="C697" s="39">
        <f t="shared" si="36"/>
        <v>2401600000</v>
      </c>
      <c r="D697" s="76">
        <f t="shared" si="37"/>
        <v>351104543.70577621</v>
      </c>
    </row>
    <row r="698" spans="1:4" x14ac:dyDescent="0.3">
      <c r="A698">
        <v>316500</v>
      </c>
      <c r="B698" s="29">
        <f t="shared" si="35"/>
        <v>2053689963.9848838</v>
      </c>
      <c r="C698" s="39">
        <f t="shared" si="36"/>
        <v>2405400000</v>
      </c>
      <c r="D698" s="76">
        <f t="shared" si="37"/>
        <v>351710036.01511621</v>
      </c>
    </row>
    <row r="699" spans="1:4" x14ac:dyDescent="0.3">
      <c r="A699">
        <v>317000</v>
      </c>
      <c r="B699" s="29">
        <f t="shared" si="35"/>
        <v>2056884471.6755438</v>
      </c>
      <c r="C699" s="39">
        <f t="shared" si="36"/>
        <v>2409200000</v>
      </c>
      <c r="D699" s="76">
        <f t="shared" si="37"/>
        <v>352315528.32445621</v>
      </c>
    </row>
    <row r="700" spans="1:4" x14ac:dyDescent="0.3">
      <c r="A700">
        <v>317500</v>
      </c>
      <c r="B700" s="29">
        <f t="shared" si="35"/>
        <v>2060078979.3662038</v>
      </c>
      <c r="C700" s="39">
        <f t="shared" si="36"/>
        <v>2413000000</v>
      </c>
      <c r="D700" s="76">
        <f t="shared" si="37"/>
        <v>352921020.63379622</v>
      </c>
    </row>
    <row r="701" spans="1:4" x14ac:dyDescent="0.3">
      <c r="A701">
        <v>318000</v>
      </c>
      <c r="B701" s="29">
        <f t="shared" si="35"/>
        <v>2063273487.0568638</v>
      </c>
      <c r="C701" s="39">
        <f t="shared" si="36"/>
        <v>2416800000</v>
      </c>
      <c r="D701" s="76">
        <f t="shared" si="37"/>
        <v>353526512.94313622</v>
      </c>
    </row>
    <row r="702" spans="1:4" x14ac:dyDescent="0.3">
      <c r="A702">
        <v>318500</v>
      </c>
      <c r="B702" s="29">
        <f t="shared" si="35"/>
        <v>2066467994.7475238</v>
      </c>
      <c r="C702" s="39">
        <f t="shared" si="36"/>
        <v>2420600000</v>
      </c>
      <c r="D702" s="76">
        <f t="shared" si="37"/>
        <v>354132005.25247622</v>
      </c>
    </row>
    <row r="703" spans="1:4" x14ac:dyDescent="0.3">
      <c r="A703">
        <v>319000</v>
      </c>
      <c r="B703" s="29">
        <f t="shared" si="35"/>
        <v>2069662502.4381838</v>
      </c>
      <c r="C703" s="39">
        <f t="shared" si="36"/>
        <v>2424400000</v>
      </c>
      <c r="D703" s="76">
        <f t="shared" si="37"/>
        <v>354737497.56181622</v>
      </c>
    </row>
    <row r="704" spans="1:4" x14ac:dyDescent="0.3">
      <c r="A704">
        <v>319500</v>
      </c>
      <c r="B704" s="29">
        <f t="shared" si="35"/>
        <v>2072857010.1288438</v>
      </c>
      <c r="C704" s="39">
        <f t="shared" si="36"/>
        <v>2428200000</v>
      </c>
      <c r="D704" s="76">
        <f t="shared" si="37"/>
        <v>355342989.87115622</v>
      </c>
    </row>
    <row r="705" spans="1:4" x14ac:dyDescent="0.3">
      <c r="A705">
        <v>320000</v>
      </c>
      <c r="B705" s="29">
        <f t="shared" si="35"/>
        <v>2076051517.8195038</v>
      </c>
      <c r="C705" s="39">
        <f t="shared" si="36"/>
        <v>2432000000</v>
      </c>
      <c r="D705" s="76">
        <f t="shared" si="37"/>
        <v>355948482.18049622</v>
      </c>
    </row>
    <row r="706" spans="1:4" x14ac:dyDescent="0.3">
      <c r="A706">
        <v>320500</v>
      </c>
      <c r="B706" s="29">
        <f t="shared" ref="B706:B769" si="38">$B$54+($B$60*A706)</f>
        <v>2079246025.5101638</v>
      </c>
      <c r="C706" s="39">
        <f t="shared" ref="C706:C769" si="39">$E$50*A706</f>
        <v>2435800000</v>
      </c>
      <c r="D706" s="76">
        <f t="shared" ref="D706:D769" si="40">C706-B706</f>
        <v>356553974.48983622</v>
      </c>
    </row>
    <row r="707" spans="1:4" x14ac:dyDescent="0.3">
      <c r="A707">
        <v>321000</v>
      </c>
      <c r="B707" s="29">
        <f t="shared" si="38"/>
        <v>2082440533.2008238</v>
      </c>
      <c r="C707" s="39">
        <f t="shared" si="39"/>
        <v>2439600000</v>
      </c>
      <c r="D707" s="76">
        <f t="shared" si="40"/>
        <v>357159466.79917622</v>
      </c>
    </row>
    <row r="708" spans="1:4" x14ac:dyDescent="0.3">
      <c r="A708">
        <v>321500</v>
      </c>
      <c r="B708" s="29">
        <f t="shared" si="38"/>
        <v>2085635040.8914838</v>
      </c>
      <c r="C708" s="39">
        <f t="shared" si="39"/>
        <v>2443400000</v>
      </c>
      <c r="D708" s="76">
        <f t="shared" si="40"/>
        <v>357764959.10851622</v>
      </c>
    </row>
    <row r="709" spans="1:4" x14ac:dyDescent="0.3">
      <c r="A709">
        <v>322000</v>
      </c>
      <c r="B709" s="29">
        <f t="shared" si="38"/>
        <v>2088829548.5821438</v>
      </c>
      <c r="C709" s="39">
        <f t="shared" si="39"/>
        <v>2447200000</v>
      </c>
      <c r="D709" s="76">
        <f t="shared" si="40"/>
        <v>358370451.41785622</v>
      </c>
    </row>
    <row r="710" spans="1:4" x14ac:dyDescent="0.3">
      <c r="A710">
        <v>322500</v>
      </c>
      <c r="B710" s="29">
        <f t="shared" si="38"/>
        <v>2092024056.2728038</v>
      </c>
      <c r="C710" s="39">
        <f t="shared" si="39"/>
        <v>2451000000</v>
      </c>
      <c r="D710" s="76">
        <f t="shared" si="40"/>
        <v>358975943.72719622</v>
      </c>
    </row>
    <row r="711" spans="1:4" x14ac:dyDescent="0.3">
      <c r="A711">
        <v>323000</v>
      </c>
      <c r="B711" s="29">
        <f t="shared" si="38"/>
        <v>2095218563.9634638</v>
      </c>
      <c r="C711" s="39">
        <f t="shared" si="39"/>
        <v>2454800000</v>
      </c>
      <c r="D711" s="76">
        <f t="shared" si="40"/>
        <v>359581436.03653622</v>
      </c>
    </row>
    <row r="712" spans="1:4" x14ac:dyDescent="0.3">
      <c r="A712">
        <v>323500</v>
      </c>
      <c r="B712" s="29">
        <f t="shared" si="38"/>
        <v>2098413071.6541238</v>
      </c>
      <c r="C712" s="39">
        <f t="shared" si="39"/>
        <v>2458600000</v>
      </c>
      <c r="D712" s="76">
        <f t="shared" si="40"/>
        <v>360186928.34587622</v>
      </c>
    </row>
    <row r="713" spans="1:4" x14ac:dyDescent="0.3">
      <c r="A713">
        <v>324000</v>
      </c>
      <c r="B713" s="29">
        <f t="shared" si="38"/>
        <v>2101607579.3447838</v>
      </c>
      <c r="C713" s="39">
        <f t="shared" si="39"/>
        <v>2462400000</v>
      </c>
      <c r="D713" s="76">
        <f t="shared" si="40"/>
        <v>360792420.65521622</v>
      </c>
    </row>
    <row r="714" spans="1:4" x14ac:dyDescent="0.3">
      <c r="A714">
        <v>324500</v>
      </c>
      <c r="B714" s="29">
        <f t="shared" si="38"/>
        <v>2104802087.0354438</v>
      </c>
      <c r="C714" s="39">
        <f t="shared" si="39"/>
        <v>2466200000</v>
      </c>
      <c r="D714" s="76">
        <f t="shared" si="40"/>
        <v>361397912.96455622</v>
      </c>
    </row>
    <row r="715" spans="1:4" x14ac:dyDescent="0.3">
      <c r="A715">
        <v>325000</v>
      </c>
      <c r="B715" s="29">
        <f t="shared" si="38"/>
        <v>2107996594.7261038</v>
      </c>
      <c r="C715" s="39">
        <f t="shared" si="39"/>
        <v>2470000000</v>
      </c>
      <c r="D715" s="76">
        <f t="shared" si="40"/>
        <v>362003405.27389622</v>
      </c>
    </row>
    <row r="716" spans="1:4" x14ac:dyDescent="0.3">
      <c r="A716">
        <v>325500</v>
      </c>
      <c r="B716" s="29">
        <f t="shared" si="38"/>
        <v>2111191102.4167638</v>
      </c>
      <c r="C716" s="39">
        <f t="shared" si="39"/>
        <v>2473800000</v>
      </c>
      <c r="D716" s="76">
        <f t="shared" si="40"/>
        <v>362608897.58323622</v>
      </c>
    </row>
    <row r="717" spans="1:4" x14ac:dyDescent="0.3">
      <c r="A717">
        <v>326000</v>
      </c>
      <c r="B717" s="29">
        <f t="shared" si="38"/>
        <v>2114385610.1074238</v>
      </c>
      <c r="C717" s="39">
        <f t="shared" si="39"/>
        <v>2477600000</v>
      </c>
      <c r="D717" s="76">
        <f t="shared" si="40"/>
        <v>363214389.89257622</v>
      </c>
    </row>
    <row r="718" spans="1:4" x14ac:dyDescent="0.3">
      <c r="A718">
        <v>326500</v>
      </c>
      <c r="B718" s="29">
        <f t="shared" si="38"/>
        <v>2117580117.7980838</v>
      </c>
      <c r="C718" s="39">
        <f t="shared" si="39"/>
        <v>2481400000</v>
      </c>
      <c r="D718" s="76">
        <f t="shared" si="40"/>
        <v>363819882.20191622</v>
      </c>
    </row>
    <row r="719" spans="1:4" x14ac:dyDescent="0.3">
      <c r="A719">
        <v>327000</v>
      </c>
      <c r="B719" s="29">
        <f t="shared" si="38"/>
        <v>2120774625.4887438</v>
      </c>
      <c r="C719" s="39">
        <f t="shared" si="39"/>
        <v>2485200000</v>
      </c>
      <c r="D719" s="76">
        <f t="shared" si="40"/>
        <v>364425374.51125622</v>
      </c>
    </row>
    <row r="720" spans="1:4" x14ac:dyDescent="0.3">
      <c r="A720">
        <v>327500</v>
      </c>
      <c r="B720" s="29">
        <f t="shared" si="38"/>
        <v>2123969133.1794038</v>
      </c>
      <c r="C720" s="39">
        <f t="shared" si="39"/>
        <v>2489000000</v>
      </c>
      <c r="D720" s="76">
        <f t="shared" si="40"/>
        <v>365030866.82059622</v>
      </c>
    </row>
    <row r="721" spans="1:4" x14ac:dyDescent="0.3">
      <c r="A721">
        <v>328000</v>
      </c>
      <c r="B721" s="29">
        <f t="shared" si="38"/>
        <v>2127163640.8700638</v>
      </c>
      <c r="C721" s="39">
        <f t="shared" si="39"/>
        <v>2492800000</v>
      </c>
      <c r="D721" s="76">
        <f t="shared" si="40"/>
        <v>365636359.12993622</v>
      </c>
    </row>
    <row r="722" spans="1:4" x14ac:dyDescent="0.3">
      <c r="A722">
        <v>328500</v>
      </c>
      <c r="B722" s="29">
        <f t="shared" si="38"/>
        <v>2130358148.5607238</v>
      </c>
      <c r="C722" s="39">
        <f t="shared" si="39"/>
        <v>2496600000</v>
      </c>
      <c r="D722" s="76">
        <f t="shared" si="40"/>
        <v>366241851.43927622</v>
      </c>
    </row>
    <row r="723" spans="1:4" x14ac:dyDescent="0.3">
      <c r="A723">
        <v>329000</v>
      </c>
      <c r="B723" s="29">
        <f t="shared" si="38"/>
        <v>2133552656.2513838</v>
      </c>
      <c r="C723" s="39">
        <f t="shared" si="39"/>
        <v>2500400000</v>
      </c>
      <c r="D723" s="76">
        <f t="shared" si="40"/>
        <v>366847343.74861622</v>
      </c>
    </row>
    <row r="724" spans="1:4" x14ac:dyDescent="0.3">
      <c r="A724">
        <v>329500</v>
      </c>
      <c r="B724" s="29">
        <f t="shared" si="38"/>
        <v>2136747163.9420438</v>
      </c>
      <c r="C724" s="39">
        <f t="shared" si="39"/>
        <v>2504200000</v>
      </c>
      <c r="D724" s="76">
        <f t="shared" si="40"/>
        <v>367452836.05795622</v>
      </c>
    </row>
    <row r="725" spans="1:4" x14ac:dyDescent="0.3">
      <c r="A725">
        <v>330000</v>
      </c>
      <c r="B725" s="29">
        <f t="shared" si="38"/>
        <v>2139941671.6327038</v>
      </c>
      <c r="C725" s="39">
        <f t="shared" si="39"/>
        <v>2508000000</v>
      </c>
      <c r="D725" s="76">
        <f t="shared" si="40"/>
        <v>368058328.36729622</v>
      </c>
    </row>
    <row r="726" spans="1:4" x14ac:dyDescent="0.3">
      <c r="A726">
        <v>330500</v>
      </c>
      <c r="B726" s="29">
        <f t="shared" si="38"/>
        <v>2143136179.3233638</v>
      </c>
      <c r="C726" s="39">
        <f t="shared" si="39"/>
        <v>2511800000</v>
      </c>
      <c r="D726" s="76">
        <f t="shared" si="40"/>
        <v>368663820.67663622</v>
      </c>
    </row>
    <row r="727" spans="1:4" x14ac:dyDescent="0.3">
      <c r="A727">
        <v>331000</v>
      </c>
      <c r="B727" s="29">
        <f t="shared" si="38"/>
        <v>2146330687.0140238</v>
      </c>
      <c r="C727" s="39">
        <f t="shared" si="39"/>
        <v>2515600000</v>
      </c>
      <c r="D727" s="76">
        <f t="shared" si="40"/>
        <v>369269312.98597622</v>
      </c>
    </row>
    <row r="728" spans="1:4" x14ac:dyDescent="0.3">
      <c r="A728">
        <v>331500</v>
      </c>
      <c r="B728" s="29">
        <f t="shared" si="38"/>
        <v>2149525194.7046838</v>
      </c>
      <c r="C728" s="39">
        <f t="shared" si="39"/>
        <v>2519400000</v>
      </c>
      <c r="D728" s="76">
        <f t="shared" si="40"/>
        <v>369874805.29531622</v>
      </c>
    </row>
    <row r="729" spans="1:4" x14ac:dyDescent="0.3">
      <c r="A729">
        <v>332000</v>
      </c>
      <c r="B729" s="29">
        <f t="shared" si="38"/>
        <v>2152719702.3953438</v>
      </c>
      <c r="C729" s="39">
        <f t="shared" si="39"/>
        <v>2523200000</v>
      </c>
      <c r="D729" s="76">
        <f t="shared" si="40"/>
        <v>370480297.60465622</v>
      </c>
    </row>
    <row r="730" spans="1:4" x14ac:dyDescent="0.3">
      <c r="A730">
        <v>332500</v>
      </c>
      <c r="B730" s="29">
        <f t="shared" si="38"/>
        <v>2155914210.0860038</v>
      </c>
      <c r="C730" s="39">
        <f t="shared" si="39"/>
        <v>2527000000</v>
      </c>
      <c r="D730" s="76">
        <f t="shared" si="40"/>
        <v>371085789.91399622</v>
      </c>
    </row>
    <row r="731" spans="1:4" x14ac:dyDescent="0.3">
      <c r="A731">
        <v>333000</v>
      </c>
      <c r="B731" s="29">
        <f t="shared" si="38"/>
        <v>2159108717.7766638</v>
      </c>
      <c r="C731" s="39">
        <f t="shared" si="39"/>
        <v>2530800000</v>
      </c>
      <c r="D731" s="76">
        <f t="shared" si="40"/>
        <v>371691282.22333622</v>
      </c>
    </row>
    <row r="732" spans="1:4" x14ac:dyDescent="0.3">
      <c r="A732">
        <v>333500</v>
      </c>
      <c r="B732" s="29">
        <f t="shared" si="38"/>
        <v>2162303225.4673238</v>
      </c>
      <c r="C732" s="39">
        <f t="shared" si="39"/>
        <v>2534600000</v>
      </c>
      <c r="D732" s="76">
        <f t="shared" si="40"/>
        <v>372296774.53267622</v>
      </c>
    </row>
    <row r="733" spans="1:4" x14ac:dyDescent="0.3">
      <c r="A733">
        <v>334000</v>
      </c>
      <c r="B733" s="29">
        <f t="shared" si="38"/>
        <v>2165497733.1579838</v>
      </c>
      <c r="C733" s="39">
        <f t="shared" si="39"/>
        <v>2538400000</v>
      </c>
      <c r="D733" s="76">
        <f t="shared" si="40"/>
        <v>372902266.84201622</v>
      </c>
    </row>
    <row r="734" spans="1:4" x14ac:dyDescent="0.3">
      <c r="A734">
        <v>334500</v>
      </c>
      <c r="B734" s="29">
        <f t="shared" si="38"/>
        <v>2168692240.8486438</v>
      </c>
      <c r="C734" s="39">
        <f t="shared" si="39"/>
        <v>2542200000</v>
      </c>
      <c r="D734" s="76">
        <f t="shared" si="40"/>
        <v>373507759.15135622</v>
      </c>
    </row>
    <row r="735" spans="1:4" x14ac:dyDescent="0.3">
      <c r="A735">
        <v>335000</v>
      </c>
      <c r="B735" s="29">
        <f t="shared" si="38"/>
        <v>2171886748.5393038</v>
      </c>
      <c r="C735" s="39">
        <f t="shared" si="39"/>
        <v>2546000000</v>
      </c>
      <c r="D735" s="76">
        <f t="shared" si="40"/>
        <v>374113251.46069622</v>
      </c>
    </row>
    <row r="736" spans="1:4" x14ac:dyDescent="0.3">
      <c r="A736">
        <v>335500</v>
      </c>
      <c r="B736" s="29">
        <f t="shared" si="38"/>
        <v>2175081256.2299638</v>
      </c>
      <c r="C736" s="39">
        <f t="shared" si="39"/>
        <v>2549800000</v>
      </c>
      <c r="D736" s="76">
        <f t="shared" si="40"/>
        <v>374718743.77003622</v>
      </c>
    </row>
    <row r="737" spans="1:4" x14ac:dyDescent="0.3">
      <c r="A737">
        <v>336000</v>
      </c>
      <c r="B737" s="29">
        <f t="shared" si="38"/>
        <v>2178275763.9206238</v>
      </c>
      <c r="C737" s="39">
        <f t="shared" si="39"/>
        <v>2553600000</v>
      </c>
      <c r="D737" s="76">
        <f t="shared" si="40"/>
        <v>375324236.07937622</v>
      </c>
    </row>
    <row r="738" spans="1:4" x14ac:dyDescent="0.3">
      <c r="A738">
        <v>336500</v>
      </c>
      <c r="B738" s="29">
        <f t="shared" si="38"/>
        <v>2181470271.6112838</v>
      </c>
      <c r="C738" s="39">
        <f t="shared" si="39"/>
        <v>2557400000</v>
      </c>
      <c r="D738" s="76">
        <f t="shared" si="40"/>
        <v>375929728.38871622</v>
      </c>
    </row>
    <row r="739" spans="1:4" x14ac:dyDescent="0.3">
      <c r="A739">
        <v>337000</v>
      </c>
      <c r="B739" s="29">
        <f t="shared" si="38"/>
        <v>2184664779.3019438</v>
      </c>
      <c r="C739" s="39">
        <f t="shared" si="39"/>
        <v>2561200000</v>
      </c>
      <c r="D739" s="76">
        <f t="shared" si="40"/>
        <v>376535220.69805622</v>
      </c>
    </row>
    <row r="740" spans="1:4" x14ac:dyDescent="0.3">
      <c r="A740">
        <v>337500</v>
      </c>
      <c r="B740" s="29">
        <f t="shared" si="38"/>
        <v>2187859286.9926038</v>
      </c>
      <c r="C740" s="39">
        <f t="shared" si="39"/>
        <v>2565000000</v>
      </c>
      <c r="D740" s="76">
        <f t="shared" si="40"/>
        <v>377140713.00739622</v>
      </c>
    </row>
    <row r="741" spans="1:4" x14ac:dyDescent="0.3">
      <c r="A741">
        <v>338000</v>
      </c>
      <c r="B741" s="29">
        <f t="shared" si="38"/>
        <v>2191053794.6832638</v>
      </c>
      <c r="C741" s="39">
        <f t="shared" si="39"/>
        <v>2568800000</v>
      </c>
      <c r="D741" s="76">
        <f t="shared" si="40"/>
        <v>377746205.31673622</v>
      </c>
    </row>
    <row r="742" spans="1:4" x14ac:dyDescent="0.3">
      <c r="A742">
        <v>338500</v>
      </c>
      <c r="B742" s="29">
        <f t="shared" si="38"/>
        <v>2194248302.3739238</v>
      </c>
      <c r="C742" s="39">
        <f t="shared" si="39"/>
        <v>2572600000</v>
      </c>
      <c r="D742" s="76">
        <f t="shared" si="40"/>
        <v>378351697.62607622</v>
      </c>
    </row>
    <row r="743" spans="1:4" x14ac:dyDescent="0.3">
      <c r="A743">
        <v>339000</v>
      </c>
      <c r="B743" s="29">
        <f t="shared" si="38"/>
        <v>2197442810.0645838</v>
      </c>
      <c r="C743" s="39">
        <f t="shared" si="39"/>
        <v>2576400000</v>
      </c>
      <c r="D743" s="76">
        <f t="shared" si="40"/>
        <v>378957189.93541622</v>
      </c>
    </row>
    <row r="744" spans="1:4" x14ac:dyDescent="0.3">
      <c r="A744">
        <v>339500</v>
      </c>
      <c r="B744" s="29">
        <f t="shared" si="38"/>
        <v>2200637317.7552438</v>
      </c>
      <c r="C744" s="39">
        <f t="shared" si="39"/>
        <v>2580200000</v>
      </c>
      <c r="D744" s="76">
        <f t="shared" si="40"/>
        <v>379562682.24475622</v>
      </c>
    </row>
    <row r="745" spans="1:4" x14ac:dyDescent="0.3">
      <c r="A745">
        <v>340000</v>
      </c>
      <c r="B745" s="29">
        <f t="shared" si="38"/>
        <v>2203831825.4459038</v>
      </c>
      <c r="C745" s="39">
        <f t="shared" si="39"/>
        <v>2584000000</v>
      </c>
      <c r="D745" s="76">
        <f t="shared" si="40"/>
        <v>380168174.55409622</v>
      </c>
    </row>
    <row r="746" spans="1:4" x14ac:dyDescent="0.3">
      <c r="A746">
        <v>340500</v>
      </c>
      <c r="B746" s="29">
        <f t="shared" si="38"/>
        <v>2207026333.1365638</v>
      </c>
      <c r="C746" s="39">
        <f t="shared" si="39"/>
        <v>2587800000</v>
      </c>
      <c r="D746" s="76">
        <f t="shared" si="40"/>
        <v>380773666.86343622</v>
      </c>
    </row>
    <row r="747" spans="1:4" x14ac:dyDescent="0.3">
      <c r="A747">
        <v>341000</v>
      </c>
      <c r="B747" s="29">
        <f t="shared" si="38"/>
        <v>2210220840.8272238</v>
      </c>
      <c r="C747" s="39">
        <f t="shared" si="39"/>
        <v>2591600000</v>
      </c>
      <c r="D747" s="76">
        <f t="shared" si="40"/>
        <v>381379159.17277622</v>
      </c>
    </row>
    <row r="748" spans="1:4" x14ac:dyDescent="0.3">
      <c r="A748">
        <v>341500</v>
      </c>
      <c r="B748" s="29">
        <f t="shared" si="38"/>
        <v>2213415348.5178838</v>
      </c>
      <c r="C748" s="39">
        <f t="shared" si="39"/>
        <v>2595400000</v>
      </c>
      <c r="D748" s="76">
        <f t="shared" si="40"/>
        <v>381984651.48211622</v>
      </c>
    </row>
    <row r="749" spans="1:4" x14ac:dyDescent="0.3">
      <c r="A749">
        <v>342000</v>
      </c>
      <c r="B749" s="29">
        <f t="shared" si="38"/>
        <v>2216609856.2085438</v>
      </c>
      <c r="C749" s="39">
        <f t="shared" si="39"/>
        <v>2599200000</v>
      </c>
      <c r="D749" s="76">
        <f t="shared" si="40"/>
        <v>382590143.79145622</v>
      </c>
    </row>
    <row r="750" spans="1:4" x14ac:dyDescent="0.3">
      <c r="A750">
        <v>342500</v>
      </c>
      <c r="B750" s="29">
        <f t="shared" si="38"/>
        <v>2219804363.8992038</v>
      </c>
      <c r="C750" s="39">
        <f t="shared" si="39"/>
        <v>2603000000</v>
      </c>
      <c r="D750" s="76">
        <f t="shared" si="40"/>
        <v>383195636.10079622</v>
      </c>
    </row>
    <row r="751" spans="1:4" x14ac:dyDescent="0.3">
      <c r="A751">
        <v>343000</v>
      </c>
      <c r="B751" s="29">
        <f t="shared" si="38"/>
        <v>2222998871.5898638</v>
      </c>
      <c r="C751" s="39">
        <f t="shared" si="39"/>
        <v>2606800000</v>
      </c>
      <c r="D751" s="76">
        <f t="shared" si="40"/>
        <v>383801128.41013622</v>
      </c>
    </row>
    <row r="752" spans="1:4" x14ac:dyDescent="0.3">
      <c r="A752">
        <v>343500</v>
      </c>
      <c r="B752" s="29">
        <f t="shared" si="38"/>
        <v>2226193379.2805238</v>
      </c>
      <c r="C752" s="39">
        <f t="shared" si="39"/>
        <v>2610600000</v>
      </c>
      <c r="D752" s="76">
        <f t="shared" si="40"/>
        <v>384406620.71947622</v>
      </c>
    </row>
    <row r="753" spans="1:4" x14ac:dyDescent="0.3">
      <c r="A753">
        <v>344000</v>
      </c>
      <c r="B753" s="29">
        <f t="shared" si="38"/>
        <v>2229387886.9711838</v>
      </c>
      <c r="C753" s="39">
        <f t="shared" si="39"/>
        <v>2614400000</v>
      </c>
      <c r="D753" s="76">
        <f t="shared" si="40"/>
        <v>385012113.02881622</v>
      </c>
    </row>
    <row r="754" spans="1:4" x14ac:dyDescent="0.3">
      <c r="A754">
        <v>344500</v>
      </c>
      <c r="B754" s="29">
        <f t="shared" si="38"/>
        <v>2232582394.6618438</v>
      </c>
      <c r="C754" s="39">
        <f t="shared" si="39"/>
        <v>2618200000</v>
      </c>
      <c r="D754" s="76">
        <f t="shared" si="40"/>
        <v>385617605.33815622</v>
      </c>
    </row>
    <row r="755" spans="1:4" x14ac:dyDescent="0.3">
      <c r="A755">
        <v>345000</v>
      </c>
      <c r="B755" s="29">
        <f t="shared" si="38"/>
        <v>2235776902.3525038</v>
      </c>
      <c r="C755" s="39">
        <f t="shared" si="39"/>
        <v>2622000000</v>
      </c>
      <c r="D755" s="76">
        <f t="shared" si="40"/>
        <v>386223097.64749622</v>
      </c>
    </row>
    <row r="756" spans="1:4" x14ac:dyDescent="0.3">
      <c r="A756">
        <v>345500</v>
      </c>
      <c r="B756" s="29">
        <f t="shared" si="38"/>
        <v>2238971410.0431638</v>
      </c>
      <c r="C756" s="39">
        <f t="shared" si="39"/>
        <v>2625800000</v>
      </c>
      <c r="D756" s="76">
        <f t="shared" si="40"/>
        <v>386828589.95683622</v>
      </c>
    </row>
    <row r="757" spans="1:4" x14ac:dyDescent="0.3">
      <c r="A757">
        <v>346000</v>
      </c>
      <c r="B757" s="29">
        <f t="shared" si="38"/>
        <v>2242165917.7338238</v>
      </c>
      <c r="C757" s="39">
        <f t="shared" si="39"/>
        <v>2629600000</v>
      </c>
      <c r="D757" s="76">
        <f t="shared" si="40"/>
        <v>387434082.26617622</v>
      </c>
    </row>
    <row r="758" spans="1:4" x14ac:dyDescent="0.3">
      <c r="A758">
        <v>346500</v>
      </c>
      <c r="B758" s="29">
        <f t="shared" si="38"/>
        <v>2245360425.4244838</v>
      </c>
      <c r="C758" s="39">
        <f t="shared" si="39"/>
        <v>2633400000</v>
      </c>
      <c r="D758" s="76">
        <f t="shared" si="40"/>
        <v>388039574.57551622</v>
      </c>
    </row>
    <row r="759" spans="1:4" x14ac:dyDescent="0.3">
      <c r="A759">
        <v>347000</v>
      </c>
      <c r="B759" s="29">
        <f t="shared" si="38"/>
        <v>2248554933.1151438</v>
      </c>
      <c r="C759" s="39">
        <f t="shared" si="39"/>
        <v>2637200000</v>
      </c>
      <c r="D759" s="76">
        <f t="shared" si="40"/>
        <v>388645066.88485622</v>
      </c>
    </row>
    <row r="760" spans="1:4" x14ac:dyDescent="0.3">
      <c r="A760">
        <v>347500</v>
      </c>
      <c r="B760" s="29">
        <f t="shared" si="38"/>
        <v>2251749440.8058038</v>
      </c>
      <c r="C760" s="39">
        <f t="shared" si="39"/>
        <v>2641000000</v>
      </c>
      <c r="D760" s="76">
        <f t="shared" si="40"/>
        <v>389250559.19419622</v>
      </c>
    </row>
    <row r="761" spans="1:4" x14ac:dyDescent="0.3">
      <c r="A761">
        <v>348000</v>
      </c>
      <c r="B761" s="29">
        <f t="shared" si="38"/>
        <v>2254943948.4964638</v>
      </c>
      <c r="C761" s="39">
        <f t="shared" si="39"/>
        <v>2644800000</v>
      </c>
      <c r="D761" s="76">
        <f t="shared" si="40"/>
        <v>389856051.50353622</v>
      </c>
    </row>
    <row r="762" spans="1:4" x14ac:dyDescent="0.3">
      <c r="A762">
        <v>348500</v>
      </c>
      <c r="B762" s="29">
        <f t="shared" si="38"/>
        <v>2258138456.1871238</v>
      </c>
      <c r="C762" s="39">
        <f t="shared" si="39"/>
        <v>2648600000</v>
      </c>
      <c r="D762" s="76">
        <f t="shared" si="40"/>
        <v>390461543.81287622</v>
      </c>
    </row>
    <row r="763" spans="1:4" x14ac:dyDescent="0.3">
      <c r="A763">
        <v>349000</v>
      </c>
      <c r="B763" s="29">
        <f t="shared" si="38"/>
        <v>2261332963.8777838</v>
      </c>
      <c r="C763" s="39">
        <f t="shared" si="39"/>
        <v>2652400000</v>
      </c>
      <c r="D763" s="76">
        <f t="shared" si="40"/>
        <v>391067036.12221622</v>
      </c>
    </row>
    <row r="764" spans="1:4" x14ac:dyDescent="0.3">
      <c r="A764">
        <v>349500</v>
      </c>
      <c r="B764" s="29">
        <f t="shared" si="38"/>
        <v>2264527471.5684438</v>
      </c>
      <c r="C764" s="39">
        <f t="shared" si="39"/>
        <v>2656200000</v>
      </c>
      <c r="D764" s="76">
        <f t="shared" si="40"/>
        <v>391672528.43155622</v>
      </c>
    </row>
    <row r="765" spans="1:4" x14ac:dyDescent="0.3">
      <c r="A765">
        <v>350000</v>
      </c>
      <c r="B765" s="29">
        <f t="shared" si="38"/>
        <v>2267721979.2591038</v>
      </c>
      <c r="C765" s="39">
        <f t="shared" si="39"/>
        <v>2660000000</v>
      </c>
      <c r="D765" s="76">
        <f t="shared" si="40"/>
        <v>392278020.74089622</v>
      </c>
    </row>
    <row r="766" spans="1:4" x14ac:dyDescent="0.3">
      <c r="A766">
        <v>350500</v>
      </c>
      <c r="B766" s="29">
        <f t="shared" si="38"/>
        <v>2270916486.9497638</v>
      </c>
      <c r="C766" s="39">
        <f t="shared" si="39"/>
        <v>2663800000</v>
      </c>
      <c r="D766" s="76">
        <f t="shared" si="40"/>
        <v>392883513.05023623</v>
      </c>
    </row>
    <row r="767" spans="1:4" x14ac:dyDescent="0.3">
      <c r="A767">
        <v>351000</v>
      </c>
      <c r="B767" s="29">
        <f t="shared" si="38"/>
        <v>2274110994.6404238</v>
      </c>
      <c r="C767" s="39">
        <f t="shared" si="39"/>
        <v>2667600000</v>
      </c>
      <c r="D767" s="76">
        <f t="shared" si="40"/>
        <v>393489005.35957623</v>
      </c>
    </row>
    <row r="768" spans="1:4" x14ac:dyDescent="0.3">
      <c r="A768">
        <v>351500</v>
      </c>
      <c r="B768" s="29">
        <f t="shared" si="38"/>
        <v>2277305502.3310838</v>
      </c>
      <c r="C768" s="39">
        <f t="shared" si="39"/>
        <v>2671400000</v>
      </c>
      <c r="D768" s="76">
        <f t="shared" si="40"/>
        <v>394094497.66891623</v>
      </c>
    </row>
    <row r="769" spans="1:4" x14ac:dyDescent="0.3">
      <c r="A769">
        <v>352000</v>
      </c>
      <c r="B769" s="29">
        <f t="shared" si="38"/>
        <v>2280500010.0217438</v>
      </c>
      <c r="C769" s="39">
        <f t="shared" si="39"/>
        <v>2675200000</v>
      </c>
      <c r="D769" s="76">
        <f t="shared" si="40"/>
        <v>394699989.97825623</v>
      </c>
    </row>
    <row r="770" spans="1:4" x14ac:dyDescent="0.3">
      <c r="A770">
        <v>352500</v>
      </c>
      <c r="B770" s="29">
        <f t="shared" ref="B770:B833" si="41">$B$54+($B$60*A770)</f>
        <v>2283694517.7124038</v>
      </c>
      <c r="C770" s="39">
        <f t="shared" ref="C770:C833" si="42">$E$50*A770</f>
        <v>2679000000</v>
      </c>
      <c r="D770" s="76">
        <f t="shared" ref="D770:D833" si="43">C770-B770</f>
        <v>395305482.28759623</v>
      </c>
    </row>
    <row r="771" spans="1:4" x14ac:dyDescent="0.3">
      <c r="A771">
        <v>353000</v>
      </c>
      <c r="B771" s="29">
        <f t="shared" si="41"/>
        <v>2286889025.4030638</v>
      </c>
      <c r="C771" s="39">
        <f t="shared" si="42"/>
        <v>2682800000</v>
      </c>
      <c r="D771" s="76">
        <f t="shared" si="43"/>
        <v>395910974.59693623</v>
      </c>
    </row>
    <row r="772" spans="1:4" x14ac:dyDescent="0.3">
      <c r="A772">
        <v>353500</v>
      </c>
      <c r="B772" s="29">
        <f t="shared" si="41"/>
        <v>2290083533.0937238</v>
      </c>
      <c r="C772" s="39">
        <f t="shared" si="42"/>
        <v>2686600000</v>
      </c>
      <c r="D772" s="76">
        <f t="shared" si="43"/>
        <v>396516466.90627623</v>
      </c>
    </row>
    <row r="773" spans="1:4" x14ac:dyDescent="0.3">
      <c r="A773">
        <v>354000</v>
      </c>
      <c r="B773" s="29">
        <f t="shared" si="41"/>
        <v>2293278040.7843838</v>
      </c>
      <c r="C773" s="39">
        <f t="shared" si="42"/>
        <v>2690400000</v>
      </c>
      <c r="D773" s="76">
        <f t="shared" si="43"/>
        <v>397121959.21561623</v>
      </c>
    </row>
    <row r="774" spans="1:4" x14ac:dyDescent="0.3">
      <c r="A774">
        <v>354500</v>
      </c>
      <c r="B774" s="29">
        <f t="shared" si="41"/>
        <v>2296472548.4750438</v>
      </c>
      <c r="C774" s="39">
        <f t="shared" si="42"/>
        <v>2694200000</v>
      </c>
      <c r="D774" s="76">
        <f t="shared" si="43"/>
        <v>397727451.52495623</v>
      </c>
    </row>
    <row r="775" spans="1:4" x14ac:dyDescent="0.3">
      <c r="A775">
        <v>355000</v>
      </c>
      <c r="B775" s="29">
        <f t="shared" si="41"/>
        <v>2299667056.1657038</v>
      </c>
      <c r="C775" s="39">
        <f t="shared" si="42"/>
        <v>2698000000</v>
      </c>
      <c r="D775" s="76">
        <f t="shared" si="43"/>
        <v>398332943.83429623</v>
      </c>
    </row>
    <row r="776" spans="1:4" x14ac:dyDescent="0.3">
      <c r="A776">
        <v>355500</v>
      </c>
      <c r="B776" s="29">
        <f t="shared" si="41"/>
        <v>2302861563.8563638</v>
      </c>
      <c r="C776" s="39">
        <f t="shared" si="42"/>
        <v>2701800000</v>
      </c>
      <c r="D776" s="76">
        <f t="shared" si="43"/>
        <v>398938436.14363623</v>
      </c>
    </row>
    <row r="777" spans="1:4" x14ac:dyDescent="0.3">
      <c r="A777">
        <v>356000</v>
      </c>
      <c r="B777" s="29">
        <f t="shared" si="41"/>
        <v>2306056071.5470238</v>
      </c>
      <c r="C777" s="39">
        <f t="shared" si="42"/>
        <v>2705600000</v>
      </c>
      <c r="D777" s="76">
        <f t="shared" si="43"/>
        <v>399543928.45297623</v>
      </c>
    </row>
    <row r="778" spans="1:4" x14ac:dyDescent="0.3">
      <c r="A778">
        <v>356500</v>
      </c>
      <c r="B778" s="29">
        <f t="shared" si="41"/>
        <v>2309250579.2376838</v>
      </c>
      <c r="C778" s="39">
        <f t="shared" si="42"/>
        <v>2709400000</v>
      </c>
      <c r="D778" s="76">
        <f t="shared" si="43"/>
        <v>400149420.76231623</v>
      </c>
    </row>
    <row r="779" spans="1:4" x14ac:dyDescent="0.3">
      <c r="A779">
        <v>357000</v>
      </c>
      <c r="B779" s="29">
        <f t="shared" si="41"/>
        <v>2312445086.9283438</v>
      </c>
      <c r="C779" s="39">
        <f t="shared" si="42"/>
        <v>2713200000</v>
      </c>
      <c r="D779" s="76">
        <f t="shared" si="43"/>
        <v>400754913.07165623</v>
      </c>
    </row>
    <row r="780" spans="1:4" x14ac:dyDescent="0.3">
      <c r="A780">
        <v>357500</v>
      </c>
      <c r="B780" s="29">
        <f t="shared" si="41"/>
        <v>2315639594.6190038</v>
      </c>
      <c r="C780" s="39">
        <f t="shared" si="42"/>
        <v>2717000000</v>
      </c>
      <c r="D780" s="76">
        <f t="shared" si="43"/>
        <v>401360405.38099623</v>
      </c>
    </row>
    <row r="781" spans="1:4" x14ac:dyDescent="0.3">
      <c r="A781">
        <v>358000</v>
      </c>
      <c r="B781" s="29">
        <f t="shared" si="41"/>
        <v>2318834102.3096638</v>
      </c>
      <c r="C781" s="39">
        <f t="shared" si="42"/>
        <v>2720800000</v>
      </c>
      <c r="D781" s="76">
        <f t="shared" si="43"/>
        <v>401965897.69033623</v>
      </c>
    </row>
    <row r="782" spans="1:4" x14ac:dyDescent="0.3">
      <c r="A782">
        <v>358500</v>
      </c>
      <c r="B782" s="29">
        <f t="shared" si="41"/>
        <v>2322028610.0003238</v>
      </c>
      <c r="C782" s="39">
        <f t="shared" si="42"/>
        <v>2724600000</v>
      </c>
      <c r="D782" s="76">
        <f t="shared" si="43"/>
        <v>402571389.99967623</v>
      </c>
    </row>
    <row r="783" spans="1:4" x14ac:dyDescent="0.3">
      <c r="A783">
        <v>359000</v>
      </c>
      <c r="B783" s="29">
        <f t="shared" si="41"/>
        <v>2325223117.6909838</v>
      </c>
      <c r="C783" s="39">
        <f t="shared" si="42"/>
        <v>2728400000</v>
      </c>
      <c r="D783" s="76">
        <f t="shared" si="43"/>
        <v>403176882.30901623</v>
      </c>
    </row>
    <row r="784" spans="1:4" x14ac:dyDescent="0.3">
      <c r="A784">
        <v>359500</v>
      </c>
      <c r="B784" s="29">
        <f t="shared" si="41"/>
        <v>2328417625.3816438</v>
      </c>
      <c r="C784" s="39">
        <f t="shared" si="42"/>
        <v>2732200000</v>
      </c>
      <c r="D784" s="76">
        <f t="shared" si="43"/>
        <v>403782374.61835623</v>
      </c>
    </row>
    <row r="785" spans="1:4" x14ac:dyDescent="0.3">
      <c r="A785">
        <v>360000</v>
      </c>
      <c r="B785" s="29">
        <f t="shared" si="41"/>
        <v>2331612133.0723038</v>
      </c>
      <c r="C785" s="39">
        <f t="shared" si="42"/>
        <v>2736000000</v>
      </c>
      <c r="D785" s="76">
        <f t="shared" si="43"/>
        <v>404387866.92769623</v>
      </c>
    </row>
    <row r="786" spans="1:4" x14ac:dyDescent="0.3">
      <c r="A786">
        <v>360500</v>
      </c>
      <c r="B786" s="29">
        <f t="shared" si="41"/>
        <v>2334806640.7629638</v>
      </c>
      <c r="C786" s="39">
        <f t="shared" si="42"/>
        <v>2739800000</v>
      </c>
      <c r="D786" s="76">
        <f t="shared" si="43"/>
        <v>404993359.23703623</v>
      </c>
    </row>
    <row r="787" spans="1:4" x14ac:dyDescent="0.3">
      <c r="A787">
        <v>361000</v>
      </c>
      <c r="B787" s="29">
        <f t="shared" si="41"/>
        <v>2338001148.4536238</v>
      </c>
      <c r="C787" s="39">
        <f t="shared" si="42"/>
        <v>2743600000</v>
      </c>
      <c r="D787" s="76">
        <f t="shared" si="43"/>
        <v>405598851.54637623</v>
      </c>
    </row>
    <row r="788" spans="1:4" x14ac:dyDescent="0.3">
      <c r="A788">
        <v>361500</v>
      </c>
      <c r="B788" s="29">
        <f t="shared" si="41"/>
        <v>2341195656.1442838</v>
      </c>
      <c r="C788" s="39">
        <f t="shared" si="42"/>
        <v>2747400000</v>
      </c>
      <c r="D788" s="76">
        <f t="shared" si="43"/>
        <v>406204343.85571623</v>
      </c>
    </row>
    <row r="789" spans="1:4" x14ac:dyDescent="0.3">
      <c r="A789">
        <v>362000</v>
      </c>
      <c r="B789" s="29">
        <f t="shared" si="41"/>
        <v>2344390163.8349438</v>
      </c>
      <c r="C789" s="39">
        <f t="shared" si="42"/>
        <v>2751200000</v>
      </c>
      <c r="D789" s="76">
        <f t="shared" si="43"/>
        <v>406809836.16505623</v>
      </c>
    </row>
    <row r="790" spans="1:4" x14ac:dyDescent="0.3">
      <c r="A790">
        <v>362500</v>
      </c>
      <c r="B790" s="29">
        <f t="shared" si="41"/>
        <v>2347584671.5256038</v>
      </c>
      <c r="C790" s="39">
        <f t="shared" si="42"/>
        <v>2755000000</v>
      </c>
      <c r="D790" s="76">
        <f t="shared" si="43"/>
        <v>407415328.47439623</v>
      </c>
    </row>
    <row r="791" spans="1:4" x14ac:dyDescent="0.3">
      <c r="A791">
        <v>363000</v>
      </c>
      <c r="B791" s="29">
        <f t="shared" si="41"/>
        <v>2350779179.2162638</v>
      </c>
      <c r="C791" s="39">
        <f t="shared" si="42"/>
        <v>2758800000</v>
      </c>
      <c r="D791" s="76">
        <f t="shared" si="43"/>
        <v>408020820.78373623</v>
      </c>
    </row>
    <row r="792" spans="1:4" x14ac:dyDescent="0.3">
      <c r="A792">
        <v>363500</v>
      </c>
      <c r="B792" s="29">
        <f t="shared" si="41"/>
        <v>2353973686.9069238</v>
      </c>
      <c r="C792" s="39">
        <f t="shared" si="42"/>
        <v>2762600000</v>
      </c>
      <c r="D792" s="76">
        <f t="shared" si="43"/>
        <v>408626313.09307623</v>
      </c>
    </row>
    <row r="793" spans="1:4" x14ac:dyDescent="0.3">
      <c r="A793">
        <v>364000</v>
      </c>
      <c r="B793" s="29">
        <f t="shared" si="41"/>
        <v>2357168194.5975838</v>
      </c>
      <c r="C793" s="39">
        <f t="shared" si="42"/>
        <v>2766400000</v>
      </c>
      <c r="D793" s="76">
        <f t="shared" si="43"/>
        <v>409231805.40241623</v>
      </c>
    </row>
    <row r="794" spans="1:4" x14ac:dyDescent="0.3">
      <c r="A794">
        <v>364500</v>
      </c>
      <c r="B794" s="29">
        <f t="shared" si="41"/>
        <v>2360362702.2882438</v>
      </c>
      <c r="C794" s="39">
        <f t="shared" si="42"/>
        <v>2770200000</v>
      </c>
      <c r="D794" s="76">
        <f t="shared" si="43"/>
        <v>409837297.71175623</v>
      </c>
    </row>
    <row r="795" spans="1:4" x14ac:dyDescent="0.3">
      <c r="A795">
        <v>365000</v>
      </c>
      <c r="B795" s="29">
        <f t="shared" si="41"/>
        <v>2363557209.9789038</v>
      </c>
      <c r="C795" s="39">
        <f t="shared" si="42"/>
        <v>2774000000</v>
      </c>
      <c r="D795" s="76">
        <f t="shared" si="43"/>
        <v>410442790.02109623</v>
      </c>
    </row>
    <row r="796" spans="1:4" x14ac:dyDescent="0.3">
      <c r="A796">
        <v>365500</v>
      </c>
      <c r="B796" s="29">
        <f t="shared" si="41"/>
        <v>2366751717.6695638</v>
      </c>
      <c r="C796" s="39">
        <f t="shared" si="42"/>
        <v>2777800000</v>
      </c>
      <c r="D796" s="76">
        <f t="shared" si="43"/>
        <v>411048282.33043623</v>
      </c>
    </row>
    <row r="797" spans="1:4" x14ac:dyDescent="0.3">
      <c r="A797">
        <v>366000</v>
      </c>
      <c r="B797" s="29">
        <f t="shared" si="41"/>
        <v>2369946225.3602238</v>
      </c>
      <c r="C797" s="39">
        <f t="shared" si="42"/>
        <v>2781600000</v>
      </c>
      <c r="D797" s="76">
        <f t="shared" si="43"/>
        <v>411653774.63977623</v>
      </c>
    </row>
    <row r="798" spans="1:4" x14ac:dyDescent="0.3">
      <c r="A798">
        <v>366500</v>
      </c>
      <c r="B798" s="29">
        <f t="shared" si="41"/>
        <v>2373140733.0508838</v>
      </c>
      <c r="C798" s="39">
        <f t="shared" si="42"/>
        <v>2785400000</v>
      </c>
      <c r="D798" s="76">
        <f t="shared" si="43"/>
        <v>412259266.94911623</v>
      </c>
    </row>
    <row r="799" spans="1:4" x14ac:dyDescent="0.3">
      <c r="A799">
        <v>367000</v>
      </c>
      <c r="B799" s="29">
        <f t="shared" si="41"/>
        <v>2376335240.7415438</v>
      </c>
      <c r="C799" s="39">
        <f t="shared" si="42"/>
        <v>2789200000</v>
      </c>
      <c r="D799" s="76">
        <f t="shared" si="43"/>
        <v>412864759.25845623</v>
      </c>
    </row>
    <row r="800" spans="1:4" x14ac:dyDescent="0.3">
      <c r="A800">
        <v>367500</v>
      </c>
      <c r="B800" s="29">
        <f t="shared" si="41"/>
        <v>2379529748.4322038</v>
      </c>
      <c r="C800" s="39">
        <f t="shared" si="42"/>
        <v>2793000000</v>
      </c>
      <c r="D800" s="76">
        <f t="shared" si="43"/>
        <v>413470251.56779623</v>
      </c>
    </row>
    <row r="801" spans="1:4" x14ac:dyDescent="0.3">
      <c r="A801">
        <v>368000</v>
      </c>
      <c r="B801" s="29">
        <f t="shared" si="41"/>
        <v>2382724256.1228638</v>
      </c>
      <c r="C801" s="39">
        <f t="shared" si="42"/>
        <v>2796800000</v>
      </c>
      <c r="D801" s="76">
        <f t="shared" si="43"/>
        <v>414075743.87713623</v>
      </c>
    </row>
    <row r="802" spans="1:4" x14ac:dyDescent="0.3">
      <c r="A802">
        <v>368500</v>
      </c>
      <c r="B802" s="29">
        <f t="shared" si="41"/>
        <v>2385918763.8135238</v>
      </c>
      <c r="C802" s="39">
        <f t="shared" si="42"/>
        <v>2800600000</v>
      </c>
      <c r="D802" s="76">
        <f t="shared" si="43"/>
        <v>414681236.18647623</v>
      </c>
    </row>
    <row r="803" spans="1:4" x14ac:dyDescent="0.3">
      <c r="A803">
        <v>369000</v>
      </c>
      <c r="B803" s="29">
        <f t="shared" si="41"/>
        <v>2389113271.5041838</v>
      </c>
      <c r="C803" s="39">
        <f t="shared" si="42"/>
        <v>2804400000</v>
      </c>
      <c r="D803" s="76">
        <f t="shared" si="43"/>
        <v>415286728.49581623</v>
      </c>
    </row>
    <row r="804" spans="1:4" x14ac:dyDescent="0.3">
      <c r="A804">
        <v>369500</v>
      </c>
      <c r="B804" s="29">
        <f t="shared" si="41"/>
        <v>2392307779.1948438</v>
      </c>
      <c r="C804" s="39">
        <f t="shared" si="42"/>
        <v>2808200000</v>
      </c>
      <c r="D804" s="76">
        <f t="shared" si="43"/>
        <v>415892220.80515623</v>
      </c>
    </row>
    <row r="805" spans="1:4" x14ac:dyDescent="0.3">
      <c r="A805">
        <v>370000</v>
      </c>
      <c r="B805" s="29">
        <f t="shared" si="41"/>
        <v>2395502286.8855038</v>
      </c>
      <c r="C805" s="39">
        <f t="shared" si="42"/>
        <v>2812000000</v>
      </c>
      <c r="D805" s="76">
        <f t="shared" si="43"/>
        <v>416497713.11449623</v>
      </c>
    </row>
    <row r="806" spans="1:4" x14ac:dyDescent="0.3">
      <c r="A806">
        <v>370500</v>
      </c>
      <c r="B806" s="29">
        <f t="shared" si="41"/>
        <v>2398696794.5761638</v>
      </c>
      <c r="C806" s="39">
        <f t="shared" si="42"/>
        <v>2815800000</v>
      </c>
      <c r="D806" s="76">
        <f t="shared" si="43"/>
        <v>417103205.42383623</v>
      </c>
    </row>
    <row r="807" spans="1:4" x14ac:dyDescent="0.3">
      <c r="A807">
        <v>371000</v>
      </c>
      <c r="B807" s="29">
        <f t="shared" si="41"/>
        <v>2401891302.2668238</v>
      </c>
      <c r="C807" s="39">
        <f t="shared" si="42"/>
        <v>2819600000</v>
      </c>
      <c r="D807" s="76">
        <f t="shared" si="43"/>
        <v>417708697.73317623</v>
      </c>
    </row>
    <row r="808" spans="1:4" x14ac:dyDescent="0.3">
      <c r="A808">
        <v>371500</v>
      </c>
      <c r="B808" s="29">
        <f t="shared" si="41"/>
        <v>2405085809.9574838</v>
      </c>
      <c r="C808" s="39">
        <f t="shared" si="42"/>
        <v>2823400000</v>
      </c>
      <c r="D808" s="76">
        <f t="shared" si="43"/>
        <v>418314190.04251623</v>
      </c>
    </row>
    <row r="809" spans="1:4" x14ac:dyDescent="0.3">
      <c r="A809">
        <v>372000</v>
      </c>
      <c r="B809" s="29">
        <f t="shared" si="41"/>
        <v>2408280317.6481438</v>
      </c>
      <c r="C809" s="39">
        <f t="shared" si="42"/>
        <v>2827200000</v>
      </c>
      <c r="D809" s="76">
        <f t="shared" si="43"/>
        <v>418919682.35185623</v>
      </c>
    </row>
    <row r="810" spans="1:4" x14ac:dyDescent="0.3">
      <c r="A810">
        <v>372500</v>
      </c>
      <c r="B810" s="29">
        <f t="shared" si="41"/>
        <v>2411474825.3388038</v>
      </c>
      <c r="C810" s="39">
        <f t="shared" si="42"/>
        <v>2831000000</v>
      </c>
      <c r="D810" s="76">
        <f t="shared" si="43"/>
        <v>419525174.66119623</v>
      </c>
    </row>
    <row r="811" spans="1:4" x14ac:dyDescent="0.3">
      <c r="A811">
        <v>373000</v>
      </c>
      <c r="B811" s="29">
        <f t="shared" si="41"/>
        <v>2414669333.0294638</v>
      </c>
      <c r="C811" s="39">
        <f t="shared" si="42"/>
        <v>2834800000</v>
      </c>
      <c r="D811" s="76">
        <f t="shared" si="43"/>
        <v>420130666.97053623</v>
      </c>
    </row>
    <row r="812" spans="1:4" x14ac:dyDescent="0.3">
      <c r="A812">
        <v>373500</v>
      </c>
      <c r="B812" s="29">
        <f t="shared" si="41"/>
        <v>2417863840.7201238</v>
      </c>
      <c r="C812" s="39">
        <f t="shared" si="42"/>
        <v>2838600000</v>
      </c>
      <c r="D812" s="76">
        <f t="shared" si="43"/>
        <v>420736159.27987623</v>
      </c>
    </row>
    <row r="813" spans="1:4" x14ac:dyDescent="0.3">
      <c r="A813">
        <v>374000</v>
      </c>
      <c r="B813" s="29">
        <f t="shared" si="41"/>
        <v>2421058348.4107838</v>
      </c>
      <c r="C813" s="39">
        <f t="shared" si="42"/>
        <v>2842400000</v>
      </c>
      <c r="D813" s="76">
        <f t="shared" si="43"/>
        <v>421341651.58921623</v>
      </c>
    </row>
    <row r="814" spans="1:4" x14ac:dyDescent="0.3">
      <c r="A814">
        <v>374500</v>
      </c>
      <c r="B814" s="29">
        <f t="shared" si="41"/>
        <v>2424252856.1014438</v>
      </c>
      <c r="C814" s="39">
        <f t="shared" si="42"/>
        <v>2846200000</v>
      </c>
      <c r="D814" s="76">
        <f t="shared" si="43"/>
        <v>421947143.89855623</v>
      </c>
    </row>
    <row r="815" spans="1:4" x14ac:dyDescent="0.3">
      <c r="A815">
        <v>375000</v>
      </c>
      <c r="B815" s="29">
        <f t="shared" si="41"/>
        <v>2427447363.7921038</v>
      </c>
      <c r="C815" s="39">
        <f t="shared" si="42"/>
        <v>2850000000</v>
      </c>
      <c r="D815" s="76">
        <f t="shared" si="43"/>
        <v>422552636.20789623</v>
      </c>
    </row>
    <row r="816" spans="1:4" x14ac:dyDescent="0.3">
      <c r="A816">
        <v>375500</v>
      </c>
      <c r="B816" s="29">
        <f t="shared" si="41"/>
        <v>2430641871.4827638</v>
      </c>
      <c r="C816" s="39">
        <f t="shared" si="42"/>
        <v>2853800000</v>
      </c>
      <c r="D816" s="76">
        <f t="shared" si="43"/>
        <v>423158128.51723623</v>
      </c>
    </row>
    <row r="817" spans="1:4" x14ac:dyDescent="0.3">
      <c r="A817">
        <v>376000</v>
      </c>
      <c r="B817" s="29">
        <f t="shared" si="41"/>
        <v>2433836379.1734238</v>
      </c>
      <c r="C817" s="39">
        <f t="shared" si="42"/>
        <v>2857600000</v>
      </c>
      <c r="D817" s="76">
        <f t="shared" si="43"/>
        <v>423763620.82657623</v>
      </c>
    </row>
    <row r="818" spans="1:4" x14ac:dyDescent="0.3">
      <c r="A818">
        <v>376500</v>
      </c>
      <c r="B818" s="29">
        <f t="shared" si="41"/>
        <v>2437030886.8640838</v>
      </c>
      <c r="C818" s="39">
        <f t="shared" si="42"/>
        <v>2861400000</v>
      </c>
      <c r="D818" s="76">
        <f t="shared" si="43"/>
        <v>424369113.13591623</v>
      </c>
    </row>
    <row r="819" spans="1:4" x14ac:dyDescent="0.3">
      <c r="A819">
        <v>377000</v>
      </c>
      <c r="B819" s="29">
        <f t="shared" si="41"/>
        <v>2440225394.5547438</v>
      </c>
      <c r="C819" s="39">
        <f t="shared" si="42"/>
        <v>2865200000</v>
      </c>
      <c r="D819" s="76">
        <f t="shared" si="43"/>
        <v>424974605.44525623</v>
      </c>
    </row>
    <row r="820" spans="1:4" x14ac:dyDescent="0.3">
      <c r="A820">
        <v>377500</v>
      </c>
      <c r="B820" s="29">
        <f t="shared" si="41"/>
        <v>2443419902.2454038</v>
      </c>
      <c r="C820" s="39">
        <f t="shared" si="42"/>
        <v>2869000000</v>
      </c>
      <c r="D820" s="76">
        <f t="shared" si="43"/>
        <v>425580097.75459623</v>
      </c>
    </row>
    <row r="821" spans="1:4" x14ac:dyDescent="0.3">
      <c r="A821">
        <v>378000</v>
      </c>
      <c r="B821" s="29">
        <f t="shared" si="41"/>
        <v>2446614409.9360638</v>
      </c>
      <c r="C821" s="39">
        <f t="shared" si="42"/>
        <v>2872800000</v>
      </c>
      <c r="D821" s="76">
        <f t="shared" si="43"/>
        <v>426185590.06393623</v>
      </c>
    </row>
    <row r="822" spans="1:4" x14ac:dyDescent="0.3">
      <c r="A822">
        <v>378500</v>
      </c>
      <c r="B822" s="29">
        <f t="shared" si="41"/>
        <v>2449808917.6267238</v>
      </c>
      <c r="C822" s="39">
        <f t="shared" si="42"/>
        <v>2876600000</v>
      </c>
      <c r="D822" s="76">
        <f t="shared" si="43"/>
        <v>426791082.37327623</v>
      </c>
    </row>
    <row r="823" spans="1:4" x14ac:dyDescent="0.3">
      <c r="A823">
        <v>379000</v>
      </c>
      <c r="B823" s="29">
        <f t="shared" si="41"/>
        <v>2453003425.3173838</v>
      </c>
      <c r="C823" s="39">
        <f t="shared" si="42"/>
        <v>2880400000</v>
      </c>
      <c r="D823" s="76">
        <f t="shared" si="43"/>
        <v>427396574.68261623</v>
      </c>
    </row>
    <row r="824" spans="1:4" x14ac:dyDescent="0.3">
      <c r="A824">
        <v>379500</v>
      </c>
      <c r="B824" s="29">
        <f t="shared" si="41"/>
        <v>2456197933.0080438</v>
      </c>
      <c r="C824" s="39">
        <f t="shared" si="42"/>
        <v>2884200000</v>
      </c>
      <c r="D824" s="76">
        <f t="shared" si="43"/>
        <v>428002066.99195623</v>
      </c>
    </row>
    <row r="825" spans="1:4" x14ac:dyDescent="0.3">
      <c r="A825">
        <v>380000</v>
      </c>
      <c r="B825" s="29">
        <f t="shared" si="41"/>
        <v>2459392440.6987038</v>
      </c>
      <c r="C825" s="39">
        <f t="shared" si="42"/>
        <v>2888000000</v>
      </c>
      <c r="D825" s="76">
        <f t="shared" si="43"/>
        <v>428607559.30129623</v>
      </c>
    </row>
    <row r="826" spans="1:4" x14ac:dyDescent="0.3">
      <c r="A826">
        <v>380500</v>
      </c>
      <c r="B826" s="29">
        <f t="shared" si="41"/>
        <v>2462586948.3893638</v>
      </c>
      <c r="C826" s="39">
        <f t="shared" si="42"/>
        <v>2891800000</v>
      </c>
      <c r="D826" s="76">
        <f t="shared" si="43"/>
        <v>429213051.61063623</v>
      </c>
    </row>
    <row r="827" spans="1:4" x14ac:dyDescent="0.3">
      <c r="A827">
        <v>381000</v>
      </c>
      <c r="B827" s="29">
        <f t="shared" si="41"/>
        <v>2465781456.0800238</v>
      </c>
      <c r="C827" s="39">
        <f t="shared" si="42"/>
        <v>2895600000</v>
      </c>
      <c r="D827" s="76">
        <f t="shared" si="43"/>
        <v>429818543.91997623</v>
      </c>
    </row>
    <row r="828" spans="1:4" x14ac:dyDescent="0.3">
      <c r="A828">
        <v>381500</v>
      </c>
      <c r="B828" s="29">
        <f t="shared" si="41"/>
        <v>2468975963.7706838</v>
      </c>
      <c r="C828" s="39">
        <f t="shared" si="42"/>
        <v>2899400000</v>
      </c>
      <c r="D828" s="76">
        <f t="shared" si="43"/>
        <v>430424036.22931623</v>
      </c>
    </row>
    <row r="829" spans="1:4" x14ac:dyDescent="0.3">
      <c r="A829">
        <v>382000</v>
      </c>
      <c r="B829" s="29">
        <f t="shared" si="41"/>
        <v>2472170471.4613438</v>
      </c>
      <c r="C829" s="39">
        <f t="shared" si="42"/>
        <v>2903200000</v>
      </c>
      <c r="D829" s="76">
        <f t="shared" si="43"/>
        <v>431029528.53865623</v>
      </c>
    </row>
    <row r="830" spans="1:4" x14ac:dyDescent="0.3">
      <c r="A830">
        <v>382500</v>
      </c>
      <c r="B830" s="29">
        <f t="shared" si="41"/>
        <v>2475364979.1520038</v>
      </c>
      <c r="C830" s="39">
        <f t="shared" si="42"/>
        <v>2907000000</v>
      </c>
      <c r="D830" s="76">
        <f t="shared" si="43"/>
        <v>431635020.84799623</v>
      </c>
    </row>
    <row r="831" spans="1:4" x14ac:dyDescent="0.3">
      <c r="A831">
        <v>383000</v>
      </c>
      <c r="B831" s="29">
        <f t="shared" si="41"/>
        <v>2478559486.8426638</v>
      </c>
      <c r="C831" s="39">
        <f t="shared" si="42"/>
        <v>2910800000</v>
      </c>
      <c r="D831" s="76">
        <f t="shared" si="43"/>
        <v>432240513.15733624</v>
      </c>
    </row>
    <row r="832" spans="1:4" x14ac:dyDescent="0.3">
      <c r="A832">
        <v>383500</v>
      </c>
      <c r="B832" s="29">
        <f t="shared" si="41"/>
        <v>2481753994.5333238</v>
      </c>
      <c r="C832" s="39">
        <f t="shared" si="42"/>
        <v>2914600000</v>
      </c>
      <c r="D832" s="76">
        <f t="shared" si="43"/>
        <v>432846005.46667624</v>
      </c>
    </row>
    <row r="833" spans="1:4" x14ac:dyDescent="0.3">
      <c r="A833">
        <v>384000</v>
      </c>
      <c r="B833" s="29">
        <f t="shared" si="41"/>
        <v>2484948502.2239838</v>
      </c>
      <c r="C833" s="39">
        <f t="shared" si="42"/>
        <v>2918400000</v>
      </c>
      <c r="D833" s="76">
        <f t="shared" si="43"/>
        <v>433451497.77601624</v>
      </c>
    </row>
    <row r="834" spans="1:4" x14ac:dyDescent="0.3">
      <c r="A834">
        <v>384500</v>
      </c>
      <c r="B834" s="29">
        <f t="shared" ref="B834:B897" si="44">$B$54+($B$60*A834)</f>
        <v>2488143009.9146438</v>
      </c>
      <c r="C834" s="39">
        <f t="shared" ref="C834:C897" si="45">$E$50*A834</f>
        <v>2922200000</v>
      </c>
      <c r="D834" s="76">
        <f t="shared" ref="D834:D897" si="46">C834-B834</f>
        <v>434056990.08535624</v>
      </c>
    </row>
    <row r="835" spans="1:4" x14ac:dyDescent="0.3">
      <c r="A835">
        <v>385000</v>
      </c>
      <c r="B835" s="29">
        <f t="shared" si="44"/>
        <v>2491337517.6053038</v>
      </c>
      <c r="C835" s="39">
        <f t="shared" si="45"/>
        <v>2926000000</v>
      </c>
      <c r="D835" s="76">
        <f t="shared" si="46"/>
        <v>434662482.39469624</v>
      </c>
    </row>
    <row r="836" spans="1:4" x14ac:dyDescent="0.3">
      <c r="A836">
        <v>385500</v>
      </c>
      <c r="B836" s="29">
        <f t="shared" si="44"/>
        <v>2494532025.2959638</v>
      </c>
      <c r="C836" s="39">
        <f t="shared" si="45"/>
        <v>2929800000</v>
      </c>
      <c r="D836" s="76">
        <f t="shared" si="46"/>
        <v>435267974.70403624</v>
      </c>
    </row>
    <row r="837" spans="1:4" x14ac:dyDescent="0.3">
      <c r="A837">
        <v>386000</v>
      </c>
      <c r="B837" s="29">
        <f t="shared" si="44"/>
        <v>2497726532.9866238</v>
      </c>
      <c r="C837" s="39">
        <f t="shared" si="45"/>
        <v>2933600000</v>
      </c>
      <c r="D837" s="76">
        <f t="shared" si="46"/>
        <v>435873467.01337624</v>
      </c>
    </row>
    <row r="838" spans="1:4" x14ac:dyDescent="0.3">
      <c r="A838">
        <v>386500</v>
      </c>
      <c r="B838" s="29">
        <f t="shared" si="44"/>
        <v>2500921040.6772838</v>
      </c>
      <c r="C838" s="39">
        <f t="shared" si="45"/>
        <v>2937400000</v>
      </c>
      <c r="D838" s="76">
        <f t="shared" si="46"/>
        <v>436478959.32271624</v>
      </c>
    </row>
    <row r="839" spans="1:4" x14ac:dyDescent="0.3">
      <c r="A839">
        <v>387000</v>
      </c>
      <c r="B839" s="29">
        <f t="shared" si="44"/>
        <v>2504115548.3679438</v>
      </c>
      <c r="C839" s="39">
        <f t="shared" si="45"/>
        <v>2941200000</v>
      </c>
      <c r="D839" s="76">
        <f t="shared" si="46"/>
        <v>437084451.63205624</v>
      </c>
    </row>
    <row r="840" spans="1:4" x14ac:dyDescent="0.3">
      <c r="A840">
        <v>387500</v>
      </c>
      <c r="B840" s="29">
        <f t="shared" si="44"/>
        <v>2507310056.0586038</v>
      </c>
      <c r="C840" s="39">
        <f t="shared" si="45"/>
        <v>2945000000</v>
      </c>
      <c r="D840" s="76">
        <f t="shared" si="46"/>
        <v>437689943.94139624</v>
      </c>
    </row>
    <row r="841" spans="1:4" x14ac:dyDescent="0.3">
      <c r="A841">
        <v>388000</v>
      </c>
      <c r="B841" s="29">
        <f t="shared" si="44"/>
        <v>2510504563.7492638</v>
      </c>
      <c r="C841" s="39">
        <f t="shared" si="45"/>
        <v>2948800000</v>
      </c>
      <c r="D841" s="76">
        <f t="shared" si="46"/>
        <v>438295436.25073624</v>
      </c>
    </row>
    <row r="842" spans="1:4" x14ac:dyDescent="0.3">
      <c r="A842">
        <v>388500</v>
      </c>
      <c r="B842" s="29">
        <f t="shared" si="44"/>
        <v>2513699071.4399238</v>
      </c>
      <c r="C842" s="39">
        <f t="shared" si="45"/>
        <v>2952600000</v>
      </c>
      <c r="D842" s="76">
        <f t="shared" si="46"/>
        <v>438900928.56007624</v>
      </c>
    </row>
    <row r="843" spans="1:4" x14ac:dyDescent="0.3">
      <c r="A843">
        <v>389000</v>
      </c>
      <c r="B843" s="29">
        <f t="shared" si="44"/>
        <v>2516893579.1305838</v>
      </c>
      <c r="C843" s="39">
        <f t="shared" si="45"/>
        <v>2956400000</v>
      </c>
      <c r="D843" s="76">
        <f t="shared" si="46"/>
        <v>439506420.86941624</v>
      </c>
    </row>
    <row r="844" spans="1:4" x14ac:dyDescent="0.3">
      <c r="A844">
        <v>389500</v>
      </c>
      <c r="B844" s="29">
        <f t="shared" si="44"/>
        <v>2520088086.8212438</v>
      </c>
      <c r="C844" s="39">
        <f t="shared" si="45"/>
        <v>2960200000</v>
      </c>
      <c r="D844" s="76">
        <f t="shared" si="46"/>
        <v>440111913.17875624</v>
      </c>
    </row>
    <row r="845" spans="1:4" x14ac:dyDescent="0.3">
      <c r="A845">
        <v>390000</v>
      </c>
      <c r="B845" s="29">
        <f t="shared" si="44"/>
        <v>2523282594.5119038</v>
      </c>
      <c r="C845" s="39">
        <f t="shared" si="45"/>
        <v>2964000000</v>
      </c>
      <c r="D845" s="76">
        <f t="shared" si="46"/>
        <v>440717405.48809624</v>
      </c>
    </row>
    <row r="846" spans="1:4" x14ac:dyDescent="0.3">
      <c r="A846">
        <v>390500</v>
      </c>
      <c r="B846" s="29">
        <f t="shared" si="44"/>
        <v>2526477102.2025638</v>
      </c>
      <c r="C846" s="39">
        <f t="shared" si="45"/>
        <v>2967800000</v>
      </c>
      <c r="D846" s="76">
        <f t="shared" si="46"/>
        <v>441322897.79743624</v>
      </c>
    </row>
    <row r="847" spans="1:4" x14ac:dyDescent="0.3">
      <c r="A847">
        <v>391000</v>
      </c>
      <c r="B847" s="29">
        <f t="shared" si="44"/>
        <v>2529671609.8932238</v>
      </c>
      <c r="C847" s="39">
        <f t="shared" si="45"/>
        <v>2971600000</v>
      </c>
      <c r="D847" s="76">
        <f t="shared" si="46"/>
        <v>441928390.10677624</v>
      </c>
    </row>
    <row r="848" spans="1:4" x14ac:dyDescent="0.3">
      <c r="A848">
        <v>391500</v>
      </c>
      <c r="B848" s="29">
        <f t="shared" si="44"/>
        <v>2532866117.5838838</v>
      </c>
      <c r="C848" s="39">
        <f t="shared" si="45"/>
        <v>2975400000</v>
      </c>
      <c r="D848" s="76">
        <f t="shared" si="46"/>
        <v>442533882.41611624</v>
      </c>
    </row>
    <row r="849" spans="1:4" x14ac:dyDescent="0.3">
      <c r="A849">
        <v>392000</v>
      </c>
      <c r="B849" s="29">
        <f t="shared" si="44"/>
        <v>2536060625.2745438</v>
      </c>
      <c r="C849" s="39">
        <f t="shared" si="45"/>
        <v>2979200000</v>
      </c>
      <c r="D849" s="76">
        <f t="shared" si="46"/>
        <v>443139374.72545624</v>
      </c>
    </row>
    <row r="850" spans="1:4" x14ac:dyDescent="0.3">
      <c r="A850">
        <v>392500</v>
      </c>
      <c r="B850" s="29">
        <f t="shared" si="44"/>
        <v>2539255132.9652038</v>
      </c>
      <c r="C850" s="39">
        <f t="shared" si="45"/>
        <v>2983000000</v>
      </c>
      <c r="D850" s="76">
        <f t="shared" si="46"/>
        <v>443744867.03479624</v>
      </c>
    </row>
    <row r="851" spans="1:4" x14ac:dyDescent="0.3">
      <c r="A851">
        <v>393000</v>
      </c>
      <c r="B851" s="29">
        <f t="shared" si="44"/>
        <v>2542449640.6558638</v>
      </c>
      <c r="C851" s="39">
        <f t="shared" si="45"/>
        <v>2986800000</v>
      </c>
      <c r="D851" s="76">
        <f t="shared" si="46"/>
        <v>444350359.34413624</v>
      </c>
    </row>
    <row r="852" spans="1:4" x14ac:dyDescent="0.3">
      <c r="A852">
        <v>393500</v>
      </c>
      <c r="B852" s="29">
        <f t="shared" si="44"/>
        <v>2545644148.3465238</v>
      </c>
      <c r="C852" s="39">
        <f t="shared" si="45"/>
        <v>2990600000</v>
      </c>
      <c r="D852" s="76">
        <f t="shared" si="46"/>
        <v>444955851.65347624</v>
      </c>
    </row>
    <row r="853" spans="1:4" x14ac:dyDescent="0.3">
      <c r="A853">
        <v>394000</v>
      </c>
      <c r="B853" s="29">
        <f t="shared" si="44"/>
        <v>2548838656.0371838</v>
      </c>
      <c r="C853" s="39">
        <f t="shared" si="45"/>
        <v>2994400000</v>
      </c>
      <c r="D853" s="76">
        <f t="shared" si="46"/>
        <v>445561343.96281624</v>
      </c>
    </row>
    <row r="854" spans="1:4" x14ac:dyDescent="0.3">
      <c r="A854">
        <v>394500</v>
      </c>
      <c r="B854" s="29">
        <f t="shared" si="44"/>
        <v>2552033163.7278438</v>
      </c>
      <c r="C854" s="39">
        <f t="shared" si="45"/>
        <v>2998200000</v>
      </c>
      <c r="D854" s="76">
        <f t="shared" si="46"/>
        <v>446166836.27215624</v>
      </c>
    </row>
    <row r="855" spans="1:4" x14ac:dyDescent="0.3">
      <c r="A855">
        <v>395000</v>
      </c>
      <c r="B855" s="29">
        <f t="shared" si="44"/>
        <v>2555227671.4185038</v>
      </c>
      <c r="C855" s="39">
        <f t="shared" si="45"/>
        <v>3002000000</v>
      </c>
      <c r="D855" s="76">
        <f t="shared" si="46"/>
        <v>446772328.58149624</v>
      </c>
    </row>
    <row r="856" spans="1:4" x14ac:dyDescent="0.3">
      <c r="A856">
        <v>395500</v>
      </c>
      <c r="B856" s="29">
        <f t="shared" si="44"/>
        <v>2558422179.1091638</v>
      </c>
      <c r="C856" s="39">
        <f t="shared" si="45"/>
        <v>3005800000</v>
      </c>
      <c r="D856" s="76">
        <f t="shared" si="46"/>
        <v>447377820.89083624</v>
      </c>
    </row>
    <row r="857" spans="1:4" x14ac:dyDescent="0.3">
      <c r="A857">
        <v>396000</v>
      </c>
      <c r="B857" s="29">
        <f t="shared" si="44"/>
        <v>2561616686.7998238</v>
      </c>
      <c r="C857" s="39">
        <f t="shared" si="45"/>
        <v>3009600000</v>
      </c>
      <c r="D857" s="76">
        <f t="shared" si="46"/>
        <v>447983313.20017624</v>
      </c>
    </row>
    <row r="858" spans="1:4" x14ac:dyDescent="0.3">
      <c r="A858">
        <v>396500</v>
      </c>
      <c r="B858" s="29">
        <f t="shared" si="44"/>
        <v>2564811194.4904838</v>
      </c>
      <c r="C858" s="39">
        <f t="shared" si="45"/>
        <v>3013400000</v>
      </c>
      <c r="D858" s="76">
        <f t="shared" si="46"/>
        <v>448588805.50951624</v>
      </c>
    </row>
    <row r="859" spans="1:4" x14ac:dyDescent="0.3">
      <c r="A859">
        <v>397000</v>
      </c>
      <c r="B859" s="29">
        <f t="shared" si="44"/>
        <v>2568005702.1811438</v>
      </c>
      <c r="C859" s="39">
        <f t="shared" si="45"/>
        <v>3017200000</v>
      </c>
      <c r="D859" s="76">
        <f t="shared" si="46"/>
        <v>449194297.81885624</v>
      </c>
    </row>
    <row r="860" spans="1:4" x14ac:dyDescent="0.3">
      <c r="A860">
        <v>397500</v>
      </c>
      <c r="B860" s="29">
        <f t="shared" si="44"/>
        <v>2571200209.8718038</v>
      </c>
      <c r="C860" s="39">
        <f t="shared" si="45"/>
        <v>3021000000</v>
      </c>
      <c r="D860" s="76">
        <f t="shared" si="46"/>
        <v>449799790.12819624</v>
      </c>
    </row>
    <row r="861" spans="1:4" x14ac:dyDescent="0.3">
      <c r="A861">
        <v>398000</v>
      </c>
      <c r="B861" s="29">
        <f t="shared" si="44"/>
        <v>2574394717.5624638</v>
      </c>
      <c r="C861" s="39">
        <f t="shared" si="45"/>
        <v>3024800000</v>
      </c>
      <c r="D861" s="76">
        <f t="shared" si="46"/>
        <v>450405282.43753624</v>
      </c>
    </row>
    <row r="862" spans="1:4" x14ac:dyDescent="0.3">
      <c r="A862">
        <v>398500</v>
      </c>
      <c r="B862" s="29">
        <f t="shared" si="44"/>
        <v>2577589225.2531238</v>
      </c>
      <c r="C862" s="39">
        <f t="shared" si="45"/>
        <v>3028600000</v>
      </c>
      <c r="D862" s="76">
        <f t="shared" si="46"/>
        <v>451010774.74687624</v>
      </c>
    </row>
    <row r="863" spans="1:4" x14ac:dyDescent="0.3">
      <c r="A863">
        <v>399000</v>
      </c>
      <c r="B863" s="29">
        <f t="shared" si="44"/>
        <v>2580783732.9437838</v>
      </c>
      <c r="C863" s="39">
        <f t="shared" si="45"/>
        <v>3032400000</v>
      </c>
      <c r="D863" s="76">
        <f t="shared" si="46"/>
        <v>451616267.05621624</v>
      </c>
    </row>
    <row r="864" spans="1:4" x14ac:dyDescent="0.3">
      <c r="A864">
        <v>399500</v>
      </c>
      <c r="B864" s="29">
        <f t="shared" si="44"/>
        <v>2583978240.6344438</v>
      </c>
      <c r="C864" s="39">
        <f t="shared" si="45"/>
        <v>3036200000</v>
      </c>
      <c r="D864" s="76">
        <f t="shared" si="46"/>
        <v>452221759.36555624</v>
      </c>
    </row>
    <row r="865" spans="1:4" x14ac:dyDescent="0.3">
      <c r="A865">
        <v>400000</v>
      </c>
      <c r="B865" s="29">
        <f t="shared" si="44"/>
        <v>2587172748.3251038</v>
      </c>
      <c r="C865" s="39">
        <f t="shared" si="45"/>
        <v>3040000000</v>
      </c>
      <c r="D865" s="76">
        <f t="shared" si="46"/>
        <v>452827251.67489624</v>
      </c>
    </row>
    <row r="866" spans="1:4" x14ac:dyDescent="0.3">
      <c r="A866">
        <v>400500</v>
      </c>
      <c r="B866" s="29">
        <f t="shared" si="44"/>
        <v>2590367256.0157638</v>
      </c>
      <c r="C866" s="39">
        <f t="shared" si="45"/>
        <v>3043800000</v>
      </c>
      <c r="D866" s="76">
        <f t="shared" si="46"/>
        <v>453432743.98423624</v>
      </c>
    </row>
    <row r="867" spans="1:4" x14ac:dyDescent="0.3">
      <c r="A867">
        <v>401000</v>
      </c>
      <c r="B867" s="29">
        <f t="shared" si="44"/>
        <v>2593561763.7064238</v>
      </c>
      <c r="C867" s="39">
        <f t="shared" si="45"/>
        <v>3047600000</v>
      </c>
      <c r="D867" s="76">
        <f t="shared" si="46"/>
        <v>454038236.29357624</v>
      </c>
    </row>
    <row r="868" spans="1:4" x14ac:dyDescent="0.3">
      <c r="A868">
        <v>401500</v>
      </c>
      <c r="B868" s="29">
        <f t="shared" si="44"/>
        <v>2596756271.3970838</v>
      </c>
      <c r="C868" s="39">
        <f t="shared" si="45"/>
        <v>3051400000</v>
      </c>
      <c r="D868" s="76">
        <f t="shared" si="46"/>
        <v>454643728.60291624</v>
      </c>
    </row>
    <row r="869" spans="1:4" x14ac:dyDescent="0.3">
      <c r="A869">
        <v>402000</v>
      </c>
      <c r="B869" s="29">
        <f t="shared" si="44"/>
        <v>2599950779.0877438</v>
      </c>
      <c r="C869" s="39">
        <f t="shared" si="45"/>
        <v>3055200000</v>
      </c>
      <c r="D869" s="76">
        <f t="shared" si="46"/>
        <v>455249220.91225624</v>
      </c>
    </row>
    <row r="870" spans="1:4" x14ac:dyDescent="0.3">
      <c r="A870">
        <v>402500</v>
      </c>
      <c r="B870" s="29">
        <f t="shared" si="44"/>
        <v>2603145286.7784038</v>
      </c>
      <c r="C870" s="39">
        <f t="shared" si="45"/>
        <v>3059000000</v>
      </c>
      <c r="D870" s="76">
        <f t="shared" si="46"/>
        <v>455854713.22159624</v>
      </c>
    </row>
    <row r="871" spans="1:4" x14ac:dyDescent="0.3">
      <c r="A871">
        <v>403000</v>
      </c>
      <c r="B871" s="29">
        <f t="shared" si="44"/>
        <v>2606339794.4690638</v>
      </c>
      <c r="C871" s="39">
        <f t="shared" si="45"/>
        <v>3062800000</v>
      </c>
      <c r="D871" s="76">
        <f t="shared" si="46"/>
        <v>456460205.53093624</v>
      </c>
    </row>
    <row r="872" spans="1:4" x14ac:dyDescent="0.3">
      <c r="A872">
        <v>403500</v>
      </c>
      <c r="B872" s="29">
        <f t="shared" si="44"/>
        <v>2609534302.1597238</v>
      </c>
      <c r="C872" s="39">
        <f t="shared" si="45"/>
        <v>3066600000</v>
      </c>
      <c r="D872" s="76">
        <f t="shared" si="46"/>
        <v>457065697.84027624</v>
      </c>
    </row>
    <row r="873" spans="1:4" x14ac:dyDescent="0.3">
      <c r="A873">
        <v>404000</v>
      </c>
      <c r="B873" s="29">
        <f t="shared" si="44"/>
        <v>2612728809.8503838</v>
      </c>
      <c r="C873" s="39">
        <f t="shared" si="45"/>
        <v>3070400000</v>
      </c>
      <c r="D873" s="76">
        <f t="shared" si="46"/>
        <v>457671190.14961624</v>
      </c>
    </row>
    <row r="874" spans="1:4" x14ac:dyDescent="0.3">
      <c r="A874">
        <v>404500</v>
      </c>
      <c r="B874" s="29">
        <f t="shared" si="44"/>
        <v>2615923317.5410438</v>
      </c>
      <c r="C874" s="39">
        <f t="shared" si="45"/>
        <v>3074200000</v>
      </c>
      <c r="D874" s="76">
        <f t="shared" si="46"/>
        <v>458276682.45895624</v>
      </c>
    </row>
    <row r="875" spans="1:4" x14ac:dyDescent="0.3">
      <c r="A875">
        <v>405000</v>
      </c>
      <c r="B875" s="29">
        <f t="shared" si="44"/>
        <v>2619117825.2317038</v>
      </c>
      <c r="C875" s="39">
        <f t="shared" si="45"/>
        <v>3078000000</v>
      </c>
      <c r="D875" s="76">
        <f t="shared" si="46"/>
        <v>458882174.76829624</v>
      </c>
    </row>
    <row r="876" spans="1:4" x14ac:dyDescent="0.3">
      <c r="A876">
        <v>405500</v>
      </c>
      <c r="B876" s="29">
        <f t="shared" si="44"/>
        <v>2622312332.9223638</v>
      </c>
      <c r="C876" s="39">
        <f t="shared" si="45"/>
        <v>3081800000</v>
      </c>
      <c r="D876" s="76">
        <f t="shared" si="46"/>
        <v>459487667.07763624</v>
      </c>
    </row>
    <row r="877" spans="1:4" x14ac:dyDescent="0.3">
      <c r="A877">
        <v>406000</v>
      </c>
      <c r="B877" s="29">
        <f t="shared" si="44"/>
        <v>2625506840.6130238</v>
      </c>
      <c r="C877" s="39">
        <f t="shared" si="45"/>
        <v>3085600000</v>
      </c>
      <c r="D877" s="76">
        <f t="shared" si="46"/>
        <v>460093159.38697624</v>
      </c>
    </row>
    <row r="878" spans="1:4" x14ac:dyDescent="0.3">
      <c r="A878">
        <v>406500</v>
      </c>
      <c r="B878" s="29">
        <f t="shared" si="44"/>
        <v>2628701348.3036838</v>
      </c>
      <c r="C878" s="39">
        <f t="shared" si="45"/>
        <v>3089400000</v>
      </c>
      <c r="D878" s="76">
        <f t="shared" si="46"/>
        <v>460698651.69631624</v>
      </c>
    </row>
    <row r="879" spans="1:4" x14ac:dyDescent="0.3">
      <c r="A879">
        <v>407000</v>
      </c>
      <c r="B879" s="29">
        <f t="shared" si="44"/>
        <v>2631895855.9943438</v>
      </c>
      <c r="C879" s="39">
        <f t="shared" si="45"/>
        <v>3093200000</v>
      </c>
      <c r="D879" s="76">
        <f t="shared" si="46"/>
        <v>461304144.00565624</v>
      </c>
    </row>
    <row r="880" spans="1:4" x14ac:dyDescent="0.3">
      <c r="A880">
        <v>407500</v>
      </c>
      <c r="B880" s="29">
        <f t="shared" si="44"/>
        <v>2635090363.6850038</v>
      </c>
      <c r="C880" s="39">
        <f t="shared" si="45"/>
        <v>3097000000</v>
      </c>
      <c r="D880" s="76">
        <f t="shared" si="46"/>
        <v>461909636.31499624</v>
      </c>
    </row>
    <row r="881" spans="1:4" x14ac:dyDescent="0.3">
      <c r="A881">
        <v>408000</v>
      </c>
      <c r="B881" s="29">
        <f t="shared" si="44"/>
        <v>2638284871.3756638</v>
      </c>
      <c r="C881" s="39">
        <f t="shared" si="45"/>
        <v>3100800000</v>
      </c>
      <c r="D881" s="76">
        <f t="shared" si="46"/>
        <v>462515128.62433624</v>
      </c>
    </row>
    <row r="882" spans="1:4" x14ac:dyDescent="0.3">
      <c r="A882">
        <v>408500</v>
      </c>
      <c r="B882" s="29">
        <f t="shared" si="44"/>
        <v>2641479379.0663238</v>
      </c>
      <c r="C882" s="39">
        <f t="shared" si="45"/>
        <v>3104600000</v>
      </c>
      <c r="D882" s="76">
        <f t="shared" si="46"/>
        <v>463120620.93367624</v>
      </c>
    </row>
    <row r="883" spans="1:4" x14ac:dyDescent="0.3">
      <c r="A883">
        <v>409000</v>
      </c>
      <c r="B883" s="29">
        <f t="shared" si="44"/>
        <v>2644673886.7569838</v>
      </c>
      <c r="C883" s="39">
        <f t="shared" si="45"/>
        <v>3108400000</v>
      </c>
      <c r="D883" s="76">
        <f t="shared" si="46"/>
        <v>463726113.24301624</v>
      </c>
    </row>
    <row r="884" spans="1:4" x14ac:dyDescent="0.3">
      <c r="A884">
        <v>409500</v>
      </c>
      <c r="B884" s="29">
        <f t="shared" si="44"/>
        <v>2647868394.4476438</v>
      </c>
      <c r="C884" s="39">
        <f t="shared" si="45"/>
        <v>3112200000</v>
      </c>
      <c r="D884" s="76">
        <f t="shared" si="46"/>
        <v>464331605.55235624</v>
      </c>
    </row>
    <row r="885" spans="1:4" x14ac:dyDescent="0.3">
      <c r="A885">
        <v>410000</v>
      </c>
      <c r="B885" s="29">
        <f t="shared" si="44"/>
        <v>2651062902.1383038</v>
      </c>
      <c r="C885" s="39">
        <f t="shared" si="45"/>
        <v>3116000000</v>
      </c>
      <c r="D885" s="76">
        <f t="shared" si="46"/>
        <v>464937097.86169624</v>
      </c>
    </row>
    <row r="886" spans="1:4" x14ac:dyDescent="0.3">
      <c r="A886">
        <v>410500</v>
      </c>
      <c r="B886" s="29">
        <f t="shared" si="44"/>
        <v>2654257409.8289638</v>
      </c>
      <c r="C886" s="39">
        <f t="shared" si="45"/>
        <v>3119800000</v>
      </c>
      <c r="D886" s="76">
        <f t="shared" si="46"/>
        <v>465542590.17103624</v>
      </c>
    </row>
    <row r="887" spans="1:4" x14ac:dyDescent="0.3">
      <c r="A887">
        <v>411000</v>
      </c>
      <c r="B887" s="29">
        <f t="shared" si="44"/>
        <v>2657451917.5196238</v>
      </c>
      <c r="C887" s="39">
        <f t="shared" si="45"/>
        <v>3123600000</v>
      </c>
      <c r="D887" s="76">
        <f t="shared" si="46"/>
        <v>466148082.48037624</v>
      </c>
    </row>
    <row r="888" spans="1:4" x14ac:dyDescent="0.3">
      <c r="A888">
        <v>411500</v>
      </c>
      <c r="B888" s="29">
        <f t="shared" si="44"/>
        <v>2660646425.2102838</v>
      </c>
      <c r="C888" s="39">
        <f t="shared" si="45"/>
        <v>3127400000</v>
      </c>
      <c r="D888" s="76">
        <f t="shared" si="46"/>
        <v>466753574.78971624</v>
      </c>
    </row>
    <row r="889" spans="1:4" x14ac:dyDescent="0.3">
      <c r="A889">
        <v>412000</v>
      </c>
      <c r="B889" s="29">
        <f t="shared" si="44"/>
        <v>2663840932.9009438</v>
      </c>
      <c r="C889" s="39">
        <f t="shared" si="45"/>
        <v>3131200000</v>
      </c>
      <c r="D889" s="76">
        <f t="shared" si="46"/>
        <v>467359067.09905624</v>
      </c>
    </row>
    <row r="890" spans="1:4" x14ac:dyDescent="0.3">
      <c r="A890">
        <v>412500</v>
      </c>
      <c r="B890" s="29">
        <f t="shared" si="44"/>
        <v>2667035440.5916038</v>
      </c>
      <c r="C890" s="39">
        <f t="shared" si="45"/>
        <v>3135000000</v>
      </c>
      <c r="D890" s="76">
        <f t="shared" si="46"/>
        <v>467964559.40839624</v>
      </c>
    </row>
    <row r="891" spans="1:4" x14ac:dyDescent="0.3">
      <c r="A891">
        <v>413000</v>
      </c>
      <c r="B891" s="29">
        <f t="shared" si="44"/>
        <v>2670229948.2822638</v>
      </c>
      <c r="C891" s="39">
        <f t="shared" si="45"/>
        <v>3138800000</v>
      </c>
      <c r="D891" s="76">
        <f t="shared" si="46"/>
        <v>468570051.71773624</v>
      </c>
    </row>
    <row r="892" spans="1:4" x14ac:dyDescent="0.3">
      <c r="A892">
        <v>413500</v>
      </c>
      <c r="B892" s="29">
        <f t="shared" si="44"/>
        <v>2673424455.9729238</v>
      </c>
      <c r="C892" s="39">
        <f t="shared" si="45"/>
        <v>3142600000</v>
      </c>
      <c r="D892" s="76">
        <f t="shared" si="46"/>
        <v>469175544.02707624</v>
      </c>
    </row>
    <row r="893" spans="1:4" x14ac:dyDescent="0.3">
      <c r="A893">
        <v>414000</v>
      </c>
      <c r="B893" s="29">
        <f t="shared" si="44"/>
        <v>2676618963.6635838</v>
      </c>
      <c r="C893" s="39">
        <f t="shared" si="45"/>
        <v>3146400000</v>
      </c>
      <c r="D893" s="76">
        <f t="shared" si="46"/>
        <v>469781036.33641624</v>
      </c>
    </row>
    <row r="894" spans="1:4" x14ac:dyDescent="0.3">
      <c r="A894">
        <v>414500</v>
      </c>
      <c r="B894" s="29">
        <f t="shared" si="44"/>
        <v>2679813471.3542438</v>
      </c>
      <c r="C894" s="39">
        <f t="shared" si="45"/>
        <v>3150200000</v>
      </c>
      <c r="D894" s="76">
        <f t="shared" si="46"/>
        <v>470386528.64575624</v>
      </c>
    </row>
    <row r="895" spans="1:4" x14ac:dyDescent="0.3">
      <c r="A895">
        <v>415000</v>
      </c>
      <c r="B895" s="29">
        <f t="shared" si="44"/>
        <v>2683007979.0449038</v>
      </c>
      <c r="C895" s="39">
        <f t="shared" si="45"/>
        <v>3154000000</v>
      </c>
      <c r="D895" s="76">
        <f t="shared" si="46"/>
        <v>470992020.95509624</v>
      </c>
    </row>
    <row r="896" spans="1:4" x14ac:dyDescent="0.3">
      <c r="A896">
        <v>415500</v>
      </c>
      <c r="B896" s="29">
        <f t="shared" si="44"/>
        <v>2686202486.7355638</v>
      </c>
      <c r="C896" s="39">
        <f t="shared" si="45"/>
        <v>3157800000</v>
      </c>
      <c r="D896" s="76">
        <f t="shared" si="46"/>
        <v>471597513.26443624</v>
      </c>
    </row>
    <row r="897" spans="1:4" x14ac:dyDescent="0.3">
      <c r="A897">
        <v>416000</v>
      </c>
      <c r="B897" s="29">
        <f t="shared" si="44"/>
        <v>2689396994.4262238</v>
      </c>
      <c r="C897" s="39">
        <f t="shared" si="45"/>
        <v>3161600000</v>
      </c>
      <c r="D897" s="76">
        <f t="shared" si="46"/>
        <v>472203005.57377625</v>
      </c>
    </row>
    <row r="898" spans="1:4" x14ac:dyDescent="0.3">
      <c r="A898">
        <v>416500</v>
      </c>
      <c r="B898" s="29">
        <f t="shared" ref="B898:B961" si="47">$B$54+($B$60*A898)</f>
        <v>2692591502.1168838</v>
      </c>
      <c r="C898" s="39">
        <f t="shared" ref="C898:C961" si="48">$E$50*A898</f>
        <v>3165400000</v>
      </c>
      <c r="D898" s="76">
        <f t="shared" ref="D898:D961" si="49">C898-B898</f>
        <v>472808497.88311625</v>
      </c>
    </row>
    <row r="899" spans="1:4" x14ac:dyDescent="0.3">
      <c r="A899">
        <v>417000</v>
      </c>
      <c r="B899" s="29">
        <f t="shared" si="47"/>
        <v>2695786009.8075438</v>
      </c>
      <c r="C899" s="39">
        <f t="shared" si="48"/>
        <v>3169200000</v>
      </c>
      <c r="D899" s="76">
        <f t="shared" si="49"/>
        <v>473413990.19245625</v>
      </c>
    </row>
    <row r="900" spans="1:4" x14ac:dyDescent="0.3">
      <c r="A900">
        <v>417500</v>
      </c>
      <c r="B900" s="29">
        <f t="shared" si="47"/>
        <v>2698980517.4982038</v>
      </c>
      <c r="C900" s="39">
        <f t="shared" si="48"/>
        <v>3173000000</v>
      </c>
      <c r="D900" s="76">
        <f t="shared" si="49"/>
        <v>474019482.50179625</v>
      </c>
    </row>
    <row r="901" spans="1:4" x14ac:dyDescent="0.3">
      <c r="A901">
        <v>418000</v>
      </c>
      <c r="B901" s="29">
        <f t="shared" si="47"/>
        <v>2702175025.1888638</v>
      </c>
      <c r="C901" s="39">
        <f t="shared" si="48"/>
        <v>3176800000</v>
      </c>
      <c r="D901" s="76">
        <f t="shared" si="49"/>
        <v>474624974.81113625</v>
      </c>
    </row>
    <row r="902" spans="1:4" x14ac:dyDescent="0.3">
      <c r="A902">
        <v>418500</v>
      </c>
      <c r="B902" s="29">
        <f t="shared" si="47"/>
        <v>2705369532.8795238</v>
      </c>
      <c r="C902" s="39">
        <f t="shared" si="48"/>
        <v>3180600000</v>
      </c>
      <c r="D902" s="76">
        <f t="shared" si="49"/>
        <v>475230467.12047625</v>
      </c>
    </row>
    <row r="903" spans="1:4" x14ac:dyDescent="0.3">
      <c r="A903">
        <v>419000</v>
      </c>
      <c r="B903" s="29">
        <f t="shared" si="47"/>
        <v>2708564040.5701838</v>
      </c>
      <c r="C903" s="39">
        <f t="shared" si="48"/>
        <v>3184400000</v>
      </c>
      <c r="D903" s="76">
        <f t="shared" si="49"/>
        <v>475835959.42981625</v>
      </c>
    </row>
    <row r="904" spans="1:4" x14ac:dyDescent="0.3">
      <c r="A904">
        <v>419500</v>
      </c>
      <c r="B904" s="29">
        <f t="shared" si="47"/>
        <v>2711758548.2608438</v>
      </c>
      <c r="C904" s="39">
        <f t="shared" si="48"/>
        <v>3188200000</v>
      </c>
      <c r="D904" s="76">
        <f t="shared" si="49"/>
        <v>476441451.73915625</v>
      </c>
    </row>
    <row r="905" spans="1:4" x14ac:dyDescent="0.3">
      <c r="A905">
        <v>420000</v>
      </c>
      <c r="B905" s="29">
        <f t="shared" si="47"/>
        <v>2714953055.9515038</v>
      </c>
      <c r="C905" s="39">
        <f t="shared" si="48"/>
        <v>3192000000</v>
      </c>
      <c r="D905" s="76">
        <f t="shared" si="49"/>
        <v>477046944.04849625</v>
      </c>
    </row>
    <row r="906" spans="1:4" x14ac:dyDescent="0.3">
      <c r="A906">
        <v>420500</v>
      </c>
      <c r="B906" s="29">
        <f t="shared" si="47"/>
        <v>2718147563.6421638</v>
      </c>
      <c r="C906" s="39">
        <f t="shared" si="48"/>
        <v>3195800000</v>
      </c>
      <c r="D906" s="76">
        <f t="shared" si="49"/>
        <v>477652436.35783625</v>
      </c>
    </row>
    <row r="907" spans="1:4" x14ac:dyDescent="0.3">
      <c r="A907">
        <v>421000</v>
      </c>
      <c r="B907" s="29">
        <f t="shared" si="47"/>
        <v>2721342071.3328238</v>
      </c>
      <c r="C907" s="39">
        <f t="shared" si="48"/>
        <v>3199600000</v>
      </c>
      <c r="D907" s="76">
        <f t="shared" si="49"/>
        <v>478257928.66717625</v>
      </c>
    </row>
    <row r="908" spans="1:4" x14ac:dyDescent="0.3">
      <c r="A908">
        <v>421500</v>
      </c>
      <c r="B908" s="29">
        <f t="shared" si="47"/>
        <v>2724536579.0234838</v>
      </c>
      <c r="C908" s="39">
        <f t="shared" si="48"/>
        <v>3203400000</v>
      </c>
      <c r="D908" s="76">
        <f t="shared" si="49"/>
        <v>478863420.97651625</v>
      </c>
    </row>
    <row r="909" spans="1:4" x14ac:dyDescent="0.3">
      <c r="A909">
        <v>422000</v>
      </c>
      <c r="B909" s="29">
        <f t="shared" si="47"/>
        <v>2727731086.7141438</v>
      </c>
      <c r="C909" s="39">
        <f t="shared" si="48"/>
        <v>3207200000</v>
      </c>
      <c r="D909" s="76">
        <f t="shared" si="49"/>
        <v>479468913.28585625</v>
      </c>
    </row>
    <row r="910" spans="1:4" x14ac:dyDescent="0.3">
      <c r="A910">
        <v>422500</v>
      </c>
      <c r="B910" s="29">
        <f t="shared" si="47"/>
        <v>2730925594.4048038</v>
      </c>
      <c r="C910" s="39">
        <f t="shared" si="48"/>
        <v>3211000000</v>
      </c>
      <c r="D910" s="76">
        <f t="shared" si="49"/>
        <v>480074405.59519625</v>
      </c>
    </row>
    <row r="911" spans="1:4" x14ac:dyDescent="0.3">
      <c r="A911">
        <v>423000</v>
      </c>
      <c r="B911" s="29">
        <f t="shared" si="47"/>
        <v>2734120102.0954638</v>
      </c>
      <c r="C911" s="39">
        <f t="shared" si="48"/>
        <v>3214800000</v>
      </c>
      <c r="D911" s="76">
        <f t="shared" si="49"/>
        <v>480679897.90453625</v>
      </c>
    </row>
    <row r="912" spans="1:4" x14ac:dyDescent="0.3">
      <c r="A912">
        <v>423500</v>
      </c>
      <c r="B912" s="29">
        <f t="shared" si="47"/>
        <v>2737314609.7861238</v>
      </c>
      <c r="C912" s="39">
        <f t="shared" si="48"/>
        <v>3218600000</v>
      </c>
      <c r="D912" s="76">
        <f t="shared" si="49"/>
        <v>481285390.21387625</v>
      </c>
    </row>
    <row r="913" spans="1:4" x14ac:dyDescent="0.3">
      <c r="A913">
        <v>424000</v>
      </c>
      <c r="B913" s="29">
        <f t="shared" si="47"/>
        <v>2740509117.4767838</v>
      </c>
      <c r="C913" s="39">
        <f t="shared" si="48"/>
        <v>3222400000</v>
      </c>
      <c r="D913" s="76">
        <f t="shared" si="49"/>
        <v>481890882.52321625</v>
      </c>
    </row>
    <row r="914" spans="1:4" x14ac:dyDescent="0.3">
      <c r="A914">
        <v>424500</v>
      </c>
      <c r="B914" s="29">
        <f t="shared" si="47"/>
        <v>2743703625.1674438</v>
      </c>
      <c r="C914" s="39">
        <f t="shared" si="48"/>
        <v>3226200000</v>
      </c>
      <c r="D914" s="76">
        <f t="shared" si="49"/>
        <v>482496374.83255625</v>
      </c>
    </row>
    <row r="915" spans="1:4" x14ac:dyDescent="0.3">
      <c r="A915">
        <v>425000</v>
      </c>
      <c r="B915" s="29">
        <f t="shared" si="47"/>
        <v>2746898132.8581038</v>
      </c>
      <c r="C915" s="39">
        <f t="shared" si="48"/>
        <v>3230000000</v>
      </c>
      <c r="D915" s="76">
        <f t="shared" si="49"/>
        <v>483101867.14189625</v>
      </c>
    </row>
    <row r="916" spans="1:4" x14ac:dyDescent="0.3">
      <c r="A916">
        <v>425500</v>
      </c>
      <c r="B916" s="29">
        <f t="shared" si="47"/>
        <v>2750092640.5487638</v>
      </c>
      <c r="C916" s="39">
        <f t="shared" si="48"/>
        <v>3233800000</v>
      </c>
      <c r="D916" s="76">
        <f t="shared" si="49"/>
        <v>483707359.45123625</v>
      </c>
    </row>
    <row r="917" spans="1:4" x14ac:dyDescent="0.3">
      <c r="A917">
        <v>426000</v>
      </c>
      <c r="B917" s="29">
        <f t="shared" si="47"/>
        <v>2753287148.2394238</v>
      </c>
      <c r="C917" s="39">
        <f t="shared" si="48"/>
        <v>3237600000</v>
      </c>
      <c r="D917" s="76">
        <f t="shared" si="49"/>
        <v>484312851.76057625</v>
      </c>
    </row>
    <row r="918" spans="1:4" x14ac:dyDescent="0.3">
      <c r="A918">
        <v>426500</v>
      </c>
      <c r="B918" s="29">
        <f t="shared" si="47"/>
        <v>2756481655.9300838</v>
      </c>
      <c r="C918" s="39">
        <f t="shared" si="48"/>
        <v>3241400000</v>
      </c>
      <c r="D918" s="76">
        <f t="shared" si="49"/>
        <v>484918344.06991625</v>
      </c>
    </row>
    <row r="919" spans="1:4" x14ac:dyDescent="0.3">
      <c r="A919">
        <v>427000</v>
      </c>
      <c r="B919" s="29">
        <f t="shared" si="47"/>
        <v>2759676163.6207438</v>
      </c>
      <c r="C919" s="39">
        <f t="shared" si="48"/>
        <v>3245200000</v>
      </c>
      <c r="D919" s="76">
        <f t="shared" si="49"/>
        <v>485523836.37925625</v>
      </c>
    </row>
    <row r="920" spans="1:4" x14ac:dyDescent="0.3">
      <c r="A920">
        <v>427500</v>
      </c>
      <c r="B920" s="29">
        <f t="shared" si="47"/>
        <v>2762870671.3114038</v>
      </c>
      <c r="C920" s="39">
        <f t="shared" si="48"/>
        <v>3249000000</v>
      </c>
      <c r="D920" s="76">
        <f t="shared" si="49"/>
        <v>486129328.68859625</v>
      </c>
    </row>
    <row r="921" spans="1:4" x14ac:dyDescent="0.3">
      <c r="A921">
        <v>428000</v>
      </c>
      <c r="B921" s="29">
        <f t="shared" si="47"/>
        <v>2766065179.0020638</v>
      </c>
      <c r="C921" s="39">
        <f t="shared" si="48"/>
        <v>3252800000</v>
      </c>
      <c r="D921" s="76">
        <f t="shared" si="49"/>
        <v>486734820.99793625</v>
      </c>
    </row>
    <row r="922" spans="1:4" x14ac:dyDescent="0.3">
      <c r="A922">
        <v>428500</v>
      </c>
      <c r="B922" s="29">
        <f t="shared" si="47"/>
        <v>2769259686.6927238</v>
      </c>
      <c r="C922" s="39">
        <f t="shared" si="48"/>
        <v>3256600000</v>
      </c>
      <c r="D922" s="76">
        <f t="shared" si="49"/>
        <v>487340313.30727625</v>
      </c>
    </row>
    <row r="923" spans="1:4" x14ac:dyDescent="0.3">
      <c r="A923">
        <v>429000</v>
      </c>
      <c r="B923" s="29">
        <f t="shared" si="47"/>
        <v>2772454194.3833838</v>
      </c>
      <c r="C923" s="39">
        <f t="shared" si="48"/>
        <v>3260400000</v>
      </c>
      <c r="D923" s="76">
        <f t="shared" si="49"/>
        <v>487945805.61661625</v>
      </c>
    </row>
    <row r="924" spans="1:4" x14ac:dyDescent="0.3">
      <c r="A924">
        <v>429500</v>
      </c>
      <c r="B924" s="29">
        <f t="shared" si="47"/>
        <v>2775648702.0740438</v>
      </c>
      <c r="C924" s="39">
        <f t="shared" si="48"/>
        <v>3264200000</v>
      </c>
      <c r="D924" s="76">
        <f t="shared" si="49"/>
        <v>488551297.92595625</v>
      </c>
    </row>
    <row r="925" spans="1:4" x14ac:dyDescent="0.3">
      <c r="A925">
        <v>430000</v>
      </c>
      <c r="B925" s="29">
        <f t="shared" si="47"/>
        <v>2778843209.7647038</v>
      </c>
      <c r="C925" s="39">
        <f t="shared" si="48"/>
        <v>3268000000</v>
      </c>
      <c r="D925" s="76">
        <f t="shared" si="49"/>
        <v>489156790.23529625</v>
      </c>
    </row>
    <row r="926" spans="1:4" x14ac:dyDescent="0.3">
      <c r="A926">
        <v>430500</v>
      </c>
      <c r="B926" s="29">
        <f t="shared" si="47"/>
        <v>2782037717.4553638</v>
      </c>
      <c r="C926" s="39">
        <f t="shared" si="48"/>
        <v>3271800000</v>
      </c>
      <c r="D926" s="76">
        <f t="shared" si="49"/>
        <v>489762282.54463625</v>
      </c>
    </row>
    <row r="927" spans="1:4" x14ac:dyDescent="0.3">
      <c r="A927">
        <v>431000</v>
      </c>
      <c r="B927" s="29">
        <f t="shared" si="47"/>
        <v>2785232225.1460238</v>
      </c>
      <c r="C927" s="39">
        <f t="shared" si="48"/>
        <v>3275600000</v>
      </c>
      <c r="D927" s="76">
        <f t="shared" si="49"/>
        <v>490367774.85397625</v>
      </c>
    </row>
    <row r="928" spans="1:4" x14ac:dyDescent="0.3">
      <c r="A928">
        <v>431500</v>
      </c>
      <c r="B928" s="29">
        <f t="shared" si="47"/>
        <v>2788426732.8366838</v>
      </c>
      <c r="C928" s="39">
        <f t="shared" si="48"/>
        <v>3279400000</v>
      </c>
      <c r="D928" s="76">
        <f t="shared" si="49"/>
        <v>490973267.16331625</v>
      </c>
    </row>
    <row r="929" spans="1:4" x14ac:dyDescent="0.3">
      <c r="A929">
        <v>432000</v>
      </c>
      <c r="B929" s="29">
        <f t="shared" si="47"/>
        <v>2791621240.5273438</v>
      </c>
      <c r="C929" s="39">
        <f t="shared" si="48"/>
        <v>3283200000</v>
      </c>
      <c r="D929" s="76">
        <f t="shared" si="49"/>
        <v>491578759.47265625</v>
      </c>
    </row>
    <row r="930" spans="1:4" x14ac:dyDescent="0.3">
      <c r="A930">
        <v>432500</v>
      </c>
      <c r="B930" s="29">
        <f t="shared" si="47"/>
        <v>2794815748.2180037</v>
      </c>
      <c r="C930" s="39">
        <f t="shared" si="48"/>
        <v>3287000000</v>
      </c>
      <c r="D930" s="76">
        <f t="shared" si="49"/>
        <v>492184251.78199625</v>
      </c>
    </row>
    <row r="931" spans="1:4" x14ac:dyDescent="0.3">
      <c r="A931">
        <v>433000</v>
      </c>
      <c r="B931" s="29">
        <f t="shared" si="47"/>
        <v>2798010255.9086637</v>
      </c>
      <c r="C931" s="39">
        <f t="shared" si="48"/>
        <v>3290800000</v>
      </c>
      <c r="D931" s="76">
        <f t="shared" si="49"/>
        <v>492789744.09133625</v>
      </c>
    </row>
    <row r="932" spans="1:4" x14ac:dyDescent="0.3">
      <c r="A932">
        <v>433500</v>
      </c>
      <c r="B932" s="29">
        <f t="shared" si="47"/>
        <v>2801204763.5993237</v>
      </c>
      <c r="C932" s="39">
        <f t="shared" si="48"/>
        <v>3294600000</v>
      </c>
      <c r="D932" s="76">
        <f t="shared" si="49"/>
        <v>493395236.40067625</v>
      </c>
    </row>
    <row r="933" spans="1:4" x14ac:dyDescent="0.3">
      <c r="A933">
        <v>434000</v>
      </c>
      <c r="B933" s="29">
        <f t="shared" si="47"/>
        <v>2804399271.2899837</v>
      </c>
      <c r="C933" s="39">
        <f t="shared" si="48"/>
        <v>3298400000</v>
      </c>
      <c r="D933" s="76">
        <f t="shared" si="49"/>
        <v>494000728.71001625</v>
      </c>
    </row>
    <row r="934" spans="1:4" x14ac:dyDescent="0.3">
      <c r="A934">
        <v>434500</v>
      </c>
      <c r="B934" s="29">
        <f t="shared" si="47"/>
        <v>2807593778.9806437</v>
      </c>
      <c r="C934" s="39">
        <f t="shared" si="48"/>
        <v>3302200000</v>
      </c>
      <c r="D934" s="76">
        <f t="shared" si="49"/>
        <v>494606221.01935625</v>
      </c>
    </row>
    <row r="935" spans="1:4" x14ac:dyDescent="0.3">
      <c r="A935">
        <v>435000</v>
      </c>
      <c r="B935" s="29">
        <f t="shared" si="47"/>
        <v>2810788286.6713037</v>
      </c>
      <c r="C935" s="39">
        <f t="shared" si="48"/>
        <v>3306000000</v>
      </c>
      <c r="D935" s="76">
        <f t="shared" si="49"/>
        <v>495211713.32869625</v>
      </c>
    </row>
    <row r="936" spans="1:4" x14ac:dyDescent="0.3">
      <c r="A936">
        <v>435500</v>
      </c>
      <c r="B936" s="29">
        <f t="shared" si="47"/>
        <v>2813982794.3619637</v>
      </c>
      <c r="C936" s="39">
        <f t="shared" si="48"/>
        <v>3309800000</v>
      </c>
      <c r="D936" s="76">
        <f t="shared" si="49"/>
        <v>495817205.63803625</v>
      </c>
    </row>
    <row r="937" spans="1:4" x14ac:dyDescent="0.3">
      <c r="A937">
        <v>436000</v>
      </c>
      <c r="B937" s="29">
        <f t="shared" si="47"/>
        <v>2817177302.0526237</v>
      </c>
      <c r="C937" s="39">
        <f t="shared" si="48"/>
        <v>3313600000</v>
      </c>
      <c r="D937" s="76">
        <f t="shared" si="49"/>
        <v>496422697.94737625</v>
      </c>
    </row>
    <row r="938" spans="1:4" x14ac:dyDescent="0.3">
      <c r="A938">
        <v>436500</v>
      </c>
      <c r="B938" s="29">
        <f t="shared" si="47"/>
        <v>2820371809.7432837</v>
      </c>
      <c r="C938" s="39">
        <f t="shared" si="48"/>
        <v>3317400000</v>
      </c>
      <c r="D938" s="76">
        <f t="shared" si="49"/>
        <v>497028190.25671625</v>
      </c>
    </row>
    <row r="939" spans="1:4" x14ac:dyDescent="0.3">
      <c r="A939">
        <v>437000</v>
      </c>
      <c r="B939" s="29">
        <f t="shared" si="47"/>
        <v>2823566317.4339437</v>
      </c>
      <c r="C939" s="39">
        <f t="shared" si="48"/>
        <v>3321200000</v>
      </c>
      <c r="D939" s="76">
        <f t="shared" si="49"/>
        <v>497633682.56605625</v>
      </c>
    </row>
    <row r="940" spans="1:4" x14ac:dyDescent="0.3">
      <c r="A940">
        <v>437500</v>
      </c>
      <c r="B940" s="29">
        <f t="shared" si="47"/>
        <v>2826760825.1246037</v>
      </c>
      <c r="C940" s="39">
        <f t="shared" si="48"/>
        <v>3325000000</v>
      </c>
      <c r="D940" s="76">
        <f t="shared" si="49"/>
        <v>498239174.87539625</v>
      </c>
    </row>
    <row r="941" spans="1:4" x14ac:dyDescent="0.3">
      <c r="A941">
        <v>438000</v>
      </c>
      <c r="B941" s="29">
        <f t="shared" si="47"/>
        <v>2829955332.8152637</v>
      </c>
      <c r="C941" s="39">
        <f t="shared" si="48"/>
        <v>3328800000</v>
      </c>
      <c r="D941" s="76">
        <f t="shared" si="49"/>
        <v>498844667.18473625</v>
      </c>
    </row>
    <row r="942" spans="1:4" x14ac:dyDescent="0.3">
      <c r="A942">
        <v>438500</v>
      </c>
      <c r="B942" s="29">
        <f t="shared" si="47"/>
        <v>2833149840.5059237</v>
      </c>
      <c r="C942" s="39">
        <f t="shared" si="48"/>
        <v>3332600000</v>
      </c>
      <c r="D942" s="76">
        <f t="shared" si="49"/>
        <v>499450159.49407625</v>
      </c>
    </row>
    <row r="943" spans="1:4" x14ac:dyDescent="0.3">
      <c r="A943">
        <v>439000</v>
      </c>
      <c r="B943" s="29">
        <f t="shared" si="47"/>
        <v>2836344348.1965837</v>
      </c>
      <c r="C943" s="39">
        <f t="shared" si="48"/>
        <v>3336400000</v>
      </c>
      <c r="D943" s="76">
        <f t="shared" si="49"/>
        <v>500055651.80341625</v>
      </c>
    </row>
    <row r="944" spans="1:4" x14ac:dyDescent="0.3">
      <c r="A944">
        <v>439500</v>
      </c>
      <c r="B944" s="29">
        <f t="shared" si="47"/>
        <v>2839538855.8872437</v>
      </c>
      <c r="C944" s="39">
        <f t="shared" si="48"/>
        <v>3340200000</v>
      </c>
      <c r="D944" s="76">
        <f t="shared" si="49"/>
        <v>500661144.11275625</v>
      </c>
    </row>
    <row r="945" spans="1:4" x14ac:dyDescent="0.3">
      <c r="A945">
        <v>440000</v>
      </c>
      <c r="B945" s="29">
        <f t="shared" si="47"/>
        <v>2842733363.5779037</v>
      </c>
      <c r="C945" s="39">
        <f t="shared" si="48"/>
        <v>3344000000</v>
      </c>
      <c r="D945" s="76">
        <f t="shared" si="49"/>
        <v>501266636.42209625</v>
      </c>
    </row>
    <row r="946" spans="1:4" x14ac:dyDescent="0.3">
      <c r="A946">
        <v>440500</v>
      </c>
      <c r="B946" s="29">
        <f t="shared" si="47"/>
        <v>2845927871.2685637</v>
      </c>
      <c r="C946" s="39">
        <f t="shared" si="48"/>
        <v>3347800000</v>
      </c>
      <c r="D946" s="76">
        <f t="shared" si="49"/>
        <v>501872128.73143625</v>
      </c>
    </row>
    <row r="947" spans="1:4" x14ac:dyDescent="0.3">
      <c r="A947">
        <v>441000</v>
      </c>
      <c r="B947" s="29">
        <f t="shared" si="47"/>
        <v>2849122378.9592237</v>
      </c>
      <c r="C947" s="39">
        <f t="shared" si="48"/>
        <v>3351600000</v>
      </c>
      <c r="D947" s="76">
        <f t="shared" si="49"/>
        <v>502477621.04077625</v>
      </c>
    </row>
    <row r="948" spans="1:4" x14ac:dyDescent="0.3">
      <c r="A948">
        <v>441500</v>
      </c>
      <c r="B948" s="29">
        <f t="shared" si="47"/>
        <v>2852316886.6498837</v>
      </c>
      <c r="C948" s="39">
        <f t="shared" si="48"/>
        <v>3355400000</v>
      </c>
      <c r="D948" s="76">
        <f t="shared" si="49"/>
        <v>503083113.35011625</v>
      </c>
    </row>
    <row r="949" spans="1:4" x14ac:dyDescent="0.3">
      <c r="A949">
        <v>442000</v>
      </c>
      <c r="B949" s="29">
        <f t="shared" si="47"/>
        <v>2855511394.3405437</v>
      </c>
      <c r="C949" s="39">
        <f t="shared" si="48"/>
        <v>3359200000</v>
      </c>
      <c r="D949" s="76">
        <f t="shared" si="49"/>
        <v>503688605.65945625</v>
      </c>
    </row>
    <row r="950" spans="1:4" x14ac:dyDescent="0.3">
      <c r="A950">
        <v>442500</v>
      </c>
      <c r="B950" s="29">
        <f t="shared" si="47"/>
        <v>2858705902.0312037</v>
      </c>
      <c r="C950" s="39">
        <f t="shared" si="48"/>
        <v>3363000000</v>
      </c>
      <c r="D950" s="76">
        <f t="shared" si="49"/>
        <v>504294097.96879625</v>
      </c>
    </row>
    <row r="951" spans="1:4" x14ac:dyDescent="0.3">
      <c r="A951">
        <v>443000</v>
      </c>
      <c r="B951" s="29">
        <f t="shared" si="47"/>
        <v>2861900409.7218637</v>
      </c>
      <c r="C951" s="39">
        <f t="shared" si="48"/>
        <v>3366800000</v>
      </c>
      <c r="D951" s="76">
        <f t="shared" si="49"/>
        <v>504899590.27813625</v>
      </c>
    </row>
    <row r="952" spans="1:4" x14ac:dyDescent="0.3">
      <c r="A952">
        <v>443500</v>
      </c>
      <c r="B952" s="29">
        <f t="shared" si="47"/>
        <v>2865094917.4125237</v>
      </c>
      <c r="C952" s="39">
        <f t="shared" si="48"/>
        <v>3370600000</v>
      </c>
      <c r="D952" s="76">
        <f t="shared" si="49"/>
        <v>505505082.58747625</v>
      </c>
    </row>
    <row r="953" spans="1:4" x14ac:dyDescent="0.3">
      <c r="A953">
        <v>444000</v>
      </c>
      <c r="B953" s="29">
        <f t="shared" si="47"/>
        <v>2868289425.1031837</v>
      </c>
      <c r="C953" s="39">
        <f t="shared" si="48"/>
        <v>3374400000</v>
      </c>
      <c r="D953" s="76">
        <f t="shared" si="49"/>
        <v>506110574.89681625</v>
      </c>
    </row>
    <row r="954" spans="1:4" x14ac:dyDescent="0.3">
      <c r="A954">
        <v>444500</v>
      </c>
      <c r="B954" s="29">
        <f t="shared" si="47"/>
        <v>2871483932.7938437</v>
      </c>
      <c r="C954" s="39">
        <f t="shared" si="48"/>
        <v>3378200000</v>
      </c>
      <c r="D954" s="76">
        <f t="shared" si="49"/>
        <v>506716067.20615625</v>
      </c>
    </row>
    <row r="955" spans="1:4" x14ac:dyDescent="0.3">
      <c r="A955">
        <v>445000</v>
      </c>
      <c r="B955" s="29">
        <f t="shared" si="47"/>
        <v>2874678440.4845037</v>
      </c>
      <c r="C955" s="39">
        <f t="shared" si="48"/>
        <v>3382000000</v>
      </c>
      <c r="D955" s="76">
        <f t="shared" si="49"/>
        <v>507321559.51549625</v>
      </c>
    </row>
    <row r="956" spans="1:4" x14ac:dyDescent="0.3">
      <c r="A956">
        <v>445500</v>
      </c>
      <c r="B956" s="29">
        <f t="shared" si="47"/>
        <v>2877872948.1751637</v>
      </c>
      <c r="C956" s="39">
        <f t="shared" si="48"/>
        <v>3385800000</v>
      </c>
      <c r="D956" s="76">
        <f t="shared" si="49"/>
        <v>507927051.82483625</v>
      </c>
    </row>
    <row r="957" spans="1:4" x14ac:dyDescent="0.3">
      <c r="A957">
        <v>446000</v>
      </c>
      <c r="B957" s="29">
        <f t="shared" si="47"/>
        <v>2881067455.8658237</v>
      </c>
      <c r="C957" s="39">
        <f t="shared" si="48"/>
        <v>3389600000</v>
      </c>
      <c r="D957" s="76">
        <f t="shared" si="49"/>
        <v>508532544.13417625</v>
      </c>
    </row>
    <row r="958" spans="1:4" x14ac:dyDescent="0.3">
      <c r="A958">
        <v>446500</v>
      </c>
      <c r="B958" s="29">
        <f t="shared" si="47"/>
        <v>2884261963.5564837</v>
      </c>
      <c r="C958" s="39">
        <f t="shared" si="48"/>
        <v>3393400000</v>
      </c>
      <c r="D958" s="76">
        <f t="shared" si="49"/>
        <v>509138036.44351625</v>
      </c>
    </row>
    <row r="959" spans="1:4" x14ac:dyDescent="0.3">
      <c r="A959">
        <v>447000</v>
      </c>
      <c r="B959" s="29">
        <f t="shared" si="47"/>
        <v>2887456471.2471437</v>
      </c>
      <c r="C959" s="39">
        <f t="shared" si="48"/>
        <v>3397200000</v>
      </c>
      <c r="D959" s="76">
        <f t="shared" si="49"/>
        <v>509743528.75285625</v>
      </c>
    </row>
    <row r="960" spans="1:4" x14ac:dyDescent="0.3">
      <c r="A960">
        <v>447500</v>
      </c>
      <c r="B960" s="29">
        <f t="shared" si="47"/>
        <v>2890650978.9378037</v>
      </c>
      <c r="C960" s="39">
        <f t="shared" si="48"/>
        <v>3401000000</v>
      </c>
      <c r="D960" s="76">
        <f t="shared" si="49"/>
        <v>510349021.06219625</v>
      </c>
    </row>
    <row r="961" spans="1:4" x14ac:dyDescent="0.3">
      <c r="A961">
        <v>448000</v>
      </c>
      <c r="B961" s="29">
        <f t="shared" si="47"/>
        <v>2893845486.6284637</v>
      </c>
      <c r="C961" s="39">
        <f t="shared" si="48"/>
        <v>3404800000</v>
      </c>
      <c r="D961" s="76">
        <f t="shared" si="49"/>
        <v>510954513.37153625</v>
      </c>
    </row>
    <row r="962" spans="1:4" x14ac:dyDescent="0.3">
      <c r="A962">
        <v>448500</v>
      </c>
      <c r="B962" s="29">
        <f t="shared" ref="B962:B1025" si="50">$B$54+($B$60*A962)</f>
        <v>2897039994.3191237</v>
      </c>
      <c r="C962" s="39">
        <f t="shared" ref="C962:C1025" si="51">$E$50*A962</f>
        <v>3408600000</v>
      </c>
      <c r="D962" s="76">
        <f t="shared" ref="D962:D1025" si="52">C962-B962</f>
        <v>511560005.68087626</v>
      </c>
    </row>
    <row r="963" spans="1:4" x14ac:dyDescent="0.3">
      <c r="A963">
        <v>449000</v>
      </c>
      <c r="B963" s="29">
        <f t="shared" si="50"/>
        <v>2900234502.0097837</v>
      </c>
      <c r="C963" s="39">
        <f t="shared" si="51"/>
        <v>3412400000</v>
      </c>
      <c r="D963" s="76">
        <f t="shared" si="52"/>
        <v>512165497.99021626</v>
      </c>
    </row>
    <row r="964" spans="1:4" x14ac:dyDescent="0.3">
      <c r="A964">
        <v>449500</v>
      </c>
      <c r="B964" s="29">
        <f t="shared" si="50"/>
        <v>2903429009.7004437</v>
      </c>
      <c r="C964" s="39">
        <f t="shared" si="51"/>
        <v>3416200000</v>
      </c>
      <c r="D964" s="76">
        <f t="shared" si="52"/>
        <v>512770990.29955626</v>
      </c>
    </row>
    <row r="965" spans="1:4" x14ac:dyDescent="0.3">
      <c r="A965">
        <v>450000</v>
      </c>
      <c r="B965" s="29">
        <f t="shared" si="50"/>
        <v>2906623517.3911037</v>
      </c>
      <c r="C965" s="39">
        <f t="shared" si="51"/>
        <v>3420000000</v>
      </c>
      <c r="D965" s="76">
        <f t="shared" si="52"/>
        <v>513376482.60889626</v>
      </c>
    </row>
    <row r="966" spans="1:4" x14ac:dyDescent="0.3">
      <c r="A966">
        <v>450500</v>
      </c>
      <c r="B966" s="29">
        <f t="shared" si="50"/>
        <v>2909818025.0817637</v>
      </c>
      <c r="C966" s="39">
        <f t="shared" si="51"/>
        <v>3423800000</v>
      </c>
      <c r="D966" s="76">
        <f t="shared" si="52"/>
        <v>513981974.91823626</v>
      </c>
    </row>
    <row r="967" spans="1:4" x14ac:dyDescent="0.3">
      <c r="A967">
        <v>451000</v>
      </c>
      <c r="B967" s="29">
        <f t="shared" si="50"/>
        <v>2913012532.7724237</v>
      </c>
      <c r="C967" s="39">
        <f t="shared" si="51"/>
        <v>3427600000</v>
      </c>
      <c r="D967" s="76">
        <f t="shared" si="52"/>
        <v>514587467.22757626</v>
      </c>
    </row>
    <row r="968" spans="1:4" x14ac:dyDescent="0.3">
      <c r="A968">
        <v>451500</v>
      </c>
      <c r="B968" s="29">
        <f t="shared" si="50"/>
        <v>2916207040.4630837</v>
      </c>
      <c r="C968" s="39">
        <f t="shared" si="51"/>
        <v>3431400000</v>
      </c>
      <c r="D968" s="76">
        <f t="shared" si="52"/>
        <v>515192959.53691626</v>
      </c>
    </row>
    <row r="969" spans="1:4" x14ac:dyDescent="0.3">
      <c r="A969">
        <v>452000</v>
      </c>
      <c r="B969" s="29">
        <f t="shared" si="50"/>
        <v>2919401548.1537437</v>
      </c>
      <c r="C969" s="39">
        <f t="shared" si="51"/>
        <v>3435200000</v>
      </c>
      <c r="D969" s="76">
        <f t="shared" si="52"/>
        <v>515798451.84625626</v>
      </c>
    </row>
    <row r="970" spans="1:4" x14ac:dyDescent="0.3">
      <c r="A970">
        <v>452500</v>
      </c>
      <c r="B970" s="29">
        <f t="shared" si="50"/>
        <v>2922596055.8444037</v>
      </c>
      <c r="C970" s="39">
        <f t="shared" si="51"/>
        <v>3439000000</v>
      </c>
      <c r="D970" s="76">
        <f t="shared" si="52"/>
        <v>516403944.15559626</v>
      </c>
    </row>
    <row r="971" spans="1:4" x14ac:dyDescent="0.3">
      <c r="A971">
        <v>453000</v>
      </c>
      <c r="B971" s="29">
        <f t="shared" si="50"/>
        <v>2925790563.5350637</v>
      </c>
      <c r="C971" s="39">
        <f t="shared" si="51"/>
        <v>3442800000</v>
      </c>
      <c r="D971" s="76">
        <f t="shared" si="52"/>
        <v>517009436.46493626</v>
      </c>
    </row>
    <row r="972" spans="1:4" x14ac:dyDescent="0.3">
      <c r="A972">
        <v>453500</v>
      </c>
      <c r="B972" s="29">
        <f t="shared" si="50"/>
        <v>2928985071.2257237</v>
      </c>
      <c r="C972" s="39">
        <f t="shared" si="51"/>
        <v>3446600000</v>
      </c>
      <c r="D972" s="76">
        <f t="shared" si="52"/>
        <v>517614928.77427626</v>
      </c>
    </row>
    <row r="973" spans="1:4" x14ac:dyDescent="0.3">
      <c r="A973">
        <v>454000</v>
      </c>
      <c r="B973" s="29">
        <f t="shared" si="50"/>
        <v>2932179578.9163837</v>
      </c>
      <c r="C973" s="39">
        <f t="shared" si="51"/>
        <v>3450400000</v>
      </c>
      <c r="D973" s="76">
        <f t="shared" si="52"/>
        <v>518220421.08361626</v>
      </c>
    </row>
    <row r="974" spans="1:4" x14ac:dyDescent="0.3">
      <c r="A974">
        <v>454500</v>
      </c>
      <c r="B974" s="29">
        <f t="shared" si="50"/>
        <v>2935374086.6070437</v>
      </c>
      <c r="C974" s="39">
        <f t="shared" si="51"/>
        <v>3454200000</v>
      </c>
      <c r="D974" s="76">
        <f t="shared" si="52"/>
        <v>518825913.39295626</v>
      </c>
    </row>
    <row r="975" spans="1:4" x14ac:dyDescent="0.3">
      <c r="A975">
        <v>455000</v>
      </c>
      <c r="B975" s="29">
        <f t="shared" si="50"/>
        <v>2938568594.2977037</v>
      </c>
      <c r="C975" s="39">
        <f t="shared" si="51"/>
        <v>3458000000</v>
      </c>
      <c r="D975" s="76">
        <f t="shared" si="52"/>
        <v>519431405.70229626</v>
      </c>
    </row>
    <row r="976" spans="1:4" x14ac:dyDescent="0.3">
      <c r="A976">
        <v>455500</v>
      </c>
      <c r="B976" s="29">
        <f t="shared" si="50"/>
        <v>2941763101.9883637</v>
      </c>
      <c r="C976" s="39">
        <f t="shared" si="51"/>
        <v>3461800000</v>
      </c>
      <c r="D976" s="76">
        <f t="shared" si="52"/>
        <v>520036898.01163626</v>
      </c>
    </row>
    <row r="977" spans="1:4" x14ac:dyDescent="0.3">
      <c r="A977">
        <v>456000</v>
      </c>
      <c r="B977" s="29">
        <f t="shared" si="50"/>
        <v>2944957609.6790237</v>
      </c>
      <c r="C977" s="39">
        <f t="shared" si="51"/>
        <v>3465600000</v>
      </c>
      <c r="D977" s="76">
        <f t="shared" si="52"/>
        <v>520642390.32097626</v>
      </c>
    </row>
    <row r="978" spans="1:4" x14ac:dyDescent="0.3">
      <c r="A978">
        <v>456500</v>
      </c>
      <c r="B978" s="29">
        <f t="shared" si="50"/>
        <v>2948152117.3696837</v>
      </c>
      <c r="C978" s="39">
        <f t="shared" si="51"/>
        <v>3469400000</v>
      </c>
      <c r="D978" s="76">
        <f t="shared" si="52"/>
        <v>521247882.63031626</v>
      </c>
    </row>
    <row r="979" spans="1:4" x14ac:dyDescent="0.3">
      <c r="A979">
        <v>457000</v>
      </c>
      <c r="B979" s="29">
        <f t="shared" si="50"/>
        <v>2951346625.0603437</v>
      </c>
      <c r="C979" s="39">
        <f t="shared" si="51"/>
        <v>3473200000</v>
      </c>
      <c r="D979" s="76">
        <f t="shared" si="52"/>
        <v>521853374.93965626</v>
      </c>
    </row>
    <row r="980" spans="1:4" x14ac:dyDescent="0.3">
      <c r="A980">
        <v>457500</v>
      </c>
      <c r="B980" s="29">
        <f t="shared" si="50"/>
        <v>2954541132.7510037</v>
      </c>
      <c r="C980" s="39">
        <f t="shared" si="51"/>
        <v>3477000000</v>
      </c>
      <c r="D980" s="76">
        <f t="shared" si="52"/>
        <v>522458867.24899626</v>
      </c>
    </row>
    <row r="981" spans="1:4" x14ac:dyDescent="0.3">
      <c r="A981">
        <v>458000</v>
      </c>
      <c r="B981" s="29">
        <f t="shared" si="50"/>
        <v>2957735640.4416637</v>
      </c>
      <c r="C981" s="39">
        <f t="shared" si="51"/>
        <v>3480800000</v>
      </c>
      <c r="D981" s="76">
        <f t="shared" si="52"/>
        <v>523064359.55833626</v>
      </c>
    </row>
    <row r="982" spans="1:4" x14ac:dyDescent="0.3">
      <c r="A982">
        <v>458500</v>
      </c>
      <c r="B982" s="29">
        <f t="shared" si="50"/>
        <v>2960930148.1323237</v>
      </c>
      <c r="C982" s="39">
        <f t="shared" si="51"/>
        <v>3484600000</v>
      </c>
      <c r="D982" s="76">
        <f t="shared" si="52"/>
        <v>523669851.86767626</v>
      </c>
    </row>
    <row r="983" spans="1:4" x14ac:dyDescent="0.3">
      <c r="A983">
        <v>459000</v>
      </c>
      <c r="B983" s="29">
        <f t="shared" si="50"/>
        <v>2964124655.8229837</v>
      </c>
      <c r="C983" s="39">
        <f t="shared" si="51"/>
        <v>3488400000</v>
      </c>
      <c r="D983" s="76">
        <f t="shared" si="52"/>
        <v>524275344.17701626</v>
      </c>
    </row>
    <row r="984" spans="1:4" x14ac:dyDescent="0.3">
      <c r="A984">
        <v>459500</v>
      </c>
      <c r="B984" s="29">
        <f t="shared" si="50"/>
        <v>2967319163.5136437</v>
      </c>
      <c r="C984" s="39">
        <f t="shared" si="51"/>
        <v>3492200000</v>
      </c>
      <c r="D984" s="76">
        <f t="shared" si="52"/>
        <v>524880836.48635626</v>
      </c>
    </row>
    <row r="985" spans="1:4" x14ac:dyDescent="0.3">
      <c r="A985">
        <v>460000</v>
      </c>
      <c r="B985" s="29">
        <f t="shared" si="50"/>
        <v>2970513671.2043037</v>
      </c>
      <c r="C985" s="39">
        <f t="shared" si="51"/>
        <v>3496000000</v>
      </c>
      <c r="D985" s="76">
        <f t="shared" si="52"/>
        <v>525486328.79569626</v>
      </c>
    </row>
    <row r="986" spans="1:4" x14ac:dyDescent="0.3">
      <c r="A986">
        <v>460500</v>
      </c>
      <c r="B986" s="29">
        <f t="shared" si="50"/>
        <v>2973708178.8949637</v>
      </c>
      <c r="C986" s="39">
        <f t="shared" si="51"/>
        <v>3499800000</v>
      </c>
      <c r="D986" s="76">
        <f t="shared" si="52"/>
        <v>526091821.10503626</v>
      </c>
    </row>
    <row r="987" spans="1:4" x14ac:dyDescent="0.3">
      <c r="A987">
        <v>461000</v>
      </c>
      <c r="B987" s="29">
        <f t="shared" si="50"/>
        <v>2976902686.5856237</v>
      </c>
      <c r="C987" s="39">
        <f t="shared" si="51"/>
        <v>3503600000</v>
      </c>
      <c r="D987" s="76">
        <f t="shared" si="52"/>
        <v>526697313.41437626</v>
      </c>
    </row>
    <row r="988" spans="1:4" x14ac:dyDescent="0.3">
      <c r="A988">
        <v>461500</v>
      </c>
      <c r="B988" s="29">
        <f t="shared" si="50"/>
        <v>2980097194.2762837</v>
      </c>
      <c r="C988" s="39">
        <f t="shared" si="51"/>
        <v>3507400000</v>
      </c>
      <c r="D988" s="76">
        <f t="shared" si="52"/>
        <v>527302805.72371626</v>
      </c>
    </row>
    <row r="989" spans="1:4" x14ac:dyDescent="0.3">
      <c r="A989">
        <v>462000</v>
      </c>
      <c r="B989" s="29">
        <f t="shared" si="50"/>
        <v>2983291701.9669437</v>
      </c>
      <c r="C989" s="39">
        <f t="shared" si="51"/>
        <v>3511200000</v>
      </c>
      <c r="D989" s="76">
        <f t="shared" si="52"/>
        <v>527908298.03305626</v>
      </c>
    </row>
    <row r="990" spans="1:4" x14ac:dyDescent="0.3">
      <c r="A990">
        <v>462500</v>
      </c>
      <c r="B990" s="29">
        <f t="shared" si="50"/>
        <v>2986486209.6576037</v>
      </c>
      <c r="C990" s="39">
        <f t="shared" si="51"/>
        <v>3515000000</v>
      </c>
      <c r="D990" s="76">
        <f t="shared" si="52"/>
        <v>528513790.34239626</v>
      </c>
    </row>
    <row r="991" spans="1:4" x14ac:dyDescent="0.3">
      <c r="A991">
        <v>463000</v>
      </c>
      <c r="B991" s="29">
        <f t="shared" si="50"/>
        <v>2989680717.3482637</v>
      </c>
      <c r="C991" s="39">
        <f t="shared" si="51"/>
        <v>3518800000</v>
      </c>
      <c r="D991" s="76">
        <f t="shared" si="52"/>
        <v>529119282.65173626</v>
      </c>
    </row>
    <row r="992" spans="1:4" x14ac:dyDescent="0.3">
      <c r="A992">
        <v>463500</v>
      </c>
      <c r="B992" s="29">
        <f t="shared" si="50"/>
        <v>2992875225.0389237</v>
      </c>
      <c r="C992" s="39">
        <f t="shared" si="51"/>
        <v>3522600000</v>
      </c>
      <c r="D992" s="76">
        <f t="shared" si="52"/>
        <v>529724774.96107626</v>
      </c>
    </row>
    <row r="993" spans="1:4" x14ac:dyDescent="0.3">
      <c r="A993">
        <v>464000</v>
      </c>
      <c r="B993" s="29">
        <f t="shared" si="50"/>
        <v>2996069732.7295837</v>
      </c>
      <c r="C993" s="39">
        <f t="shared" si="51"/>
        <v>3526400000</v>
      </c>
      <c r="D993" s="76">
        <f t="shared" si="52"/>
        <v>530330267.27041626</v>
      </c>
    </row>
    <row r="994" spans="1:4" x14ac:dyDescent="0.3">
      <c r="A994">
        <v>464500</v>
      </c>
      <c r="B994" s="29">
        <f t="shared" si="50"/>
        <v>2999264240.4202437</v>
      </c>
      <c r="C994" s="39">
        <f t="shared" si="51"/>
        <v>3530200000</v>
      </c>
      <c r="D994" s="76">
        <f t="shared" si="52"/>
        <v>530935759.57975626</v>
      </c>
    </row>
    <row r="995" spans="1:4" x14ac:dyDescent="0.3">
      <c r="A995">
        <v>465000</v>
      </c>
      <c r="B995" s="29">
        <f t="shared" si="50"/>
        <v>3002458748.1109037</v>
      </c>
      <c r="C995" s="39">
        <f t="shared" si="51"/>
        <v>3534000000</v>
      </c>
      <c r="D995" s="76">
        <f t="shared" si="52"/>
        <v>531541251.88909626</v>
      </c>
    </row>
    <row r="996" spans="1:4" x14ac:dyDescent="0.3">
      <c r="A996">
        <v>465500</v>
      </c>
      <c r="B996" s="29">
        <f t="shared" si="50"/>
        <v>3005653255.8015637</v>
      </c>
      <c r="C996" s="39">
        <f t="shared" si="51"/>
        <v>3537800000</v>
      </c>
      <c r="D996" s="76">
        <f t="shared" si="52"/>
        <v>532146744.19843626</v>
      </c>
    </row>
    <row r="997" spans="1:4" x14ac:dyDescent="0.3">
      <c r="A997">
        <v>466000</v>
      </c>
      <c r="B997" s="29">
        <f t="shared" si="50"/>
        <v>3008847763.4922237</v>
      </c>
      <c r="C997" s="39">
        <f t="shared" si="51"/>
        <v>3541600000</v>
      </c>
      <c r="D997" s="76">
        <f t="shared" si="52"/>
        <v>532752236.50777626</v>
      </c>
    </row>
    <row r="998" spans="1:4" x14ac:dyDescent="0.3">
      <c r="A998">
        <v>466500</v>
      </c>
      <c r="B998" s="29">
        <f t="shared" si="50"/>
        <v>3012042271.1828837</v>
      </c>
      <c r="C998" s="39">
        <f t="shared" si="51"/>
        <v>3545400000</v>
      </c>
      <c r="D998" s="76">
        <f t="shared" si="52"/>
        <v>533357728.81711626</v>
      </c>
    </row>
    <row r="999" spans="1:4" x14ac:dyDescent="0.3">
      <c r="A999">
        <v>467000</v>
      </c>
      <c r="B999" s="29">
        <f t="shared" si="50"/>
        <v>3015236778.8735437</v>
      </c>
      <c r="C999" s="39">
        <f t="shared" si="51"/>
        <v>3549200000</v>
      </c>
      <c r="D999" s="76">
        <f t="shared" si="52"/>
        <v>533963221.12645626</v>
      </c>
    </row>
    <row r="1000" spans="1:4" x14ac:dyDescent="0.3">
      <c r="A1000">
        <v>467500</v>
      </c>
      <c r="B1000" s="29">
        <f t="shared" si="50"/>
        <v>3018431286.5642037</v>
      </c>
      <c r="C1000" s="39">
        <f t="shared" si="51"/>
        <v>3553000000</v>
      </c>
      <c r="D1000" s="76">
        <f t="shared" si="52"/>
        <v>534568713.43579626</v>
      </c>
    </row>
    <row r="1001" spans="1:4" x14ac:dyDescent="0.3">
      <c r="A1001">
        <v>468000</v>
      </c>
      <c r="B1001" s="29">
        <f t="shared" si="50"/>
        <v>3021625794.2548637</v>
      </c>
      <c r="C1001" s="39">
        <f t="shared" si="51"/>
        <v>3556800000</v>
      </c>
      <c r="D1001" s="76">
        <f t="shared" si="52"/>
        <v>535174205.74513626</v>
      </c>
    </row>
    <row r="1002" spans="1:4" x14ac:dyDescent="0.3">
      <c r="A1002">
        <v>468500</v>
      </c>
      <c r="B1002" s="29">
        <f t="shared" si="50"/>
        <v>3024820301.9455237</v>
      </c>
      <c r="C1002" s="39">
        <f t="shared" si="51"/>
        <v>3560600000</v>
      </c>
      <c r="D1002" s="76">
        <f t="shared" si="52"/>
        <v>535779698.05447626</v>
      </c>
    </row>
    <row r="1003" spans="1:4" x14ac:dyDescent="0.3">
      <c r="A1003">
        <v>469000</v>
      </c>
      <c r="B1003" s="29">
        <f t="shared" si="50"/>
        <v>3028014809.6361837</v>
      </c>
      <c r="C1003" s="39">
        <f t="shared" si="51"/>
        <v>3564400000</v>
      </c>
      <c r="D1003" s="76">
        <f t="shared" si="52"/>
        <v>536385190.36381626</v>
      </c>
    </row>
    <row r="1004" spans="1:4" x14ac:dyDescent="0.3">
      <c r="A1004">
        <v>469500</v>
      </c>
      <c r="B1004" s="29">
        <f t="shared" si="50"/>
        <v>3031209317.3268437</v>
      </c>
      <c r="C1004" s="39">
        <f t="shared" si="51"/>
        <v>3568200000</v>
      </c>
      <c r="D1004" s="76">
        <f t="shared" si="52"/>
        <v>536990682.67315626</v>
      </c>
    </row>
    <row r="1005" spans="1:4" x14ac:dyDescent="0.3">
      <c r="A1005">
        <v>470000</v>
      </c>
      <c r="B1005" s="29">
        <f t="shared" si="50"/>
        <v>3034403825.0175037</v>
      </c>
      <c r="C1005" s="39">
        <f t="shared" si="51"/>
        <v>3572000000</v>
      </c>
      <c r="D1005" s="76">
        <f t="shared" si="52"/>
        <v>537596174.98249626</v>
      </c>
    </row>
    <row r="1006" spans="1:4" x14ac:dyDescent="0.3">
      <c r="A1006">
        <v>470500</v>
      </c>
      <c r="B1006" s="29">
        <f t="shared" si="50"/>
        <v>3037598332.7081637</v>
      </c>
      <c r="C1006" s="39">
        <f t="shared" si="51"/>
        <v>3575800000</v>
      </c>
      <c r="D1006" s="76">
        <f t="shared" si="52"/>
        <v>538201667.29183626</v>
      </c>
    </row>
    <row r="1007" spans="1:4" x14ac:dyDescent="0.3">
      <c r="A1007">
        <v>471000</v>
      </c>
      <c r="B1007" s="29">
        <f t="shared" si="50"/>
        <v>3040792840.3988237</v>
      </c>
      <c r="C1007" s="39">
        <f t="shared" si="51"/>
        <v>3579600000</v>
      </c>
      <c r="D1007" s="76">
        <f t="shared" si="52"/>
        <v>538807159.60117626</v>
      </c>
    </row>
    <row r="1008" spans="1:4" x14ac:dyDescent="0.3">
      <c r="A1008">
        <v>471500</v>
      </c>
      <c r="B1008" s="29">
        <f t="shared" si="50"/>
        <v>3043987348.0894837</v>
      </c>
      <c r="C1008" s="39">
        <f t="shared" si="51"/>
        <v>3583400000</v>
      </c>
      <c r="D1008" s="76">
        <f t="shared" si="52"/>
        <v>539412651.91051626</v>
      </c>
    </row>
    <row r="1009" spans="1:4" x14ac:dyDescent="0.3">
      <c r="A1009">
        <v>472000</v>
      </c>
      <c r="B1009" s="29">
        <f t="shared" si="50"/>
        <v>3047181855.7801437</v>
      </c>
      <c r="C1009" s="39">
        <f t="shared" si="51"/>
        <v>3587200000</v>
      </c>
      <c r="D1009" s="76">
        <f t="shared" si="52"/>
        <v>540018144.21985626</v>
      </c>
    </row>
    <row r="1010" spans="1:4" x14ac:dyDescent="0.3">
      <c r="A1010">
        <v>472500</v>
      </c>
      <c r="B1010" s="29">
        <f t="shared" si="50"/>
        <v>3050376363.4708037</v>
      </c>
      <c r="C1010" s="39">
        <f t="shared" si="51"/>
        <v>3591000000</v>
      </c>
      <c r="D1010" s="76">
        <f t="shared" si="52"/>
        <v>540623636.52919626</v>
      </c>
    </row>
    <row r="1011" spans="1:4" x14ac:dyDescent="0.3">
      <c r="A1011">
        <v>473000</v>
      </c>
      <c r="B1011" s="29">
        <f t="shared" si="50"/>
        <v>3053570871.1614637</v>
      </c>
      <c r="C1011" s="39">
        <f t="shared" si="51"/>
        <v>3594800000</v>
      </c>
      <c r="D1011" s="76">
        <f t="shared" si="52"/>
        <v>541229128.83853626</v>
      </c>
    </row>
    <row r="1012" spans="1:4" x14ac:dyDescent="0.3">
      <c r="A1012">
        <v>473500</v>
      </c>
      <c r="B1012" s="29">
        <f t="shared" si="50"/>
        <v>3056765378.8521237</v>
      </c>
      <c r="C1012" s="39">
        <f t="shared" si="51"/>
        <v>3598600000</v>
      </c>
      <c r="D1012" s="76">
        <f t="shared" si="52"/>
        <v>541834621.14787626</v>
      </c>
    </row>
    <row r="1013" spans="1:4" x14ac:dyDescent="0.3">
      <c r="A1013">
        <v>474000</v>
      </c>
      <c r="B1013" s="29">
        <f t="shared" si="50"/>
        <v>3059959886.5427837</v>
      </c>
      <c r="C1013" s="39">
        <f t="shared" si="51"/>
        <v>3602400000</v>
      </c>
      <c r="D1013" s="76">
        <f t="shared" si="52"/>
        <v>542440113.45721626</v>
      </c>
    </row>
    <row r="1014" spans="1:4" x14ac:dyDescent="0.3">
      <c r="A1014">
        <v>474500</v>
      </c>
      <c r="B1014" s="29">
        <f t="shared" si="50"/>
        <v>3063154394.2334437</v>
      </c>
      <c r="C1014" s="39">
        <f t="shared" si="51"/>
        <v>3606200000</v>
      </c>
      <c r="D1014" s="76">
        <f t="shared" si="52"/>
        <v>543045605.76655626</v>
      </c>
    </row>
    <row r="1015" spans="1:4" x14ac:dyDescent="0.3">
      <c r="A1015">
        <v>475000</v>
      </c>
      <c r="B1015" s="29">
        <f t="shared" si="50"/>
        <v>3066348901.9241037</v>
      </c>
      <c r="C1015" s="39">
        <f t="shared" si="51"/>
        <v>3610000000</v>
      </c>
      <c r="D1015" s="76">
        <f t="shared" si="52"/>
        <v>543651098.07589626</v>
      </c>
    </row>
    <row r="1016" spans="1:4" x14ac:dyDescent="0.3">
      <c r="A1016">
        <v>475500</v>
      </c>
      <c r="B1016" s="29">
        <f t="shared" si="50"/>
        <v>3069543409.6147637</v>
      </c>
      <c r="C1016" s="39">
        <f t="shared" si="51"/>
        <v>3613800000</v>
      </c>
      <c r="D1016" s="76">
        <f t="shared" si="52"/>
        <v>544256590.38523626</v>
      </c>
    </row>
    <row r="1017" spans="1:4" x14ac:dyDescent="0.3">
      <c r="A1017">
        <v>476000</v>
      </c>
      <c r="B1017" s="29">
        <f t="shared" si="50"/>
        <v>3072737917.3054237</v>
      </c>
      <c r="C1017" s="39">
        <f t="shared" si="51"/>
        <v>3617600000</v>
      </c>
      <c r="D1017" s="76">
        <f t="shared" si="52"/>
        <v>544862082.69457626</v>
      </c>
    </row>
    <row r="1018" spans="1:4" x14ac:dyDescent="0.3">
      <c r="A1018">
        <v>476500</v>
      </c>
      <c r="B1018" s="29">
        <f t="shared" si="50"/>
        <v>3075932424.9960837</v>
      </c>
      <c r="C1018" s="39">
        <f t="shared" si="51"/>
        <v>3621400000</v>
      </c>
      <c r="D1018" s="76">
        <f t="shared" si="52"/>
        <v>545467575.00391626</v>
      </c>
    </row>
    <row r="1019" spans="1:4" x14ac:dyDescent="0.3">
      <c r="A1019">
        <v>477000</v>
      </c>
      <c r="B1019" s="29">
        <f t="shared" si="50"/>
        <v>3079126932.6867437</v>
      </c>
      <c r="C1019" s="39">
        <f t="shared" si="51"/>
        <v>3625200000</v>
      </c>
      <c r="D1019" s="76">
        <f t="shared" si="52"/>
        <v>546073067.31325626</v>
      </c>
    </row>
    <row r="1020" spans="1:4" x14ac:dyDescent="0.3">
      <c r="A1020">
        <v>477500</v>
      </c>
      <c r="B1020" s="29">
        <f t="shared" si="50"/>
        <v>3082321440.3774037</v>
      </c>
      <c r="C1020" s="39">
        <f t="shared" si="51"/>
        <v>3629000000</v>
      </c>
      <c r="D1020" s="76">
        <f t="shared" si="52"/>
        <v>546678559.62259626</v>
      </c>
    </row>
    <row r="1021" spans="1:4" x14ac:dyDescent="0.3">
      <c r="A1021">
        <v>478000</v>
      </c>
      <c r="B1021" s="29">
        <f t="shared" si="50"/>
        <v>3085515948.0680637</v>
      </c>
      <c r="C1021" s="39">
        <f t="shared" si="51"/>
        <v>3632800000</v>
      </c>
      <c r="D1021" s="76">
        <f t="shared" si="52"/>
        <v>547284051.93193626</v>
      </c>
    </row>
    <row r="1022" spans="1:4" x14ac:dyDescent="0.3">
      <c r="A1022">
        <v>478500</v>
      </c>
      <c r="B1022" s="29">
        <f t="shared" si="50"/>
        <v>3088710455.7587237</v>
      </c>
      <c r="C1022" s="39">
        <f t="shared" si="51"/>
        <v>3636600000</v>
      </c>
      <c r="D1022" s="76">
        <f t="shared" si="52"/>
        <v>547889544.24127626</v>
      </c>
    </row>
    <row r="1023" spans="1:4" x14ac:dyDescent="0.3">
      <c r="A1023">
        <v>479000</v>
      </c>
      <c r="B1023" s="29">
        <f t="shared" si="50"/>
        <v>3091904963.4493837</v>
      </c>
      <c r="C1023" s="39">
        <f t="shared" si="51"/>
        <v>3640400000</v>
      </c>
      <c r="D1023" s="76">
        <f t="shared" si="52"/>
        <v>548495036.55061626</v>
      </c>
    </row>
    <row r="1024" spans="1:4" x14ac:dyDescent="0.3">
      <c r="A1024">
        <v>479500</v>
      </c>
      <c r="B1024" s="29">
        <f t="shared" si="50"/>
        <v>3095099471.1400437</v>
      </c>
      <c r="C1024" s="39">
        <f t="shared" si="51"/>
        <v>3644200000</v>
      </c>
      <c r="D1024" s="76">
        <f t="shared" si="52"/>
        <v>549100528.85995626</v>
      </c>
    </row>
    <row r="1025" spans="1:4" x14ac:dyDescent="0.3">
      <c r="A1025">
        <v>480000</v>
      </c>
      <c r="B1025" s="29">
        <f t="shared" si="50"/>
        <v>3098293978.8307037</v>
      </c>
      <c r="C1025" s="39">
        <f t="shared" si="51"/>
        <v>3648000000</v>
      </c>
      <c r="D1025" s="76">
        <f t="shared" si="52"/>
        <v>549706021.16929626</v>
      </c>
    </row>
    <row r="1026" spans="1:4" x14ac:dyDescent="0.3">
      <c r="A1026">
        <v>480500</v>
      </c>
      <c r="B1026" s="29">
        <f t="shared" ref="B1026:B1089" si="53">$B$54+($B$60*A1026)</f>
        <v>3101488486.5213637</v>
      </c>
      <c r="C1026" s="39">
        <f t="shared" ref="C1026:C1089" si="54">$E$50*A1026</f>
        <v>3651800000</v>
      </c>
      <c r="D1026" s="76">
        <f t="shared" ref="D1026:D1089" si="55">C1026-B1026</f>
        <v>550311513.47863626</v>
      </c>
    </row>
    <row r="1027" spans="1:4" x14ac:dyDescent="0.3">
      <c r="A1027">
        <v>481000</v>
      </c>
      <c r="B1027" s="29">
        <f t="shared" si="53"/>
        <v>3104682994.2120237</v>
      </c>
      <c r="C1027" s="39">
        <f t="shared" si="54"/>
        <v>3655600000</v>
      </c>
      <c r="D1027" s="76">
        <f t="shared" si="55"/>
        <v>550917005.78797626</v>
      </c>
    </row>
    <row r="1028" spans="1:4" x14ac:dyDescent="0.3">
      <c r="A1028">
        <v>481500</v>
      </c>
      <c r="B1028" s="29">
        <f t="shared" si="53"/>
        <v>3107877501.9026837</v>
      </c>
      <c r="C1028" s="39">
        <f t="shared" si="54"/>
        <v>3659400000</v>
      </c>
      <c r="D1028" s="76">
        <f t="shared" si="55"/>
        <v>551522498.09731627</v>
      </c>
    </row>
    <row r="1029" spans="1:4" x14ac:dyDescent="0.3">
      <c r="A1029">
        <v>482000</v>
      </c>
      <c r="B1029" s="29">
        <f t="shared" si="53"/>
        <v>3111072009.5933437</v>
      </c>
      <c r="C1029" s="39">
        <f t="shared" si="54"/>
        <v>3663200000</v>
      </c>
      <c r="D1029" s="76">
        <f t="shared" si="55"/>
        <v>552127990.40665627</v>
      </c>
    </row>
    <row r="1030" spans="1:4" x14ac:dyDescent="0.3">
      <c r="A1030">
        <v>482500</v>
      </c>
      <c r="B1030" s="29">
        <f t="shared" si="53"/>
        <v>3114266517.2840037</v>
      </c>
      <c r="C1030" s="39">
        <f t="shared" si="54"/>
        <v>3667000000</v>
      </c>
      <c r="D1030" s="76">
        <f t="shared" si="55"/>
        <v>552733482.71599627</v>
      </c>
    </row>
    <row r="1031" spans="1:4" x14ac:dyDescent="0.3">
      <c r="A1031">
        <v>483000</v>
      </c>
      <c r="B1031" s="29">
        <f t="shared" si="53"/>
        <v>3117461024.9746637</v>
      </c>
      <c r="C1031" s="39">
        <f t="shared" si="54"/>
        <v>3670800000</v>
      </c>
      <c r="D1031" s="76">
        <f t="shared" si="55"/>
        <v>553338975.02533627</v>
      </c>
    </row>
    <row r="1032" spans="1:4" x14ac:dyDescent="0.3">
      <c r="A1032">
        <v>483500</v>
      </c>
      <c r="B1032" s="29">
        <f t="shared" si="53"/>
        <v>3120655532.6653237</v>
      </c>
      <c r="C1032" s="39">
        <f t="shared" si="54"/>
        <v>3674600000</v>
      </c>
      <c r="D1032" s="76">
        <f t="shared" si="55"/>
        <v>553944467.33467627</v>
      </c>
    </row>
    <row r="1033" spans="1:4" x14ac:dyDescent="0.3">
      <c r="A1033">
        <v>484000</v>
      </c>
      <c r="B1033" s="29">
        <f t="shared" si="53"/>
        <v>3123850040.3559837</v>
      </c>
      <c r="C1033" s="39">
        <f t="shared" si="54"/>
        <v>3678400000</v>
      </c>
      <c r="D1033" s="76">
        <f t="shared" si="55"/>
        <v>554549959.64401627</v>
      </c>
    </row>
    <row r="1034" spans="1:4" x14ac:dyDescent="0.3">
      <c r="A1034">
        <v>484500</v>
      </c>
      <c r="B1034" s="29">
        <f t="shared" si="53"/>
        <v>3127044548.0466437</v>
      </c>
      <c r="C1034" s="39">
        <f t="shared" si="54"/>
        <v>3682200000</v>
      </c>
      <c r="D1034" s="76">
        <f t="shared" si="55"/>
        <v>555155451.95335627</v>
      </c>
    </row>
    <row r="1035" spans="1:4" x14ac:dyDescent="0.3">
      <c r="A1035">
        <v>485000</v>
      </c>
      <c r="B1035" s="29">
        <f t="shared" si="53"/>
        <v>3130239055.7373037</v>
      </c>
      <c r="C1035" s="39">
        <f t="shared" si="54"/>
        <v>3686000000</v>
      </c>
      <c r="D1035" s="76">
        <f t="shared" si="55"/>
        <v>555760944.26269627</v>
      </c>
    </row>
    <row r="1036" spans="1:4" x14ac:dyDescent="0.3">
      <c r="A1036">
        <v>485500</v>
      </c>
      <c r="B1036" s="29">
        <f t="shared" si="53"/>
        <v>3133433563.4279637</v>
      </c>
      <c r="C1036" s="39">
        <f t="shared" si="54"/>
        <v>3689800000</v>
      </c>
      <c r="D1036" s="76">
        <f t="shared" si="55"/>
        <v>556366436.57203627</v>
      </c>
    </row>
    <row r="1037" spans="1:4" x14ac:dyDescent="0.3">
      <c r="A1037">
        <v>486000</v>
      </c>
      <c r="B1037" s="29">
        <f t="shared" si="53"/>
        <v>3136628071.1186237</v>
      </c>
      <c r="C1037" s="39">
        <f t="shared" si="54"/>
        <v>3693600000</v>
      </c>
      <c r="D1037" s="76">
        <f t="shared" si="55"/>
        <v>556971928.88137627</v>
      </c>
    </row>
    <row r="1038" spans="1:4" x14ac:dyDescent="0.3">
      <c r="A1038">
        <v>486500</v>
      </c>
      <c r="B1038" s="29">
        <f t="shared" si="53"/>
        <v>3139822578.8092837</v>
      </c>
      <c r="C1038" s="39">
        <f t="shared" si="54"/>
        <v>3697400000</v>
      </c>
      <c r="D1038" s="76">
        <f t="shared" si="55"/>
        <v>557577421.19071627</v>
      </c>
    </row>
    <row r="1039" spans="1:4" x14ac:dyDescent="0.3">
      <c r="A1039">
        <v>487000</v>
      </c>
      <c r="B1039" s="29">
        <f t="shared" si="53"/>
        <v>3143017086.4999437</v>
      </c>
      <c r="C1039" s="39">
        <f t="shared" si="54"/>
        <v>3701200000</v>
      </c>
      <c r="D1039" s="76">
        <f t="shared" si="55"/>
        <v>558182913.50005627</v>
      </c>
    </row>
    <row r="1040" spans="1:4" x14ac:dyDescent="0.3">
      <c r="A1040">
        <v>487500</v>
      </c>
      <c r="B1040" s="29">
        <f t="shared" si="53"/>
        <v>3146211594.1906037</v>
      </c>
      <c r="C1040" s="39">
        <f t="shared" si="54"/>
        <v>3705000000</v>
      </c>
      <c r="D1040" s="76">
        <f t="shared" si="55"/>
        <v>558788405.80939627</v>
      </c>
    </row>
    <row r="1041" spans="1:4" x14ac:dyDescent="0.3">
      <c r="A1041">
        <v>488000</v>
      </c>
      <c r="B1041" s="29">
        <f t="shared" si="53"/>
        <v>3149406101.8812637</v>
      </c>
      <c r="C1041" s="39">
        <f t="shared" si="54"/>
        <v>3708800000</v>
      </c>
      <c r="D1041" s="76">
        <f t="shared" si="55"/>
        <v>559393898.11873627</v>
      </c>
    </row>
    <row r="1042" spans="1:4" x14ac:dyDescent="0.3">
      <c r="A1042">
        <v>488500</v>
      </c>
      <c r="B1042" s="29">
        <f t="shared" si="53"/>
        <v>3152600609.5719237</v>
      </c>
      <c r="C1042" s="39">
        <f t="shared" si="54"/>
        <v>3712600000</v>
      </c>
      <c r="D1042" s="76">
        <f t="shared" si="55"/>
        <v>559999390.42807627</v>
      </c>
    </row>
    <row r="1043" spans="1:4" x14ac:dyDescent="0.3">
      <c r="A1043">
        <v>489000</v>
      </c>
      <c r="B1043" s="29">
        <f t="shared" si="53"/>
        <v>3155795117.2625837</v>
      </c>
      <c r="C1043" s="39">
        <f t="shared" si="54"/>
        <v>3716400000</v>
      </c>
      <c r="D1043" s="76">
        <f t="shared" si="55"/>
        <v>560604882.73741627</v>
      </c>
    </row>
    <row r="1044" spans="1:4" x14ac:dyDescent="0.3">
      <c r="A1044">
        <v>489500</v>
      </c>
      <c r="B1044" s="29">
        <f t="shared" si="53"/>
        <v>3158989624.9532437</v>
      </c>
      <c r="C1044" s="39">
        <f t="shared" si="54"/>
        <v>3720200000</v>
      </c>
      <c r="D1044" s="76">
        <f t="shared" si="55"/>
        <v>561210375.04675627</v>
      </c>
    </row>
    <row r="1045" spans="1:4" x14ac:dyDescent="0.3">
      <c r="A1045">
        <v>490000</v>
      </c>
      <c r="B1045" s="29">
        <f t="shared" si="53"/>
        <v>3162184132.6439037</v>
      </c>
      <c r="C1045" s="39">
        <f t="shared" si="54"/>
        <v>3724000000</v>
      </c>
      <c r="D1045" s="76">
        <f t="shared" si="55"/>
        <v>561815867.35609627</v>
      </c>
    </row>
    <row r="1046" spans="1:4" x14ac:dyDescent="0.3">
      <c r="A1046">
        <v>490500</v>
      </c>
      <c r="B1046" s="29">
        <f t="shared" si="53"/>
        <v>3165378640.3345637</v>
      </c>
      <c r="C1046" s="39">
        <f t="shared" si="54"/>
        <v>3727800000</v>
      </c>
      <c r="D1046" s="76">
        <f t="shared" si="55"/>
        <v>562421359.66543627</v>
      </c>
    </row>
    <row r="1047" spans="1:4" x14ac:dyDescent="0.3">
      <c r="A1047">
        <v>491000</v>
      </c>
      <c r="B1047" s="29">
        <f t="shared" si="53"/>
        <v>3168573148.0252237</v>
      </c>
      <c r="C1047" s="39">
        <f t="shared" si="54"/>
        <v>3731600000</v>
      </c>
      <c r="D1047" s="76">
        <f t="shared" si="55"/>
        <v>563026851.97477627</v>
      </c>
    </row>
    <row r="1048" spans="1:4" x14ac:dyDescent="0.3">
      <c r="A1048">
        <v>491500</v>
      </c>
      <c r="B1048" s="29">
        <f t="shared" si="53"/>
        <v>3171767655.7158837</v>
      </c>
      <c r="C1048" s="39">
        <f t="shared" si="54"/>
        <v>3735400000</v>
      </c>
      <c r="D1048" s="76">
        <f t="shared" si="55"/>
        <v>563632344.28411627</v>
      </c>
    </row>
    <row r="1049" spans="1:4" x14ac:dyDescent="0.3">
      <c r="A1049">
        <v>492000</v>
      </c>
      <c r="B1049" s="29">
        <f t="shared" si="53"/>
        <v>3174962163.4065437</v>
      </c>
      <c r="C1049" s="39">
        <f t="shared" si="54"/>
        <v>3739200000</v>
      </c>
      <c r="D1049" s="76">
        <f t="shared" si="55"/>
        <v>564237836.59345627</v>
      </c>
    </row>
    <row r="1050" spans="1:4" x14ac:dyDescent="0.3">
      <c r="A1050">
        <v>492500</v>
      </c>
      <c r="B1050" s="29">
        <f t="shared" si="53"/>
        <v>3178156671.0972037</v>
      </c>
      <c r="C1050" s="39">
        <f t="shared" si="54"/>
        <v>3743000000</v>
      </c>
      <c r="D1050" s="76">
        <f t="shared" si="55"/>
        <v>564843328.90279627</v>
      </c>
    </row>
    <row r="1051" spans="1:4" x14ac:dyDescent="0.3">
      <c r="A1051">
        <v>493000</v>
      </c>
      <c r="B1051" s="29">
        <f t="shared" si="53"/>
        <v>3181351178.7878637</v>
      </c>
      <c r="C1051" s="39">
        <f t="shared" si="54"/>
        <v>3746800000</v>
      </c>
      <c r="D1051" s="76">
        <f t="shared" si="55"/>
        <v>565448821.21213627</v>
      </c>
    </row>
    <row r="1052" spans="1:4" x14ac:dyDescent="0.3">
      <c r="A1052">
        <v>493500</v>
      </c>
      <c r="B1052" s="29">
        <f t="shared" si="53"/>
        <v>3184545686.4785237</v>
      </c>
      <c r="C1052" s="39">
        <f t="shared" si="54"/>
        <v>3750600000</v>
      </c>
      <c r="D1052" s="76">
        <f t="shared" si="55"/>
        <v>566054313.52147627</v>
      </c>
    </row>
    <row r="1053" spans="1:4" x14ac:dyDescent="0.3">
      <c r="A1053">
        <v>494000</v>
      </c>
      <c r="B1053" s="29">
        <f t="shared" si="53"/>
        <v>3187740194.1691837</v>
      </c>
      <c r="C1053" s="39">
        <f t="shared" si="54"/>
        <v>3754400000</v>
      </c>
      <c r="D1053" s="76">
        <f t="shared" si="55"/>
        <v>566659805.83081627</v>
      </c>
    </row>
    <row r="1054" spans="1:4" x14ac:dyDescent="0.3">
      <c r="A1054">
        <v>494500</v>
      </c>
      <c r="B1054" s="29">
        <f t="shared" si="53"/>
        <v>3190934701.8598437</v>
      </c>
      <c r="C1054" s="39">
        <f t="shared" si="54"/>
        <v>3758200000</v>
      </c>
      <c r="D1054" s="76">
        <f t="shared" si="55"/>
        <v>567265298.14015627</v>
      </c>
    </row>
    <row r="1055" spans="1:4" x14ac:dyDescent="0.3">
      <c r="A1055">
        <v>495000</v>
      </c>
      <c r="B1055" s="29">
        <f t="shared" si="53"/>
        <v>3194129209.5505037</v>
      </c>
      <c r="C1055" s="39">
        <f t="shared" si="54"/>
        <v>3762000000</v>
      </c>
      <c r="D1055" s="76">
        <f t="shared" si="55"/>
        <v>567870790.44949627</v>
      </c>
    </row>
    <row r="1056" spans="1:4" x14ac:dyDescent="0.3">
      <c r="A1056">
        <v>495500</v>
      </c>
      <c r="B1056" s="29">
        <f t="shared" si="53"/>
        <v>3197323717.2411637</v>
      </c>
      <c r="C1056" s="39">
        <f t="shared" si="54"/>
        <v>3765800000</v>
      </c>
      <c r="D1056" s="76">
        <f t="shared" si="55"/>
        <v>568476282.75883627</v>
      </c>
    </row>
    <row r="1057" spans="1:4" x14ac:dyDescent="0.3">
      <c r="A1057">
        <v>496000</v>
      </c>
      <c r="B1057" s="29">
        <f t="shared" si="53"/>
        <v>3200518224.9318237</v>
      </c>
      <c r="C1057" s="39">
        <f t="shared" si="54"/>
        <v>3769600000</v>
      </c>
      <c r="D1057" s="76">
        <f t="shared" si="55"/>
        <v>569081775.06817627</v>
      </c>
    </row>
    <row r="1058" spans="1:4" x14ac:dyDescent="0.3">
      <c r="A1058">
        <v>496500</v>
      </c>
      <c r="B1058" s="29">
        <f t="shared" si="53"/>
        <v>3203712732.6224837</v>
      </c>
      <c r="C1058" s="39">
        <f t="shared" si="54"/>
        <v>3773400000</v>
      </c>
      <c r="D1058" s="76">
        <f t="shared" si="55"/>
        <v>569687267.37751627</v>
      </c>
    </row>
    <row r="1059" spans="1:4" x14ac:dyDescent="0.3">
      <c r="A1059">
        <v>497000</v>
      </c>
      <c r="B1059" s="29">
        <f t="shared" si="53"/>
        <v>3206907240.3131437</v>
      </c>
      <c r="C1059" s="39">
        <f t="shared" si="54"/>
        <v>3777200000</v>
      </c>
      <c r="D1059" s="76">
        <f t="shared" si="55"/>
        <v>570292759.68685627</v>
      </c>
    </row>
    <row r="1060" spans="1:4" x14ac:dyDescent="0.3">
      <c r="A1060">
        <v>497500</v>
      </c>
      <c r="B1060" s="29">
        <f t="shared" si="53"/>
        <v>3210101748.0038037</v>
      </c>
      <c r="C1060" s="39">
        <f t="shared" si="54"/>
        <v>3781000000</v>
      </c>
      <c r="D1060" s="76">
        <f t="shared" si="55"/>
        <v>570898251.99619627</v>
      </c>
    </row>
    <row r="1061" spans="1:4" x14ac:dyDescent="0.3">
      <c r="A1061">
        <v>498000</v>
      </c>
      <c r="B1061" s="29">
        <f t="shared" si="53"/>
        <v>3213296255.6944637</v>
      </c>
      <c r="C1061" s="39">
        <f t="shared" si="54"/>
        <v>3784800000</v>
      </c>
      <c r="D1061" s="76">
        <f t="shared" si="55"/>
        <v>571503744.30553627</v>
      </c>
    </row>
    <row r="1062" spans="1:4" x14ac:dyDescent="0.3">
      <c r="A1062">
        <v>498500</v>
      </c>
      <c r="B1062" s="29">
        <f t="shared" si="53"/>
        <v>3216490763.3851237</v>
      </c>
      <c r="C1062" s="39">
        <f t="shared" si="54"/>
        <v>3788600000</v>
      </c>
      <c r="D1062" s="76">
        <f t="shared" si="55"/>
        <v>572109236.61487627</v>
      </c>
    </row>
    <row r="1063" spans="1:4" x14ac:dyDescent="0.3">
      <c r="A1063">
        <v>499000</v>
      </c>
      <c r="B1063" s="29">
        <f t="shared" si="53"/>
        <v>3219685271.0757837</v>
      </c>
      <c r="C1063" s="39">
        <f t="shared" si="54"/>
        <v>3792400000</v>
      </c>
      <c r="D1063" s="76">
        <f t="shared" si="55"/>
        <v>572714728.92421627</v>
      </c>
    </row>
    <row r="1064" spans="1:4" x14ac:dyDescent="0.3">
      <c r="A1064">
        <v>499500</v>
      </c>
      <c r="B1064" s="29">
        <f t="shared" si="53"/>
        <v>3222879778.7664437</v>
      </c>
      <c r="C1064" s="39">
        <f t="shared" si="54"/>
        <v>3796200000</v>
      </c>
      <c r="D1064" s="76">
        <f t="shared" si="55"/>
        <v>573320221.23355627</v>
      </c>
    </row>
    <row r="1065" spans="1:4" x14ac:dyDescent="0.3">
      <c r="A1065">
        <v>500000</v>
      </c>
      <c r="B1065" s="29">
        <f t="shared" si="53"/>
        <v>3226074286.4571037</v>
      </c>
      <c r="C1065" s="39">
        <f t="shared" si="54"/>
        <v>3800000000</v>
      </c>
      <c r="D1065" s="76">
        <f t="shared" si="55"/>
        <v>573925713.54289627</v>
      </c>
    </row>
    <row r="1066" spans="1:4" x14ac:dyDescent="0.3">
      <c r="A1066">
        <v>500500</v>
      </c>
      <c r="B1066" s="29">
        <f t="shared" si="53"/>
        <v>3229268794.1477637</v>
      </c>
      <c r="C1066" s="39">
        <f t="shared" si="54"/>
        <v>3803800000</v>
      </c>
      <c r="D1066" s="76">
        <f t="shared" si="55"/>
        <v>574531205.85223627</v>
      </c>
    </row>
    <row r="1067" spans="1:4" x14ac:dyDescent="0.3">
      <c r="A1067">
        <v>501000</v>
      </c>
      <c r="B1067" s="29">
        <f t="shared" si="53"/>
        <v>3232463301.8384237</v>
      </c>
      <c r="C1067" s="39">
        <f t="shared" si="54"/>
        <v>3807600000</v>
      </c>
      <c r="D1067" s="76">
        <f t="shared" si="55"/>
        <v>575136698.16157627</v>
      </c>
    </row>
    <row r="1068" spans="1:4" x14ac:dyDescent="0.3">
      <c r="A1068">
        <v>501500</v>
      </c>
      <c r="B1068" s="29">
        <f t="shared" si="53"/>
        <v>3235657809.5290837</v>
      </c>
      <c r="C1068" s="39">
        <f t="shared" si="54"/>
        <v>3811400000</v>
      </c>
      <c r="D1068" s="76">
        <f t="shared" si="55"/>
        <v>575742190.47091627</v>
      </c>
    </row>
    <row r="1069" spans="1:4" x14ac:dyDescent="0.3">
      <c r="A1069">
        <v>502000</v>
      </c>
      <c r="B1069" s="29">
        <f t="shared" si="53"/>
        <v>3238852317.2197437</v>
      </c>
      <c r="C1069" s="39">
        <f t="shared" si="54"/>
        <v>3815200000</v>
      </c>
      <c r="D1069" s="76">
        <f t="shared" si="55"/>
        <v>576347682.78025627</v>
      </c>
    </row>
    <row r="1070" spans="1:4" x14ac:dyDescent="0.3">
      <c r="A1070">
        <v>502500</v>
      </c>
      <c r="B1070" s="29">
        <f t="shared" si="53"/>
        <v>3242046824.9104037</v>
      </c>
      <c r="C1070" s="39">
        <f t="shared" si="54"/>
        <v>3819000000</v>
      </c>
      <c r="D1070" s="76">
        <f t="shared" si="55"/>
        <v>576953175.08959627</v>
      </c>
    </row>
    <row r="1071" spans="1:4" x14ac:dyDescent="0.3">
      <c r="A1071">
        <v>503000</v>
      </c>
      <c r="B1071" s="29">
        <f t="shared" si="53"/>
        <v>3245241332.6010637</v>
      </c>
      <c r="C1071" s="39">
        <f t="shared" si="54"/>
        <v>3822800000</v>
      </c>
      <c r="D1071" s="76">
        <f t="shared" si="55"/>
        <v>577558667.39893627</v>
      </c>
    </row>
    <row r="1072" spans="1:4" x14ac:dyDescent="0.3">
      <c r="A1072">
        <v>503500</v>
      </c>
      <c r="B1072" s="29">
        <f t="shared" si="53"/>
        <v>3248435840.2917237</v>
      </c>
      <c r="C1072" s="39">
        <f t="shared" si="54"/>
        <v>3826600000</v>
      </c>
      <c r="D1072" s="76">
        <f t="shared" si="55"/>
        <v>578164159.70827627</v>
      </c>
    </row>
    <row r="1073" spans="1:4" x14ac:dyDescent="0.3">
      <c r="A1073">
        <v>504000</v>
      </c>
      <c r="B1073" s="29">
        <f t="shared" si="53"/>
        <v>3251630347.9823837</v>
      </c>
      <c r="C1073" s="39">
        <f t="shared" si="54"/>
        <v>3830400000</v>
      </c>
      <c r="D1073" s="76">
        <f t="shared" si="55"/>
        <v>578769652.01761627</v>
      </c>
    </row>
    <row r="1074" spans="1:4" x14ac:dyDescent="0.3">
      <c r="A1074">
        <v>504500</v>
      </c>
      <c r="B1074" s="29">
        <f t="shared" si="53"/>
        <v>3254824855.6730437</v>
      </c>
      <c r="C1074" s="39">
        <f t="shared" si="54"/>
        <v>3834200000</v>
      </c>
      <c r="D1074" s="76">
        <f t="shared" si="55"/>
        <v>579375144.32695627</v>
      </c>
    </row>
    <row r="1075" spans="1:4" x14ac:dyDescent="0.3">
      <c r="A1075">
        <v>505000</v>
      </c>
      <c r="B1075" s="29">
        <f t="shared" si="53"/>
        <v>3258019363.3637037</v>
      </c>
      <c r="C1075" s="39">
        <f t="shared" si="54"/>
        <v>3838000000</v>
      </c>
      <c r="D1075" s="76">
        <f t="shared" si="55"/>
        <v>579980636.63629627</v>
      </c>
    </row>
    <row r="1076" spans="1:4" x14ac:dyDescent="0.3">
      <c r="A1076">
        <v>505500</v>
      </c>
      <c r="B1076" s="29">
        <f t="shared" si="53"/>
        <v>3261213871.0543637</v>
      </c>
      <c r="C1076" s="39">
        <f t="shared" si="54"/>
        <v>3841800000</v>
      </c>
      <c r="D1076" s="76">
        <f t="shared" si="55"/>
        <v>580586128.94563627</v>
      </c>
    </row>
    <row r="1077" spans="1:4" x14ac:dyDescent="0.3">
      <c r="A1077">
        <v>506000</v>
      </c>
      <c r="B1077" s="29">
        <f t="shared" si="53"/>
        <v>3264408378.7450237</v>
      </c>
      <c r="C1077" s="39">
        <f t="shared" si="54"/>
        <v>3845600000</v>
      </c>
      <c r="D1077" s="76">
        <f t="shared" si="55"/>
        <v>581191621.25497627</v>
      </c>
    </row>
    <row r="1078" spans="1:4" x14ac:dyDescent="0.3">
      <c r="A1078">
        <v>506500</v>
      </c>
      <c r="B1078" s="29">
        <f t="shared" si="53"/>
        <v>3267602886.4356837</v>
      </c>
      <c r="C1078" s="39">
        <f t="shared" si="54"/>
        <v>3849400000</v>
      </c>
      <c r="D1078" s="76">
        <f t="shared" si="55"/>
        <v>581797113.56431627</v>
      </c>
    </row>
    <row r="1079" spans="1:4" x14ac:dyDescent="0.3">
      <c r="A1079">
        <v>507000</v>
      </c>
      <c r="B1079" s="29">
        <f t="shared" si="53"/>
        <v>3270797394.1263437</v>
      </c>
      <c r="C1079" s="39">
        <f t="shared" si="54"/>
        <v>3853200000</v>
      </c>
      <c r="D1079" s="76">
        <f t="shared" si="55"/>
        <v>582402605.87365627</v>
      </c>
    </row>
    <row r="1080" spans="1:4" x14ac:dyDescent="0.3">
      <c r="A1080">
        <v>507500</v>
      </c>
      <c r="B1080" s="29">
        <f t="shared" si="53"/>
        <v>3273991901.8170037</v>
      </c>
      <c r="C1080" s="39">
        <f t="shared" si="54"/>
        <v>3857000000</v>
      </c>
      <c r="D1080" s="76">
        <f t="shared" si="55"/>
        <v>583008098.18299627</v>
      </c>
    </row>
    <row r="1081" spans="1:4" x14ac:dyDescent="0.3">
      <c r="A1081">
        <v>508000</v>
      </c>
      <c r="B1081" s="29">
        <f t="shared" si="53"/>
        <v>3277186409.5076637</v>
      </c>
      <c r="C1081" s="39">
        <f t="shared" si="54"/>
        <v>3860800000</v>
      </c>
      <c r="D1081" s="76">
        <f t="shared" si="55"/>
        <v>583613590.49233627</v>
      </c>
    </row>
    <row r="1082" spans="1:4" x14ac:dyDescent="0.3">
      <c r="A1082">
        <v>508500</v>
      </c>
      <c r="B1082" s="29">
        <f t="shared" si="53"/>
        <v>3280380917.1983237</v>
      </c>
      <c r="C1082" s="39">
        <f t="shared" si="54"/>
        <v>3864600000</v>
      </c>
      <c r="D1082" s="76">
        <f t="shared" si="55"/>
        <v>584219082.80167627</v>
      </c>
    </row>
    <row r="1083" spans="1:4" x14ac:dyDescent="0.3">
      <c r="A1083">
        <v>509000</v>
      </c>
      <c r="B1083" s="29">
        <f t="shared" si="53"/>
        <v>3283575424.8889837</v>
      </c>
      <c r="C1083" s="39">
        <f t="shared" si="54"/>
        <v>3868400000</v>
      </c>
      <c r="D1083" s="76">
        <f t="shared" si="55"/>
        <v>584824575.11101627</v>
      </c>
    </row>
    <row r="1084" spans="1:4" x14ac:dyDescent="0.3">
      <c r="A1084">
        <v>509500</v>
      </c>
      <c r="B1084" s="29">
        <f t="shared" si="53"/>
        <v>3286769932.5796437</v>
      </c>
      <c r="C1084" s="39">
        <f t="shared" si="54"/>
        <v>3872200000</v>
      </c>
      <c r="D1084" s="76">
        <f t="shared" si="55"/>
        <v>585430067.42035627</v>
      </c>
    </row>
    <row r="1085" spans="1:4" x14ac:dyDescent="0.3">
      <c r="A1085">
        <v>510000</v>
      </c>
      <c r="B1085" s="29">
        <f t="shared" si="53"/>
        <v>3289964440.2703037</v>
      </c>
      <c r="C1085" s="39">
        <f t="shared" si="54"/>
        <v>3876000000</v>
      </c>
      <c r="D1085" s="76">
        <f t="shared" si="55"/>
        <v>586035559.72969627</v>
      </c>
    </row>
    <row r="1086" spans="1:4" x14ac:dyDescent="0.3">
      <c r="A1086">
        <v>510500</v>
      </c>
      <c r="B1086" s="29">
        <f t="shared" si="53"/>
        <v>3293158947.9609637</v>
      </c>
      <c r="C1086" s="39">
        <f t="shared" si="54"/>
        <v>3879800000</v>
      </c>
      <c r="D1086" s="76">
        <f t="shared" si="55"/>
        <v>586641052.03903627</v>
      </c>
    </row>
    <row r="1087" spans="1:4" x14ac:dyDescent="0.3">
      <c r="A1087">
        <v>511000</v>
      </c>
      <c r="B1087" s="29">
        <f t="shared" si="53"/>
        <v>3296353455.6516237</v>
      </c>
      <c r="C1087" s="39">
        <f t="shared" si="54"/>
        <v>3883600000</v>
      </c>
      <c r="D1087" s="76">
        <f t="shared" si="55"/>
        <v>587246544.34837627</v>
      </c>
    </row>
    <row r="1088" spans="1:4" x14ac:dyDescent="0.3">
      <c r="A1088">
        <v>511500</v>
      </c>
      <c r="B1088" s="29">
        <f t="shared" si="53"/>
        <v>3299547963.3422837</v>
      </c>
      <c r="C1088" s="39">
        <f t="shared" si="54"/>
        <v>3887400000</v>
      </c>
      <c r="D1088" s="76">
        <f t="shared" si="55"/>
        <v>587852036.65771627</v>
      </c>
    </row>
    <row r="1089" spans="1:4" x14ac:dyDescent="0.3">
      <c r="A1089">
        <v>512000</v>
      </c>
      <c r="B1089" s="29">
        <f t="shared" si="53"/>
        <v>3302742471.0329437</v>
      </c>
      <c r="C1089" s="39">
        <f t="shared" si="54"/>
        <v>3891200000</v>
      </c>
      <c r="D1089" s="76">
        <f t="shared" si="55"/>
        <v>588457528.96705627</v>
      </c>
    </row>
    <row r="1090" spans="1:4" x14ac:dyDescent="0.3">
      <c r="A1090">
        <v>512500</v>
      </c>
      <c r="B1090" s="29">
        <f t="shared" ref="B1090:B1153" si="56">$B$54+($B$60*A1090)</f>
        <v>3305936978.7236037</v>
      </c>
      <c r="C1090" s="39">
        <f t="shared" ref="C1090:C1153" si="57">$E$50*A1090</f>
        <v>3895000000</v>
      </c>
      <c r="D1090" s="76">
        <f t="shared" ref="D1090:D1153" si="58">C1090-B1090</f>
        <v>589063021.27639627</v>
      </c>
    </row>
    <row r="1091" spans="1:4" x14ac:dyDescent="0.3">
      <c r="A1091">
        <v>513000</v>
      </c>
      <c r="B1091" s="29">
        <f t="shared" si="56"/>
        <v>3309131486.4142637</v>
      </c>
      <c r="C1091" s="39">
        <f t="shared" si="57"/>
        <v>3898800000</v>
      </c>
      <c r="D1091" s="76">
        <f t="shared" si="58"/>
        <v>589668513.58573627</v>
      </c>
    </row>
    <row r="1092" spans="1:4" x14ac:dyDescent="0.3">
      <c r="A1092">
        <v>513500</v>
      </c>
      <c r="B1092" s="29">
        <f t="shared" si="56"/>
        <v>3312325994.1049237</v>
      </c>
      <c r="C1092" s="39">
        <f t="shared" si="57"/>
        <v>3902600000</v>
      </c>
      <c r="D1092" s="76">
        <f t="shared" si="58"/>
        <v>590274005.89507627</v>
      </c>
    </row>
    <row r="1093" spans="1:4" x14ac:dyDescent="0.3">
      <c r="A1093">
        <v>514000</v>
      </c>
      <c r="B1093" s="29">
        <f t="shared" si="56"/>
        <v>3315520501.7955837</v>
      </c>
      <c r="C1093" s="39">
        <f t="shared" si="57"/>
        <v>3906400000</v>
      </c>
      <c r="D1093" s="76">
        <f t="shared" si="58"/>
        <v>590879498.20441628</v>
      </c>
    </row>
    <row r="1094" spans="1:4" x14ac:dyDescent="0.3">
      <c r="A1094">
        <v>514500</v>
      </c>
      <c r="B1094" s="29">
        <f t="shared" si="56"/>
        <v>3318715009.4862437</v>
      </c>
      <c r="C1094" s="39">
        <f t="shared" si="57"/>
        <v>3910200000</v>
      </c>
      <c r="D1094" s="76">
        <f t="shared" si="58"/>
        <v>591484990.51375628</v>
      </c>
    </row>
    <row r="1095" spans="1:4" x14ac:dyDescent="0.3">
      <c r="A1095">
        <v>515000</v>
      </c>
      <c r="B1095" s="29">
        <f t="shared" si="56"/>
        <v>3321909517.1769037</v>
      </c>
      <c r="C1095" s="39">
        <f t="shared" si="57"/>
        <v>3914000000</v>
      </c>
      <c r="D1095" s="76">
        <f t="shared" si="58"/>
        <v>592090482.82309628</v>
      </c>
    </row>
    <row r="1096" spans="1:4" x14ac:dyDescent="0.3">
      <c r="A1096">
        <v>515500</v>
      </c>
      <c r="B1096" s="29">
        <f t="shared" si="56"/>
        <v>3325104024.8675637</v>
      </c>
      <c r="C1096" s="39">
        <f t="shared" si="57"/>
        <v>3917800000</v>
      </c>
      <c r="D1096" s="76">
        <f t="shared" si="58"/>
        <v>592695975.13243628</v>
      </c>
    </row>
    <row r="1097" spans="1:4" x14ac:dyDescent="0.3">
      <c r="A1097">
        <v>516000</v>
      </c>
      <c r="B1097" s="29">
        <f t="shared" si="56"/>
        <v>3328298532.5582237</v>
      </c>
      <c r="C1097" s="39">
        <f t="shared" si="57"/>
        <v>3921600000</v>
      </c>
      <c r="D1097" s="76">
        <f t="shared" si="58"/>
        <v>593301467.44177628</v>
      </c>
    </row>
    <row r="1098" spans="1:4" x14ac:dyDescent="0.3">
      <c r="A1098">
        <v>516500</v>
      </c>
      <c r="B1098" s="29">
        <f t="shared" si="56"/>
        <v>3331493040.2488837</v>
      </c>
      <c r="C1098" s="39">
        <f t="shared" si="57"/>
        <v>3925400000</v>
      </c>
      <c r="D1098" s="76">
        <f t="shared" si="58"/>
        <v>593906959.75111628</v>
      </c>
    </row>
    <row r="1099" spans="1:4" x14ac:dyDescent="0.3">
      <c r="A1099">
        <v>517000</v>
      </c>
      <c r="B1099" s="29">
        <f t="shared" si="56"/>
        <v>3334687547.9395437</v>
      </c>
      <c r="C1099" s="39">
        <f t="shared" si="57"/>
        <v>3929200000</v>
      </c>
      <c r="D1099" s="76">
        <f t="shared" si="58"/>
        <v>594512452.06045628</v>
      </c>
    </row>
    <row r="1100" spans="1:4" x14ac:dyDescent="0.3">
      <c r="A1100">
        <v>517500</v>
      </c>
      <c r="B1100" s="29">
        <f t="shared" si="56"/>
        <v>3337882055.6302037</v>
      </c>
      <c r="C1100" s="39">
        <f t="shared" si="57"/>
        <v>3933000000</v>
      </c>
      <c r="D1100" s="76">
        <f t="shared" si="58"/>
        <v>595117944.36979628</v>
      </c>
    </row>
    <row r="1101" spans="1:4" x14ac:dyDescent="0.3">
      <c r="A1101">
        <v>518000</v>
      </c>
      <c r="B1101" s="29">
        <f t="shared" si="56"/>
        <v>3341076563.3208637</v>
      </c>
      <c r="C1101" s="39">
        <f t="shared" si="57"/>
        <v>3936800000</v>
      </c>
      <c r="D1101" s="76">
        <f t="shared" si="58"/>
        <v>595723436.67913628</v>
      </c>
    </row>
    <row r="1102" spans="1:4" x14ac:dyDescent="0.3">
      <c r="A1102">
        <v>518500</v>
      </c>
      <c r="B1102" s="29">
        <f t="shared" si="56"/>
        <v>3344271071.0115237</v>
      </c>
      <c r="C1102" s="39">
        <f t="shared" si="57"/>
        <v>3940600000</v>
      </c>
      <c r="D1102" s="76">
        <f t="shared" si="58"/>
        <v>596328928.98847628</v>
      </c>
    </row>
    <row r="1103" spans="1:4" x14ac:dyDescent="0.3">
      <c r="A1103">
        <v>519000</v>
      </c>
      <c r="B1103" s="29">
        <f t="shared" si="56"/>
        <v>3347465578.7021837</v>
      </c>
      <c r="C1103" s="39">
        <f t="shared" si="57"/>
        <v>3944400000</v>
      </c>
      <c r="D1103" s="76">
        <f t="shared" si="58"/>
        <v>596934421.29781628</v>
      </c>
    </row>
    <row r="1104" spans="1:4" x14ac:dyDescent="0.3">
      <c r="A1104">
        <v>519500</v>
      </c>
      <c r="B1104" s="29">
        <f t="shared" si="56"/>
        <v>3350660086.3928437</v>
      </c>
      <c r="C1104" s="39">
        <f t="shared" si="57"/>
        <v>3948200000</v>
      </c>
      <c r="D1104" s="76">
        <f t="shared" si="58"/>
        <v>597539913.60715628</v>
      </c>
    </row>
    <row r="1105" spans="1:4" x14ac:dyDescent="0.3">
      <c r="A1105">
        <v>520000</v>
      </c>
      <c r="B1105" s="29">
        <f t="shared" si="56"/>
        <v>3353854594.0835037</v>
      </c>
      <c r="C1105" s="39">
        <f t="shared" si="57"/>
        <v>3952000000</v>
      </c>
      <c r="D1105" s="76">
        <f t="shared" si="58"/>
        <v>598145405.91649628</v>
      </c>
    </row>
    <row r="1106" spans="1:4" x14ac:dyDescent="0.3">
      <c r="A1106">
        <v>520500</v>
      </c>
      <c r="B1106" s="29">
        <f t="shared" si="56"/>
        <v>3357049101.7741637</v>
      </c>
      <c r="C1106" s="39">
        <f t="shared" si="57"/>
        <v>3955800000</v>
      </c>
      <c r="D1106" s="76">
        <f t="shared" si="58"/>
        <v>598750898.22583628</v>
      </c>
    </row>
    <row r="1107" spans="1:4" x14ac:dyDescent="0.3">
      <c r="A1107">
        <v>521000</v>
      </c>
      <c r="B1107" s="29">
        <f t="shared" si="56"/>
        <v>3360243609.4648237</v>
      </c>
      <c r="C1107" s="39">
        <f t="shared" si="57"/>
        <v>3959600000</v>
      </c>
      <c r="D1107" s="76">
        <f t="shared" si="58"/>
        <v>599356390.53517628</v>
      </c>
    </row>
    <row r="1108" spans="1:4" x14ac:dyDescent="0.3">
      <c r="A1108">
        <v>521500</v>
      </c>
      <c r="B1108" s="29">
        <f t="shared" si="56"/>
        <v>3363438117.1554837</v>
      </c>
      <c r="C1108" s="39">
        <f t="shared" si="57"/>
        <v>3963400000</v>
      </c>
      <c r="D1108" s="76">
        <f t="shared" si="58"/>
        <v>599961882.84451628</v>
      </c>
    </row>
    <row r="1109" spans="1:4" x14ac:dyDescent="0.3">
      <c r="A1109">
        <v>522000</v>
      </c>
      <c r="B1109" s="29">
        <f t="shared" si="56"/>
        <v>3366632624.8461437</v>
      </c>
      <c r="C1109" s="39">
        <f t="shared" si="57"/>
        <v>3967200000</v>
      </c>
      <c r="D1109" s="76">
        <f t="shared" si="58"/>
        <v>600567375.15385628</v>
      </c>
    </row>
    <row r="1110" spans="1:4" x14ac:dyDescent="0.3">
      <c r="A1110">
        <v>522500</v>
      </c>
      <c r="B1110" s="29">
        <f t="shared" si="56"/>
        <v>3369827132.5368037</v>
      </c>
      <c r="C1110" s="39">
        <f t="shared" si="57"/>
        <v>3971000000</v>
      </c>
      <c r="D1110" s="76">
        <f t="shared" si="58"/>
        <v>601172867.46319628</v>
      </c>
    </row>
    <row r="1111" spans="1:4" x14ac:dyDescent="0.3">
      <c r="A1111">
        <v>523000</v>
      </c>
      <c r="B1111" s="29">
        <f t="shared" si="56"/>
        <v>3373021640.2274637</v>
      </c>
      <c r="C1111" s="39">
        <f t="shared" si="57"/>
        <v>3974800000</v>
      </c>
      <c r="D1111" s="76">
        <f t="shared" si="58"/>
        <v>601778359.77253628</v>
      </c>
    </row>
    <row r="1112" spans="1:4" x14ac:dyDescent="0.3">
      <c r="A1112">
        <v>523500</v>
      </c>
      <c r="B1112" s="29">
        <f t="shared" si="56"/>
        <v>3376216147.9181237</v>
      </c>
      <c r="C1112" s="39">
        <f t="shared" si="57"/>
        <v>3978600000</v>
      </c>
      <c r="D1112" s="76">
        <f t="shared" si="58"/>
        <v>602383852.08187628</v>
      </c>
    </row>
    <row r="1113" spans="1:4" x14ac:dyDescent="0.3">
      <c r="A1113">
        <v>524000</v>
      </c>
      <c r="B1113" s="29">
        <f t="shared" si="56"/>
        <v>3379410655.6087837</v>
      </c>
      <c r="C1113" s="39">
        <f t="shared" si="57"/>
        <v>3982400000</v>
      </c>
      <c r="D1113" s="76">
        <f t="shared" si="58"/>
        <v>602989344.39121628</v>
      </c>
    </row>
    <row r="1114" spans="1:4" x14ac:dyDescent="0.3">
      <c r="A1114">
        <v>524500</v>
      </c>
      <c r="B1114" s="29">
        <f t="shared" si="56"/>
        <v>3382605163.2994437</v>
      </c>
      <c r="C1114" s="39">
        <f t="shared" si="57"/>
        <v>3986200000</v>
      </c>
      <c r="D1114" s="76">
        <f t="shared" si="58"/>
        <v>603594836.70055628</v>
      </c>
    </row>
    <row r="1115" spans="1:4" x14ac:dyDescent="0.3">
      <c r="A1115">
        <v>525000</v>
      </c>
      <c r="B1115" s="29">
        <f t="shared" si="56"/>
        <v>3385799670.9901037</v>
      </c>
      <c r="C1115" s="39">
        <f t="shared" si="57"/>
        <v>3990000000</v>
      </c>
      <c r="D1115" s="76">
        <f t="shared" si="58"/>
        <v>604200329.00989628</v>
      </c>
    </row>
    <row r="1116" spans="1:4" x14ac:dyDescent="0.3">
      <c r="A1116">
        <v>525500</v>
      </c>
      <c r="B1116" s="29">
        <f t="shared" si="56"/>
        <v>3388994178.6807637</v>
      </c>
      <c r="C1116" s="39">
        <f t="shared" si="57"/>
        <v>3993800000</v>
      </c>
      <c r="D1116" s="76">
        <f t="shared" si="58"/>
        <v>604805821.31923628</v>
      </c>
    </row>
    <row r="1117" spans="1:4" x14ac:dyDescent="0.3">
      <c r="A1117">
        <v>526000</v>
      </c>
      <c r="B1117" s="29">
        <f t="shared" si="56"/>
        <v>3392188686.3714237</v>
      </c>
      <c r="C1117" s="39">
        <f t="shared" si="57"/>
        <v>3997600000</v>
      </c>
      <c r="D1117" s="76">
        <f t="shared" si="58"/>
        <v>605411313.62857628</v>
      </c>
    </row>
    <row r="1118" spans="1:4" x14ac:dyDescent="0.3">
      <c r="A1118">
        <v>526500</v>
      </c>
      <c r="B1118" s="29">
        <f t="shared" si="56"/>
        <v>3395383194.0620837</v>
      </c>
      <c r="C1118" s="39">
        <f t="shared" si="57"/>
        <v>4001400000</v>
      </c>
      <c r="D1118" s="76">
        <f t="shared" si="58"/>
        <v>606016805.93791628</v>
      </c>
    </row>
    <row r="1119" spans="1:4" x14ac:dyDescent="0.3">
      <c r="A1119">
        <v>527000</v>
      </c>
      <c r="B1119" s="29">
        <f t="shared" si="56"/>
        <v>3398577701.7527437</v>
      </c>
      <c r="C1119" s="39">
        <f t="shared" si="57"/>
        <v>4005200000</v>
      </c>
      <c r="D1119" s="76">
        <f t="shared" si="58"/>
        <v>606622298.24725628</v>
      </c>
    </row>
    <row r="1120" spans="1:4" x14ac:dyDescent="0.3">
      <c r="A1120">
        <v>527500</v>
      </c>
      <c r="B1120" s="29">
        <f t="shared" si="56"/>
        <v>3401772209.4434037</v>
      </c>
      <c r="C1120" s="39">
        <f t="shared" si="57"/>
        <v>4009000000</v>
      </c>
      <c r="D1120" s="76">
        <f t="shared" si="58"/>
        <v>607227790.55659628</v>
      </c>
    </row>
    <row r="1121" spans="1:4" x14ac:dyDescent="0.3">
      <c r="A1121">
        <v>528000</v>
      </c>
      <c r="B1121" s="29">
        <f t="shared" si="56"/>
        <v>3404966717.1340637</v>
      </c>
      <c r="C1121" s="39">
        <f t="shared" si="57"/>
        <v>4012800000</v>
      </c>
      <c r="D1121" s="76">
        <f t="shared" si="58"/>
        <v>607833282.86593628</v>
      </c>
    </row>
    <row r="1122" spans="1:4" x14ac:dyDescent="0.3">
      <c r="A1122">
        <v>528500</v>
      </c>
      <c r="B1122" s="29">
        <f t="shared" si="56"/>
        <v>3408161224.8247237</v>
      </c>
      <c r="C1122" s="39">
        <f t="shared" si="57"/>
        <v>4016600000</v>
      </c>
      <c r="D1122" s="76">
        <f t="shared" si="58"/>
        <v>608438775.17527628</v>
      </c>
    </row>
    <row r="1123" spans="1:4" x14ac:dyDescent="0.3">
      <c r="A1123">
        <v>529000</v>
      </c>
      <c r="B1123" s="29">
        <f t="shared" si="56"/>
        <v>3411355732.5153837</v>
      </c>
      <c r="C1123" s="39">
        <f t="shared" si="57"/>
        <v>4020400000</v>
      </c>
      <c r="D1123" s="76">
        <f t="shared" si="58"/>
        <v>609044267.48461628</v>
      </c>
    </row>
    <row r="1124" spans="1:4" x14ac:dyDescent="0.3">
      <c r="A1124">
        <v>529500</v>
      </c>
      <c r="B1124" s="29">
        <f t="shared" si="56"/>
        <v>3414550240.2060437</v>
      </c>
      <c r="C1124" s="39">
        <f t="shared" si="57"/>
        <v>4024200000</v>
      </c>
      <c r="D1124" s="76">
        <f t="shared" si="58"/>
        <v>609649759.79395628</v>
      </c>
    </row>
    <row r="1125" spans="1:4" x14ac:dyDescent="0.3">
      <c r="A1125">
        <v>530000</v>
      </c>
      <c r="B1125" s="29">
        <f t="shared" si="56"/>
        <v>3417744747.8967037</v>
      </c>
      <c r="C1125" s="39">
        <f t="shared" si="57"/>
        <v>4028000000</v>
      </c>
      <c r="D1125" s="76">
        <f t="shared" si="58"/>
        <v>610255252.10329628</v>
      </c>
    </row>
    <row r="1126" spans="1:4" x14ac:dyDescent="0.3">
      <c r="A1126">
        <v>530500</v>
      </c>
      <c r="B1126" s="29">
        <f t="shared" si="56"/>
        <v>3420939255.5873637</v>
      </c>
      <c r="C1126" s="39">
        <f t="shared" si="57"/>
        <v>4031800000</v>
      </c>
      <c r="D1126" s="76">
        <f t="shared" si="58"/>
        <v>610860744.41263628</v>
      </c>
    </row>
    <row r="1127" spans="1:4" x14ac:dyDescent="0.3">
      <c r="A1127">
        <v>531000</v>
      </c>
      <c r="B1127" s="29">
        <f t="shared" si="56"/>
        <v>3424133763.2780237</v>
      </c>
      <c r="C1127" s="39">
        <f t="shared" si="57"/>
        <v>4035600000</v>
      </c>
      <c r="D1127" s="76">
        <f t="shared" si="58"/>
        <v>611466236.72197628</v>
      </c>
    </row>
    <row r="1128" spans="1:4" x14ac:dyDescent="0.3">
      <c r="A1128">
        <v>531500</v>
      </c>
      <c r="B1128" s="29">
        <f t="shared" si="56"/>
        <v>3427328270.9686837</v>
      </c>
      <c r="C1128" s="39">
        <f t="shared" si="57"/>
        <v>4039400000</v>
      </c>
      <c r="D1128" s="76">
        <f t="shared" si="58"/>
        <v>612071729.03131628</v>
      </c>
    </row>
    <row r="1129" spans="1:4" x14ac:dyDescent="0.3">
      <c r="A1129">
        <v>532000</v>
      </c>
      <c r="B1129" s="29">
        <f t="shared" si="56"/>
        <v>3430522778.6593437</v>
      </c>
      <c r="C1129" s="39">
        <f t="shared" si="57"/>
        <v>4043200000</v>
      </c>
      <c r="D1129" s="76">
        <f t="shared" si="58"/>
        <v>612677221.34065628</v>
      </c>
    </row>
    <row r="1130" spans="1:4" x14ac:dyDescent="0.3">
      <c r="A1130">
        <v>532500</v>
      </c>
      <c r="B1130" s="29">
        <f t="shared" si="56"/>
        <v>3433717286.3500037</v>
      </c>
      <c r="C1130" s="39">
        <f t="shared" si="57"/>
        <v>4047000000</v>
      </c>
      <c r="D1130" s="76">
        <f t="shared" si="58"/>
        <v>613282713.64999628</v>
      </c>
    </row>
    <row r="1131" spans="1:4" x14ac:dyDescent="0.3">
      <c r="A1131">
        <v>533000</v>
      </c>
      <c r="B1131" s="29">
        <f t="shared" si="56"/>
        <v>3436911794.0406637</v>
      </c>
      <c r="C1131" s="39">
        <f t="shared" si="57"/>
        <v>4050800000</v>
      </c>
      <c r="D1131" s="76">
        <f t="shared" si="58"/>
        <v>613888205.95933628</v>
      </c>
    </row>
    <row r="1132" spans="1:4" x14ac:dyDescent="0.3">
      <c r="A1132">
        <v>533500</v>
      </c>
      <c r="B1132" s="29">
        <f t="shared" si="56"/>
        <v>3440106301.7313237</v>
      </c>
      <c r="C1132" s="39">
        <f t="shared" si="57"/>
        <v>4054600000</v>
      </c>
      <c r="D1132" s="76">
        <f t="shared" si="58"/>
        <v>614493698.26867628</v>
      </c>
    </row>
    <row r="1133" spans="1:4" x14ac:dyDescent="0.3">
      <c r="A1133">
        <v>534000</v>
      </c>
      <c r="B1133" s="29">
        <f t="shared" si="56"/>
        <v>3443300809.4219837</v>
      </c>
      <c r="C1133" s="39">
        <f t="shared" si="57"/>
        <v>4058400000</v>
      </c>
      <c r="D1133" s="76">
        <f t="shared" si="58"/>
        <v>615099190.57801628</v>
      </c>
    </row>
    <row r="1134" spans="1:4" x14ac:dyDescent="0.3">
      <c r="A1134">
        <v>534500</v>
      </c>
      <c r="B1134" s="29">
        <f t="shared" si="56"/>
        <v>3446495317.1126437</v>
      </c>
      <c r="C1134" s="39">
        <f t="shared" si="57"/>
        <v>4062200000</v>
      </c>
      <c r="D1134" s="76">
        <f t="shared" si="58"/>
        <v>615704682.88735628</v>
      </c>
    </row>
    <row r="1135" spans="1:4" x14ac:dyDescent="0.3">
      <c r="A1135">
        <v>535000</v>
      </c>
      <c r="B1135" s="29">
        <f t="shared" si="56"/>
        <v>3449689824.8033037</v>
      </c>
      <c r="C1135" s="39">
        <f t="shared" si="57"/>
        <v>4066000000</v>
      </c>
      <c r="D1135" s="76">
        <f t="shared" si="58"/>
        <v>616310175.19669628</v>
      </c>
    </row>
    <row r="1136" spans="1:4" x14ac:dyDescent="0.3">
      <c r="A1136">
        <v>535500</v>
      </c>
      <c r="B1136" s="29">
        <f t="shared" si="56"/>
        <v>3452884332.4939637</v>
      </c>
      <c r="C1136" s="39">
        <f t="shared" si="57"/>
        <v>4069800000</v>
      </c>
      <c r="D1136" s="76">
        <f t="shared" si="58"/>
        <v>616915667.50603628</v>
      </c>
    </row>
    <row r="1137" spans="1:4" x14ac:dyDescent="0.3">
      <c r="A1137">
        <v>536000</v>
      </c>
      <c r="B1137" s="29">
        <f t="shared" si="56"/>
        <v>3456078840.1846237</v>
      </c>
      <c r="C1137" s="39">
        <f t="shared" si="57"/>
        <v>4073600000</v>
      </c>
      <c r="D1137" s="76">
        <f t="shared" si="58"/>
        <v>617521159.81537628</v>
      </c>
    </row>
    <row r="1138" spans="1:4" x14ac:dyDescent="0.3">
      <c r="A1138">
        <v>536500</v>
      </c>
      <c r="B1138" s="29">
        <f t="shared" si="56"/>
        <v>3459273347.8752837</v>
      </c>
      <c r="C1138" s="39">
        <f t="shared" si="57"/>
        <v>4077400000</v>
      </c>
      <c r="D1138" s="76">
        <f t="shared" si="58"/>
        <v>618126652.12471628</v>
      </c>
    </row>
    <row r="1139" spans="1:4" x14ac:dyDescent="0.3">
      <c r="A1139">
        <v>537000</v>
      </c>
      <c r="B1139" s="29">
        <f t="shared" si="56"/>
        <v>3462467855.5659437</v>
      </c>
      <c r="C1139" s="39">
        <f t="shared" si="57"/>
        <v>4081200000</v>
      </c>
      <c r="D1139" s="76">
        <f t="shared" si="58"/>
        <v>618732144.43405628</v>
      </c>
    </row>
    <row r="1140" spans="1:4" x14ac:dyDescent="0.3">
      <c r="A1140">
        <v>537500</v>
      </c>
      <c r="B1140" s="29">
        <f t="shared" si="56"/>
        <v>3465662363.2566037</v>
      </c>
      <c r="C1140" s="39">
        <f t="shared" si="57"/>
        <v>4085000000</v>
      </c>
      <c r="D1140" s="76">
        <f t="shared" si="58"/>
        <v>619337636.74339628</v>
      </c>
    </row>
    <row r="1141" spans="1:4" x14ac:dyDescent="0.3">
      <c r="A1141">
        <v>538000</v>
      </c>
      <c r="B1141" s="29">
        <f t="shared" si="56"/>
        <v>3468856870.9472637</v>
      </c>
      <c r="C1141" s="39">
        <f t="shared" si="57"/>
        <v>4088800000</v>
      </c>
      <c r="D1141" s="76">
        <f t="shared" si="58"/>
        <v>619943129.05273628</v>
      </c>
    </row>
    <row r="1142" spans="1:4" x14ac:dyDescent="0.3">
      <c r="A1142">
        <v>538500</v>
      </c>
      <c r="B1142" s="29">
        <f t="shared" si="56"/>
        <v>3472051378.6379237</v>
      </c>
      <c r="C1142" s="39">
        <f t="shared" si="57"/>
        <v>4092600000</v>
      </c>
      <c r="D1142" s="76">
        <f t="shared" si="58"/>
        <v>620548621.36207628</v>
      </c>
    </row>
    <row r="1143" spans="1:4" x14ac:dyDescent="0.3">
      <c r="A1143">
        <v>539000</v>
      </c>
      <c r="B1143" s="29">
        <f t="shared" si="56"/>
        <v>3475245886.3285837</v>
      </c>
      <c r="C1143" s="39">
        <f t="shared" si="57"/>
        <v>4096400000</v>
      </c>
      <c r="D1143" s="76">
        <f t="shared" si="58"/>
        <v>621154113.67141628</v>
      </c>
    </row>
    <row r="1144" spans="1:4" x14ac:dyDescent="0.3">
      <c r="A1144">
        <v>539500</v>
      </c>
      <c r="B1144" s="29">
        <f t="shared" si="56"/>
        <v>3478440394.0192437</v>
      </c>
      <c r="C1144" s="39">
        <f t="shared" si="57"/>
        <v>4100200000</v>
      </c>
      <c r="D1144" s="76">
        <f t="shared" si="58"/>
        <v>621759605.98075628</v>
      </c>
    </row>
    <row r="1145" spans="1:4" x14ac:dyDescent="0.3">
      <c r="A1145">
        <v>540000</v>
      </c>
      <c r="B1145" s="29">
        <f t="shared" si="56"/>
        <v>3481634901.7099037</v>
      </c>
      <c r="C1145" s="39">
        <f t="shared" si="57"/>
        <v>4104000000</v>
      </c>
      <c r="D1145" s="76">
        <f t="shared" si="58"/>
        <v>622365098.29009628</v>
      </c>
    </row>
    <row r="1146" spans="1:4" x14ac:dyDescent="0.3">
      <c r="A1146">
        <v>540500</v>
      </c>
      <c r="B1146" s="29">
        <f t="shared" si="56"/>
        <v>3484829409.4005637</v>
      </c>
      <c r="C1146" s="39">
        <f t="shared" si="57"/>
        <v>4107800000</v>
      </c>
      <c r="D1146" s="76">
        <f t="shared" si="58"/>
        <v>622970590.59943628</v>
      </c>
    </row>
    <row r="1147" spans="1:4" x14ac:dyDescent="0.3">
      <c r="A1147">
        <v>541000</v>
      </c>
      <c r="B1147" s="29">
        <f t="shared" si="56"/>
        <v>3488023917.0912237</v>
      </c>
      <c r="C1147" s="39">
        <f t="shared" si="57"/>
        <v>4111600000</v>
      </c>
      <c r="D1147" s="76">
        <f t="shared" si="58"/>
        <v>623576082.90877628</v>
      </c>
    </row>
    <row r="1148" spans="1:4" x14ac:dyDescent="0.3">
      <c r="A1148">
        <v>541500</v>
      </c>
      <c r="B1148" s="29">
        <f t="shared" si="56"/>
        <v>3491218424.7818837</v>
      </c>
      <c r="C1148" s="39">
        <f t="shared" si="57"/>
        <v>4115400000</v>
      </c>
      <c r="D1148" s="76">
        <f t="shared" si="58"/>
        <v>624181575.21811628</v>
      </c>
    </row>
    <row r="1149" spans="1:4" x14ac:dyDescent="0.3">
      <c r="A1149">
        <v>542000</v>
      </c>
      <c r="B1149" s="29">
        <f t="shared" si="56"/>
        <v>3494412932.4725437</v>
      </c>
      <c r="C1149" s="39">
        <f t="shared" si="57"/>
        <v>4119200000</v>
      </c>
      <c r="D1149" s="76">
        <f t="shared" si="58"/>
        <v>624787067.52745628</v>
      </c>
    </row>
    <row r="1150" spans="1:4" x14ac:dyDescent="0.3">
      <c r="A1150">
        <v>542500</v>
      </c>
      <c r="B1150" s="29">
        <f t="shared" si="56"/>
        <v>3497607440.1632037</v>
      </c>
      <c r="C1150" s="39">
        <f t="shared" si="57"/>
        <v>4123000000</v>
      </c>
      <c r="D1150" s="76">
        <f t="shared" si="58"/>
        <v>625392559.83679628</v>
      </c>
    </row>
    <row r="1151" spans="1:4" x14ac:dyDescent="0.3">
      <c r="A1151">
        <v>543000</v>
      </c>
      <c r="B1151" s="29">
        <f t="shared" si="56"/>
        <v>3500801947.8538637</v>
      </c>
      <c r="C1151" s="39">
        <f t="shared" si="57"/>
        <v>4126800000</v>
      </c>
      <c r="D1151" s="76">
        <f t="shared" si="58"/>
        <v>625998052.14613628</v>
      </c>
    </row>
    <row r="1152" spans="1:4" x14ac:dyDescent="0.3">
      <c r="A1152">
        <v>543500</v>
      </c>
      <c r="B1152" s="29">
        <f t="shared" si="56"/>
        <v>3503996455.5445237</v>
      </c>
      <c r="C1152" s="39">
        <f t="shared" si="57"/>
        <v>4130600000</v>
      </c>
      <c r="D1152" s="76">
        <f t="shared" si="58"/>
        <v>626603544.45547628</v>
      </c>
    </row>
    <row r="1153" spans="1:4" x14ac:dyDescent="0.3">
      <c r="A1153">
        <v>544000</v>
      </c>
      <c r="B1153" s="29">
        <f t="shared" si="56"/>
        <v>3507190963.2351837</v>
      </c>
      <c r="C1153" s="39">
        <f t="shared" si="57"/>
        <v>4134400000</v>
      </c>
      <c r="D1153" s="76">
        <f t="shared" si="58"/>
        <v>627209036.76481628</v>
      </c>
    </row>
    <row r="1154" spans="1:4" x14ac:dyDescent="0.3">
      <c r="A1154">
        <v>544500</v>
      </c>
      <c r="B1154" s="29">
        <f t="shared" ref="B1154:B1217" si="59">$B$54+($B$60*A1154)</f>
        <v>3510385470.9258437</v>
      </c>
      <c r="C1154" s="39">
        <f t="shared" ref="C1154:C1217" si="60">$E$50*A1154</f>
        <v>4138200000</v>
      </c>
      <c r="D1154" s="76">
        <f t="shared" ref="D1154:D1217" si="61">C1154-B1154</f>
        <v>627814529.07415628</v>
      </c>
    </row>
    <row r="1155" spans="1:4" x14ac:dyDescent="0.3">
      <c r="A1155">
        <v>545000</v>
      </c>
      <c r="B1155" s="29">
        <f t="shared" si="59"/>
        <v>3513579978.6165037</v>
      </c>
      <c r="C1155" s="39">
        <f t="shared" si="60"/>
        <v>4142000000</v>
      </c>
      <c r="D1155" s="76">
        <f t="shared" si="61"/>
        <v>628420021.38349628</v>
      </c>
    </row>
    <row r="1156" spans="1:4" x14ac:dyDescent="0.3">
      <c r="A1156">
        <v>545500</v>
      </c>
      <c r="B1156" s="29">
        <f t="shared" si="59"/>
        <v>3516774486.3071637</v>
      </c>
      <c r="C1156" s="39">
        <f t="shared" si="60"/>
        <v>4145800000</v>
      </c>
      <c r="D1156" s="76">
        <f t="shared" si="61"/>
        <v>629025513.69283628</v>
      </c>
    </row>
    <row r="1157" spans="1:4" x14ac:dyDescent="0.3">
      <c r="A1157">
        <v>546000</v>
      </c>
      <c r="B1157" s="29">
        <f t="shared" si="59"/>
        <v>3519968993.9978237</v>
      </c>
      <c r="C1157" s="39">
        <f t="shared" si="60"/>
        <v>4149600000</v>
      </c>
      <c r="D1157" s="76">
        <f t="shared" si="61"/>
        <v>629631006.00217628</v>
      </c>
    </row>
    <row r="1158" spans="1:4" x14ac:dyDescent="0.3">
      <c r="A1158">
        <v>546500</v>
      </c>
      <c r="B1158" s="29">
        <f t="shared" si="59"/>
        <v>3523163501.6884837</v>
      </c>
      <c r="C1158" s="39">
        <f t="shared" si="60"/>
        <v>4153400000</v>
      </c>
      <c r="D1158" s="76">
        <f t="shared" si="61"/>
        <v>630236498.31151628</v>
      </c>
    </row>
    <row r="1159" spans="1:4" x14ac:dyDescent="0.3">
      <c r="A1159">
        <v>547000</v>
      </c>
      <c r="B1159" s="29">
        <f t="shared" si="59"/>
        <v>3526358009.3791437</v>
      </c>
      <c r="C1159" s="39">
        <f t="shared" si="60"/>
        <v>4157200000</v>
      </c>
      <c r="D1159" s="76">
        <f t="shared" si="61"/>
        <v>630841990.62085629</v>
      </c>
    </row>
    <row r="1160" spans="1:4" x14ac:dyDescent="0.3">
      <c r="A1160">
        <v>547500</v>
      </c>
      <c r="B1160" s="29">
        <f t="shared" si="59"/>
        <v>3529552517.0698037</v>
      </c>
      <c r="C1160" s="39">
        <f t="shared" si="60"/>
        <v>4161000000</v>
      </c>
      <c r="D1160" s="76">
        <f t="shared" si="61"/>
        <v>631447482.93019629</v>
      </c>
    </row>
    <row r="1161" spans="1:4" x14ac:dyDescent="0.3">
      <c r="A1161">
        <v>548000</v>
      </c>
      <c r="B1161" s="29">
        <f t="shared" si="59"/>
        <v>3532747024.7604637</v>
      </c>
      <c r="C1161" s="39">
        <f t="shared" si="60"/>
        <v>4164800000</v>
      </c>
      <c r="D1161" s="76">
        <f t="shared" si="61"/>
        <v>632052975.23953629</v>
      </c>
    </row>
    <row r="1162" spans="1:4" x14ac:dyDescent="0.3">
      <c r="A1162">
        <v>548500</v>
      </c>
      <c r="B1162" s="29">
        <f t="shared" si="59"/>
        <v>3535941532.4511237</v>
      </c>
      <c r="C1162" s="39">
        <f t="shared" si="60"/>
        <v>4168600000</v>
      </c>
      <c r="D1162" s="76">
        <f t="shared" si="61"/>
        <v>632658467.54887629</v>
      </c>
    </row>
    <row r="1163" spans="1:4" x14ac:dyDescent="0.3">
      <c r="A1163">
        <v>549000</v>
      </c>
      <c r="B1163" s="29">
        <f t="shared" si="59"/>
        <v>3539136040.1417837</v>
      </c>
      <c r="C1163" s="39">
        <f t="shared" si="60"/>
        <v>4172400000</v>
      </c>
      <c r="D1163" s="76">
        <f t="shared" si="61"/>
        <v>633263959.85821629</v>
      </c>
    </row>
    <row r="1164" spans="1:4" x14ac:dyDescent="0.3">
      <c r="A1164">
        <v>549500</v>
      </c>
      <c r="B1164" s="29">
        <f t="shared" si="59"/>
        <v>3542330547.8324437</v>
      </c>
      <c r="C1164" s="39">
        <f t="shared" si="60"/>
        <v>4176200000</v>
      </c>
      <c r="D1164" s="76">
        <f t="shared" si="61"/>
        <v>633869452.16755629</v>
      </c>
    </row>
    <row r="1165" spans="1:4" x14ac:dyDescent="0.3">
      <c r="A1165">
        <v>550000</v>
      </c>
      <c r="B1165" s="29">
        <f t="shared" si="59"/>
        <v>3545525055.5231037</v>
      </c>
      <c r="C1165" s="39">
        <f t="shared" si="60"/>
        <v>4180000000</v>
      </c>
      <c r="D1165" s="76">
        <f t="shared" si="61"/>
        <v>634474944.47689629</v>
      </c>
    </row>
    <row r="1166" spans="1:4" x14ac:dyDescent="0.3">
      <c r="A1166">
        <v>550500</v>
      </c>
      <c r="B1166" s="29">
        <f t="shared" si="59"/>
        <v>3548719563.2137637</v>
      </c>
      <c r="C1166" s="39">
        <f t="shared" si="60"/>
        <v>4183800000</v>
      </c>
      <c r="D1166" s="76">
        <f t="shared" si="61"/>
        <v>635080436.78623629</v>
      </c>
    </row>
    <row r="1167" spans="1:4" x14ac:dyDescent="0.3">
      <c r="A1167">
        <v>551000</v>
      </c>
      <c r="B1167" s="29">
        <f t="shared" si="59"/>
        <v>3551914070.9044237</v>
      </c>
      <c r="C1167" s="39">
        <f t="shared" si="60"/>
        <v>4187600000</v>
      </c>
      <c r="D1167" s="76">
        <f t="shared" si="61"/>
        <v>635685929.09557629</v>
      </c>
    </row>
    <row r="1168" spans="1:4" x14ac:dyDescent="0.3">
      <c r="A1168">
        <v>551500</v>
      </c>
      <c r="B1168" s="29">
        <f t="shared" si="59"/>
        <v>3555108578.5950837</v>
      </c>
      <c r="C1168" s="39">
        <f t="shared" si="60"/>
        <v>4191400000</v>
      </c>
      <c r="D1168" s="76">
        <f t="shared" si="61"/>
        <v>636291421.40491629</v>
      </c>
    </row>
    <row r="1169" spans="1:4" x14ac:dyDescent="0.3">
      <c r="A1169">
        <v>552000</v>
      </c>
      <c r="B1169" s="29">
        <f t="shared" si="59"/>
        <v>3558303086.2857437</v>
      </c>
      <c r="C1169" s="39">
        <f t="shared" si="60"/>
        <v>4195200000</v>
      </c>
      <c r="D1169" s="76">
        <f t="shared" si="61"/>
        <v>636896913.71425629</v>
      </c>
    </row>
    <row r="1170" spans="1:4" x14ac:dyDescent="0.3">
      <c r="A1170">
        <v>552500</v>
      </c>
      <c r="B1170" s="29">
        <f t="shared" si="59"/>
        <v>3561497593.9764037</v>
      </c>
      <c r="C1170" s="39">
        <f t="shared" si="60"/>
        <v>4199000000</v>
      </c>
      <c r="D1170" s="76">
        <f t="shared" si="61"/>
        <v>637502406.02359629</v>
      </c>
    </row>
    <row r="1171" spans="1:4" x14ac:dyDescent="0.3">
      <c r="A1171">
        <v>553000</v>
      </c>
      <c r="B1171" s="29">
        <f t="shared" si="59"/>
        <v>3564692101.6670637</v>
      </c>
      <c r="C1171" s="39">
        <f t="shared" si="60"/>
        <v>4202800000</v>
      </c>
      <c r="D1171" s="76">
        <f t="shared" si="61"/>
        <v>638107898.33293629</v>
      </c>
    </row>
    <row r="1172" spans="1:4" x14ac:dyDescent="0.3">
      <c r="A1172">
        <v>553500</v>
      </c>
      <c r="B1172" s="29">
        <f t="shared" si="59"/>
        <v>3567886609.3577237</v>
      </c>
      <c r="C1172" s="39">
        <f t="shared" si="60"/>
        <v>4206600000</v>
      </c>
      <c r="D1172" s="76">
        <f t="shared" si="61"/>
        <v>638713390.64227629</v>
      </c>
    </row>
    <row r="1173" spans="1:4" x14ac:dyDescent="0.3">
      <c r="A1173">
        <v>554000</v>
      </c>
      <c r="B1173" s="29">
        <f t="shared" si="59"/>
        <v>3571081117.0483837</v>
      </c>
      <c r="C1173" s="39">
        <f t="shared" si="60"/>
        <v>4210400000</v>
      </c>
      <c r="D1173" s="76">
        <f t="shared" si="61"/>
        <v>639318882.95161629</v>
      </c>
    </row>
    <row r="1174" spans="1:4" x14ac:dyDescent="0.3">
      <c r="A1174">
        <v>554500</v>
      </c>
      <c r="B1174" s="29">
        <f t="shared" si="59"/>
        <v>3574275624.7390437</v>
      </c>
      <c r="C1174" s="39">
        <f t="shared" si="60"/>
        <v>4214200000</v>
      </c>
      <c r="D1174" s="76">
        <f t="shared" si="61"/>
        <v>639924375.26095629</v>
      </c>
    </row>
    <row r="1175" spans="1:4" x14ac:dyDescent="0.3">
      <c r="A1175">
        <v>555000</v>
      </c>
      <c r="B1175" s="29">
        <f t="shared" si="59"/>
        <v>3577470132.4297037</v>
      </c>
      <c r="C1175" s="39">
        <f t="shared" si="60"/>
        <v>4218000000</v>
      </c>
      <c r="D1175" s="76">
        <f t="shared" si="61"/>
        <v>640529867.57029629</v>
      </c>
    </row>
    <row r="1176" spans="1:4" x14ac:dyDescent="0.3">
      <c r="A1176">
        <v>555500</v>
      </c>
      <c r="B1176" s="29">
        <f t="shared" si="59"/>
        <v>3580664640.1203637</v>
      </c>
      <c r="C1176" s="39">
        <f t="shared" si="60"/>
        <v>4221800000</v>
      </c>
      <c r="D1176" s="76">
        <f t="shared" si="61"/>
        <v>641135359.87963629</v>
      </c>
    </row>
    <row r="1177" spans="1:4" x14ac:dyDescent="0.3">
      <c r="A1177">
        <v>556000</v>
      </c>
      <c r="B1177" s="29">
        <f t="shared" si="59"/>
        <v>3583859147.8110237</v>
      </c>
      <c r="C1177" s="39">
        <f t="shared" si="60"/>
        <v>4225600000</v>
      </c>
      <c r="D1177" s="76">
        <f t="shared" si="61"/>
        <v>641740852.18897629</v>
      </c>
    </row>
    <row r="1178" spans="1:4" x14ac:dyDescent="0.3">
      <c r="A1178">
        <v>556500</v>
      </c>
      <c r="B1178" s="29">
        <f t="shared" si="59"/>
        <v>3587053655.5016837</v>
      </c>
      <c r="C1178" s="39">
        <f t="shared" si="60"/>
        <v>4229400000</v>
      </c>
      <c r="D1178" s="76">
        <f t="shared" si="61"/>
        <v>642346344.49831629</v>
      </c>
    </row>
    <row r="1179" spans="1:4" x14ac:dyDescent="0.3">
      <c r="A1179">
        <v>557000</v>
      </c>
      <c r="B1179" s="29">
        <f t="shared" si="59"/>
        <v>3590248163.1923437</v>
      </c>
      <c r="C1179" s="39">
        <f t="shared" si="60"/>
        <v>4233200000</v>
      </c>
      <c r="D1179" s="76">
        <f t="shared" si="61"/>
        <v>642951836.80765629</v>
      </c>
    </row>
    <row r="1180" spans="1:4" x14ac:dyDescent="0.3">
      <c r="A1180">
        <v>557500</v>
      </c>
      <c r="B1180" s="29">
        <f t="shared" si="59"/>
        <v>3593442670.8830037</v>
      </c>
      <c r="C1180" s="39">
        <f t="shared" si="60"/>
        <v>4237000000</v>
      </c>
      <c r="D1180" s="76">
        <f t="shared" si="61"/>
        <v>643557329.11699629</v>
      </c>
    </row>
    <row r="1181" spans="1:4" x14ac:dyDescent="0.3">
      <c r="A1181">
        <v>558000</v>
      </c>
      <c r="B1181" s="29">
        <f t="shared" si="59"/>
        <v>3596637178.5736637</v>
      </c>
      <c r="C1181" s="39">
        <f t="shared" si="60"/>
        <v>4240800000</v>
      </c>
      <c r="D1181" s="76">
        <f t="shared" si="61"/>
        <v>644162821.42633629</v>
      </c>
    </row>
    <row r="1182" spans="1:4" x14ac:dyDescent="0.3">
      <c r="A1182">
        <v>558500</v>
      </c>
      <c r="B1182" s="29">
        <f t="shared" si="59"/>
        <v>3599831686.2643237</v>
      </c>
      <c r="C1182" s="39">
        <f t="shared" si="60"/>
        <v>4244600000</v>
      </c>
      <c r="D1182" s="76">
        <f t="shared" si="61"/>
        <v>644768313.73567629</v>
      </c>
    </row>
    <row r="1183" spans="1:4" x14ac:dyDescent="0.3">
      <c r="A1183">
        <v>559000</v>
      </c>
      <c r="B1183" s="29">
        <f t="shared" si="59"/>
        <v>3603026193.9549837</v>
      </c>
      <c r="C1183" s="39">
        <f t="shared" si="60"/>
        <v>4248400000</v>
      </c>
      <c r="D1183" s="76">
        <f t="shared" si="61"/>
        <v>645373806.04501629</v>
      </c>
    </row>
    <row r="1184" spans="1:4" x14ac:dyDescent="0.3">
      <c r="A1184">
        <v>559500</v>
      </c>
      <c r="B1184" s="29">
        <f t="shared" si="59"/>
        <v>3606220701.6456437</v>
      </c>
      <c r="C1184" s="39">
        <f t="shared" si="60"/>
        <v>4252200000</v>
      </c>
      <c r="D1184" s="76">
        <f t="shared" si="61"/>
        <v>645979298.35435629</v>
      </c>
    </row>
    <row r="1185" spans="1:4" x14ac:dyDescent="0.3">
      <c r="A1185">
        <v>560000</v>
      </c>
      <c r="B1185" s="29">
        <f t="shared" si="59"/>
        <v>3609415209.3363037</v>
      </c>
      <c r="C1185" s="39">
        <f t="shared" si="60"/>
        <v>4256000000</v>
      </c>
      <c r="D1185" s="76">
        <f t="shared" si="61"/>
        <v>646584790.66369629</v>
      </c>
    </row>
    <row r="1186" spans="1:4" x14ac:dyDescent="0.3">
      <c r="A1186">
        <v>560500</v>
      </c>
      <c r="B1186" s="29">
        <f t="shared" si="59"/>
        <v>3612609717.0269637</v>
      </c>
      <c r="C1186" s="39">
        <f t="shared" si="60"/>
        <v>4259800000</v>
      </c>
      <c r="D1186" s="76">
        <f t="shared" si="61"/>
        <v>647190282.97303629</v>
      </c>
    </row>
    <row r="1187" spans="1:4" x14ac:dyDescent="0.3">
      <c r="A1187">
        <v>561000</v>
      </c>
      <c r="B1187" s="29">
        <f t="shared" si="59"/>
        <v>3615804224.7176237</v>
      </c>
      <c r="C1187" s="39">
        <f t="shared" si="60"/>
        <v>4263600000</v>
      </c>
      <c r="D1187" s="76">
        <f t="shared" si="61"/>
        <v>647795775.28237629</v>
      </c>
    </row>
    <row r="1188" spans="1:4" x14ac:dyDescent="0.3">
      <c r="A1188">
        <v>561500</v>
      </c>
      <c r="B1188" s="29">
        <f t="shared" si="59"/>
        <v>3618998732.4082837</v>
      </c>
      <c r="C1188" s="39">
        <f t="shared" si="60"/>
        <v>4267400000</v>
      </c>
      <c r="D1188" s="76">
        <f t="shared" si="61"/>
        <v>648401267.59171629</v>
      </c>
    </row>
    <row r="1189" spans="1:4" x14ac:dyDescent="0.3">
      <c r="A1189">
        <v>562000</v>
      </c>
      <c r="B1189" s="29">
        <f t="shared" si="59"/>
        <v>3622193240.0989437</v>
      </c>
      <c r="C1189" s="39">
        <f t="shared" si="60"/>
        <v>4271200000</v>
      </c>
      <c r="D1189" s="76">
        <f t="shared" si="61"/>
        <v>649006759.90105629</v>
      </c>
    </row>
    <row r="1190" spans="1:4" x14ac:dyDescent="0.3">
      <c r="A1190">
        <v>562500</v>
      </c>
      <c r="B1190" s="29">
        <f t="shared" si="59"/>
        <v>3625387747.7896037</v>
      </c>
      <c r="C1190" s="39">
        <f t="shared" si="60"/>
        <v>4275000000</v>
      </c>
      <c r="D1190" s="76">
        <f t="shared" si="61"/>
        <v>649612252.21039629</v>
      </c>
    </row>
    <row r="1191" spans="1:4" x14ac:dyDescent="0.3">
      <c r="A1191">
        <v>563000</v>
      </c>
      <c r="B1191" s="29">
        <f t="shared" si="59"/>
        <v>3628582255.4802637</v>
      </c>
      <c r="C1191" s="39">
        <f t="shared" si="60"/>
        <v>4278800000</v>
      </c>
      <c r="D1191" s="76">
        <f t="shared" si="61"/>
        <v>650217744.51973629</v>
      </c>
    </row>
    <row r="1192" spans="1:4" x14ac:dyDescent="0.3">
      <c r="A1192">
        <v>563500</v>
      </c>
      <c r="B1192" s="29">
        <f t="shared" si="59"/>
        <v>3631776763.1709237</v>
      </c>
      <c r="C1192" s="39">
        <f t="shared" si="60"/>
        <v>4282600000</v>
      </c>
      <c r="D1192" s="76">
        <f t="shared" si="61"/>
        <v>650823236.82907629</v>
      </c>
    </row>
    <row r="1193" spans="1:4" x14ac:dyDescent="0.3">
      <c r="A1193">
        <v>564000</v>
      </c>
      <c r="B1193" s="29">
        <f t="shared" si="59"/>
        <v>3634971270.8615837</v>
      </c>
      <c r="C1193" s="39">
        <f t="shared" si="60"/>
        <v>4286400000</v>
      </c>
      <c r="D1193" s="76">
        <f t="shared" si="61"/>
        <v>651428729.13841629</v>
      </c>
    </row>
    <row r="1194" spans="1:4" x14ac:dyDescent="0.3">
      <c r="A1194">
        <v>564500</v>
      </c>
      <c r="B1194" s="29">
        <f t="shared" si="59"/>
        <v>3638165778.5522437</v>
      </c>
      <c r="C1194" s="39">
        <f t="shared" si="60"/>
        <v>4290200000</v>
      </c>
      <c r="D1194" s="76">
        <f t="shared" si="61"/>
        <v>652034221.44775629</v>
      </c>
    </row>
    <row r="1195" spans="1:4" x14ac:dyDescent="0.3">
      <c r="A1195">
        <v>565000</v>
      </c>
      <c r="B1195" s="29">
        <f t="shared" si="59"/>
        <v>3641360286.2429037</v>
      </c>
      <c r="C1195" s="39">
        <f t="shared" si="60"/>
        <v>4294000000</v>
      </c>
      <c r="D1195" s="76">
        <f t="shared" si="61"/>
        <v>652639713.75709629</v>
      </c>
    </row>
    <row r="1196" spans="1:4" x14ac:dyDescent="0.3">
      <c r="A1196">
        <v>565500</v>
      </c>
      <c r="B1196" s="29">
        <f t="shared" si="59"/>
        <v>3644554793.9335637</v>
      </c>
      <c r="C1196" s="39">
        <f t="shared" si="60"/>
        <v>4297800000</v>
      </c>
      <c r="D1196" s="76">
        <f t="shared" si="61"/>
        <v>653245206.06643629</v>
      </c>
    </row>
    <row r="1197" spans="1:4" x14ac:dyDescent="0.3">
      <c r="A1197">
        <v>566000</v>
      </c>
      <c r="B1197" s="29">
        <f t="shared" si="59"/>
        <v>3647749301.6242237</v>
      </c>
      <c r="C1197" s="39">
        <f t="shared" si="60"/>
        <v>4301600000</v>
      </c>
      <c r="D1197" s="76">
        <f t="shared" si="61"/>
        <v>653850698.37577629</v>
      </c>
    </row>
    <row r="1198" spans="1:4" x14ac:dyDescent="0.3">
      <c r="A1198">
        <v>566500</v>
      </c>
      <c r="B1198" s="29">
        <f t="shared" si="59"/>
        <v>3650943809.3148837</v>
      </c>
      <c r="C1198" s="39">
        <f t="shared" si="60"/>
        <v>4305400000</v>
      </c>
      <c r="D1198" s="76">
        <f t="shared" si="61"/>
        <v>654456190.68511629</v>
      </c>
    </row>
    <row r="1199" spans="1:4" x14ac:dyDescent="0.3">
      <c r="A1199">
        <v>567000</v>
      </c>
      <c r="B1199" s="29">
        <f t="shared" si="59"/>
        <v>3654138317.0055437</v>
      </c>
      <c r="C1199" s="39">
        <f t="shared" si="60"/>
        <v>4309200000</v>
      </c>
      <c r="D1199" s="76">
        <f t="shared" si="61"/>
        <v>655061682.99445629</v>
      </c>
    </row>
    <row r="1200" spans="1:4" x14ac:dyDescent="0.3">
      <c r="A1200">
        <v>567500</v>
      </c>
      <c r="B1200" s="29">
        <f t="shared" si="59"/>
        <v>3657332824.6962037</v>
      </c>
      <c r="C1200" s="39">
        <f t="shared" si="60"/>
        <v>4313000000</v>
      </c>
      <c r="D1200" s="76">
        <f t="shared" si="61"/>
        <v>655667175.30379629</v>
      </c>
    </row>
    <row r="1201" spans="1:4" x14ac:dyDescent="0.3">
      <c r="A1201">
        <v>568000</v>
      </c>
      <c r="B1201" s="29">
        <f t="shared" si="59"/>
        <v>3660527332.3868637</v>
      </c>
      <c r="C1201" s="39">
        <f t="shared" si="60"/>
        <v>4316800000</v>
      </c>
      <c r="D1201" s="76">
        <f t="shared" si="61"/>
        <v>656272667.61313629</v>
      </c>
    </row>
    <row r="1202" spans="1:4" x14ac:dyDescent="0.3">
      <c r="A1202">
        <v>568500</v>
      </c>
      <c r="B1202" s="29">
        <f t="shared" si="59"/>
        <v>3663721840.0775237</v>
      </c>
      <c r="C1202" s="39">
        <f t="shared" si="60"/>
        <v>4320600000</v>
      </c>
      <c r="D1202" s="76">
        <f t="shared" si="61"/>
        <v>656878159.92247629</v>
      </c>
    </row>
    <row r="1203" spans="1:4" x14ac:dyDescent="0.3">
      <c r="A1203">
        <v>569000</v>
      </c>
      <c r="B1203" s="29">
        <f t="shared" si="59"/>
        <v>3666916347.7681837</v>
      </c>
      <c r="C1203" s="39">
        <f t="shared" si="60"/>
        <v>4324400000</v>
      </c>
      <c r="D1203" s="76">
        <f t="shared" si="61"/>
        <v>657483652.23181629</v>
      </c>
    </row>
    <row r="1204" spans="1:4" x14ac:dyDescent="0.3">
      <c r="A1204">
        <v>569500</v>
      </c>
      <c r="B1204" s="29">
        <f t="shared" si="59"/>
        <v>3670110855.4588437</v>
      </c>
      <c r="C1204" s="39">
        <f t="shared" si="60"/>
        <v>4328200000</v>
      </c>
      <c r="D1204" s="76">
        <f t="shared" si="61"/>
        <v>658089144.54115629</v>
      </c>
    </row>
    <row r="1205" spans="1:4" x14ac:dyDescent="0.3">
      <c r="A1205">
        <v>570000</v>
      </c>
      <c r="B1205" s="29">
        <f t="shared" si="59"/>
        <v>3673305363.1495037</v>
      </c>
      <c r="C1205" s="39">
        <f t="shared" si="60"/>
        <v>4332000000</v>
      </c>
      <c r="D1205" s="76">
        <f t="shared" si="61"/>
        <v>658694636.85049629</v>
      </c>
    </row>
    <row r="1206" spans="1:4" x14ac:dyDescent="0.3">
      <c r="A1206">
        <v>570500</v>
      </c>
      <c r="B1206" s="29">
        <f t="shared" si="59"/>
        <v>3676499870.8401637</v>
      </c>
      <c r="C1206" s="39">
        <f t="shared" si="60"/>
        <v>4335800000</v>
      </c>
      <c r="D1206" s="76">
        <f t="shared" si="61"/>
        <v>659300129.15983629</v>
      </c>
    </row>
    <row r="1207" spans="1:4" x14ac:dyDescent="0.3">
      <c r="A1207">
        <v>571000</v>
      </c>
      <c r="B1207" s="29">
        <f t="shared" si="59"/>
        <v>3679694378.5308237</v>
      </c>
      <c r="C1207" s="39">
        <f t="shared" si="60"/>
        <v>4339600000</v>
      </c>
      <c r="D1207" s="76">
        <f t="shared" si="61"/>
        <v>659905621.46917629</v>
      </c>
    </row>
    <row r="1208" spans="1:4" x14ac:dyDescent="0.3">
      <c r="A1208">
        <v>571500</v>
      </c>
      <c r="B1208" s="29">
        <f t="shared" si="59"/>
        <v>3682888886.2214837</v>
      </c>
      <c r="C1208" s="39">
        <f t="shared" si="60"/>
        <v>4343400000</v>
      </c>
      <c r="D1208" s="76">
        <f t="shared" si="61"/>
        <v>660511113.77851629</v>
      </c>
    </row>
    <row r="1209" spans="1:4" x14ac:dyDescent="0.3">
      <c r="A1209">
        <v>572000</v>
      </c>
      <c r="B1209" s="29">
        <f t="shared" si="59"/>
        <v>3686083393.9121437</v>
      </c>
      <c r="C1209" s="39">
        <f t="shared" si="60"/>
        <v>4347200000</v>
      </c>
      <c r="D1209" s="76">
        <f t="shared" si="61"/>
        <v>661116606.08785629</v>
      </c>
    </row>
    <row r="1210" spans="1:4" x14ac:dyDescent="0.3">
      <c r="A1210">
        <v>572500</v>
      </c>
      <c r="B1210" s="29">
        <f t="shared" si="59"/>
        <v>3689277901.6028037</v>
      </c>
      <c r="C1210" s="39">
        <f t="shared" si="60"/>
        <v>4351000000</v>
      </c>
      <c r="D1210" s="76">
        <f t="shared" si="61"/>
        <v>661722098.39719629</v>
      </c>
    </row>
    <row r="1211" spans="1:4" x14ac:dyDescent="0.3">
      <c r="A1211">
        <v>573000</v>
      </c>
      <c r="B1211" s="29">
        <f t="shared" si="59"/>
        <v>3692472409.2934637</v>
      </c>
      <c r="C1211" s="39">
        <f t="shared" si="60"/>
        <v>4354800000</v>
      </c>
      <c r="D1211" s="76">
        <f t="shared" si="61"/>
        <v>662327590.70653629</v>
      </c>
    </row>
    <row r="1212" spans="1:4" x14ac:dyDescent="0.3">
      <c r="A1212">
        <v>573500</v>
      </c>
      <c r="B1212" s="29">
        <f t="shared" si="59"/>
        <v>3695666916.9841237</v>
      </c>
      <c r="C1212" s="39">
        <f t="shared" si="60"/>
        <v>4358600000</v>
      </c>
      <c r="D1212" s="76">
        <f t="shared" si="61"/>
        <v>662933083.01587629</v>
      </c>
    </row>
    <row r="1213" spans="1:4" x14ac:dyDescent="0.3">
      <c r="A1213">
        <v>574000</v>
      </c>
      <c r="B1213" s="29">
        <f t="shared" si="59"/>
        <v>3698861424.6747837</v>
      </c>
      <c r="C1213" s="39">
        <f t="shared" si="60"/>
        <v>4362400000</v>
      </c>
      <c r="D1213" s="76">
        <f t="shared" si="61"/>
        <v>663538575.32521629</v>
      </c>
    </row>
    <row r="1214" spans="1:4" x14ac:dyDescent="0.3">
      <c r="A1214">
        <v>574500</v>
      </c>
      <c r="B1214" s="29">
        <f t="shared" si="59"/>
        <v>3702055932.3654437</v>
      </c>
      <c r="C1214" s="39">
        <f t="shared" si="60"/>
        <v>4366200000</v>
      </c>
      <c r="D1214" s="76">
        <f t="shared" si="61"/>
        <v>664144067.63455629</v>
      </c>
    </row>
    <row r="1215" spans="1:4" x14ac:dyDescent="0.3">
      <c r="A1215">
        <v>575000</v>
      </c>
      <c r="B1215" s="29">
        <f t="shared" si="59"/>
        <v>3705250440.0561037</v>
      </c>
      <c r="C1215" s="39">
        <f t="shared" si="60"/>
        <v>4370000000</v>
      </c>
      <c r="D1215" s="76">
        <f t="shared" si="61"/>
        <v>664749559.94389629</v>
      </c>
    </row>
    <row r="1216" spans="1:4" x14ac:dyDescent="0.3">
      <c r="A1216">
        <v>575500</v>
      </c>
      <c r="B1216" s="29">
        <f t="shared" si="59"/>
        <v>3708444947.7467637</v>
      </c>
      <c r="C1216" s="39">
        <f t="shared" si="60"/>
        <v>4373800000</v>
      </c>
      <c r="D1216" s="76">
        <f t="shared" si="61"/>
        <v>665355052.25323629</v>
      </c>
    </row>
    <row r="1217" spans="1:4" x14ac:dyDescent="0.3">
      <c r="A1217">
        <v>576000</v>
      </c>
      <c r="B1217" s="29">
        <f t="shared" si="59"/>
        <v>3711639455.4374237</v>
      </c>
      <c r="C1217" s="39">
        <f t="shared" si="60"/>
        <v>4377600000</v>
      </c>
      <c r="D1217" s="76">
        <f t="shared" si="61"/>
        <v>665960544.56257629</v>
      </c>
    </row>
    <row r="1218" spans="1:4" x14ac:dyDescent="0.3">
      <c r="A1218">
        <v>576500</v>
      </c>
      <c r="B1218" s="29">
        <f t="shared" ref="B1218:B1281" si="62">$B$54+($B$60*A1218)</f>
        <v>3714833963.1280837</v>
      </c>
      <c r="C1218" s="39">
        <f t="shared" ref="C1218:C1281" si="63">$E$50*A1218</f>
        <v>4381400000</v>
      </c>
      <c r="D1218" s="76">
        <f t="shared" ref="D1218:D1281" si="64">C1218-B1218</f>
        <v>666566036.87191629</v>
      </c>
    </row>
    <row r="1219" spans="1:4" x14ac:dyDescent="0.3">
      <c r="A1219">
        <v>577000</v>
      </c>
      <c r="B1219" s="29">
        <f t="shared" si="62"/>
        <v>3718028470.8187437</v>
      </c>
      <c r="C1219" s="39">
        <f t="shared" si="63"/>
        <v>4385200000</v>
      </c>
      <c r="D1219" s="76">
        <f t="shared" si="64"/>
        <v>667171529.18125629</v>
      </c>
    </row>
    <row r="1220" spans="1:4" x14ac:dyDescent="0.3">
      <c r="A1220">
        <v>577500</v>
      </c>
      <c r="B1220" s="29">
        <f t="shared" si="62"/>
        <v>3721222978.5094037</v>
      </c>
      <c r="C1220" s="39">
        <f t="shared" si="63"/>
        <v>4389000000</v>
      </c>
      <c r="D1220" s="76">
        <f t="shared" si="64"/>
        <v>667777021.49059629</v>
      </c>
    </row>
    <row r="1221" spans="1:4" x14ac:dyDescent="0.3">
      <c r="A1221">
        <v>578000</v>
      </c>
      <c r="B1221" s="29">
        <f t="shared" si="62"/>
        <v>3724417486.2000637</v>
      </c>
      <c r="C1221" s="39">
        <f t="shared" si="63"/>
        <v>4392800000</v>
      </c>
      <c r="D1221" s="76">
        <f t="shared" si="64"/>
        <v>668382513.79993629</v>
      </c>
    </row>
    <row r="1222" spans="1:4" x14ac:dyDescent="0.3">
      <c r="A1222">
        <v>578500</v>
      </c>
      <c r="B1222" s="29">
        <f t="shared" si="62"/>
        <v>3727611993.8907237</v>
      </c>
      <c r="C1222" s="39">
        <f t="shared" si="63"/>
        <v>4396600000</v>
      </c>
      <c r="D1222" s="76">
        <f t="shared" si="64"/>
        <v>668988006.10927629</v>
      </c>
    </row>
    <row r="1223" spans="1:4" x14ac:dyDescent="0.3">
      <c r="A1223">
        <v>579000</v>
      </c>
      <c r="B1223" s="29">
        <f t="shared" si="62"/>
        <v>3730806501.5813837</v>
      </c>
      <c r="C1223" s="39">
        <f t="shared" si="63"/>
        <v>4400400000</v>
      </c>
      <c r="D1223" s="76">
        <f t="shared" si="64"/>
        <v>669593498.41861629</v>
      </c>
    </row>
    <row r="1224" spans="1:4" x14ac:dyDescent="0.3">
      <c r="A1224">
        <v>579500</v>
      </c>
      <c r="B1224" s="29">
        <f t="shared" si="62"/>
        <v>3734001009.2720437</v>
      </c>
      <c r="C1224" s="39">
        <f t="shared" si="63"/>
        <v>4404200000</v>
      </c>
      <c r="D1224" s="76">
        <f t="shared" si="64"/>
        <v>670198990.7279563</v>
      </c>
    </row>
    <row r="1225" spans="1:4" x14ac:dyDescent="0.3">
      <c r="A1225">
        <v>580000</v>
      </c>
      <c r="B1225" s="29">
        <f t="shared" si="62"/>
        <v>3737195516.9627037</v>
      </c>
      <c r="C1225" s="39">
        <f t="shared" si="63"/>
        <v>4408000000</v>
      </c>
      <c r="D1225" s="76">
        <f t="shared" si="64"/>
        <v>670804483.0372963</v>
      </c>
    </row>
    <row r="1226" spans="1:4" x14ac:dyDescent="0.3">
      <c r="A1226">
        <v>580500</v>
      </c>
      <c r="B1226" s="29">
        <f t="shared" si="62"/>
        <v>3740390024.6533637</v>
      </c>
      <c r="C1226" s="39">
        <f t="shared" si="63"/>
        <v>4411800000</v>
      </c>
      <c r="D1226" s="76">
        <f t="shared" si="64"/>
        <v>671409975.3466363</v>
      </c>
    </row>
    <row r="1227" spans="1:4" x14ac:dyDescent="0.3">
      <c r="A1227">
        <v>581000</v>
      </c>
      <c r="B1227" s="29">
        <f t="shared" si="62"/>
        <v>3743584532.3440237</v>
      </c>
      <c r="C1227" s="39">
        <f t="shared" si="63"/>
        <v>4415600000</v>
      </c>
      <c r="D1227" s="76">
        <f t="shared" si="64"/>
        <v>672015467.6559763</v>
      </c>
    </row>
    <row r="1228" spans="1:4" x14ac:dyDescent="0.3">
      <c r="A1228">
        <v>581500</v>
      </c>
      <c r="B1228" s="29">
        <f t="shared" si="62"/>
        <v>3746779040.0346837</v>
      </c>
      <c r="C1228" s="39">
        <f t="shared" si="63"/>
        <v>4419400000</v>
      </c>
      <c r="D1228" s="76">
        <f t="shared" si="64"/>
        <v>672620959.9653163</v>
      </c>
    </row>
    <row r="1229" spans="1:4" x14ac:dyDescent="0.3">
      <c r="A1229">
        <v>582000</v>
      </c>
      <c r="B1229" s="29">
        <f t="shared" si="62"/>
        <v>3749973547.7253437</v>
      </c>
      <c r="C1229" s="39">
        <f t="shared" si="63"/>
        <v>4423200000</v>
      </c>
      <c r="D1229" s="76">
        <f t="shared" si="64"/>
        <v>673226452.2746563</v>
      </c>
    </row>
    <row r="1230" spans="1:4" x14ac:dyDescent="0.3">
      <c r="A1230">
        <v>582500</v>
      </c>
      <c r="B1230" s="29">
        <f t="shared" si="62"/>
        <v>3753168055.4160037</v>
      </c>
      <c r="C1230" s="39">
        <f t="shared" si="63"/>
        <v>4427000000</v>
      </c>
      <c r="D1230" s="76">
        <f t="shared" si="64"/>
        <v>673831944.5839963</v>
      </c>
    </row>
    <row r="1231" spans="1:4" x14ac:dyDescent="0.3">
      <c r="A1231">
        <v>583000</v>
      </c>
      <c r="B1231" s="29">
        <f t="shared" si="62"/>
        <v>3756362563.1066637</v>
      </c>
      <c r="C1231" s="39">
        <f t="shared" si="63"/>
        <v>4430800000</v>
      </c>
      <c r="D1231" s="76">
        <f t="shared" si="64"/>
        <v>674437436.8933363</v>
      </c>
    </row>
    <row r="1232" spans="1:4" x14ac:dyDescent="0.3">
      <c r="A1232">
        <v>583500</v>
      </c>
      <c r="B1232" s="29">
        <f t="shared" si="62"/>
        <v>3759557070.7973237</v>
      </c>
      <c r="C1232" s="39">
        <f t="shared" si="63"/>
        <v>4434600000</v>
      </c>
      <c r="D1232" s="76">
        <f t="shared" si="64"/>
        <v>675042929.2026763</v>
      </c>
    </row>
    <row r="1233" spans="1:4" x14ac:dyDescent="0.3">
      <c r="A1233">
        <v>584000</v>
      </c>
      <c r="B1233" s="29">
        <f t="shared" si="62"/>
        <v>3762751578.4879837</v>
      </c>
      <c r="C1233" s="39">
        <f t="shared" si="63"/>
        <v>4438400000</v>
      </c>
      <c r="D1233" s="76">
        <f t="shared" si="64"/>
        <v>675648421.5120163</v>
      </c>
    </row>
    <row r="1234" spans="1:4" x14ac:dyDescent="0.3">
      <c r="A1234">
        <v>584500</v>
      </c>
      <c r="B1234" s="29">
        <f t="shared" si="62"/>
        <v>3765946086.1786437</v>
      </c>
      <c r="C1234" s="39">
        <f t="shared" si="63"/>
        <v>4442200000</v>
      </c>
      <c r="D1234" s="76">
        <f t="shared" si="64"/>
        <v>676253913.8213563</v>
      </c>
    </row>
    <row r="1235" spans="1:4" x14ac:dyDescent="0.3">
      <c r="A1235">
        <v>585000</v>
      </c>
      <c r="B1235" s="29">
        <f t="shared" si="62"/>
        <v>3769140593.8693037</v>
      </c>
      <c r="C1235" s="39">
        <f t="shared" si="63"/>
        <v>4446000000</v>
      </c>
      <c r="D1235" s="76">
        <f t="shared" si="64"/>
        <v>676859406.1306963</v>
      </c>
    </row>
    <row r="1236" spans="1:4" x14ac:dyDescent="0.3">
      <c r="A1236">
        <v>585500</v>
      </c>
      <c r="B1236" s="29">
        <f t="shared" si="62"/>
        <v>3772335101.5599637</v>
      </c>
      <c r="C1236" s="39">
        <f t="shared" si="63"/>
        <v>4449800000</v>
      </c>
      <c r="D1236" s="76">
        <f t="shared" si="64"/>
        <v>677464898.4400363</v>
      </c>
    </row>
    <row r="1237" spans="1:4" x14ac:dyDescent="0.3">
      <c r="A1237">
        <v>586000</v>
      </c>
      <c r="B1237" s="29">
        <f t="shared" si="62"/>
        <v>3775529609.2506237</v>
      </c>
      <c r="C1237" s="39">
        <f t="shared" si="63"/>
        <v>4453600000</v>
      </c>
      <c r="D1237" s="76">
        <f t="shared" si="64"/>
        <v>678070390.7493763</v>
      </c>
    </row>
    <row r="1238" spans="1:4" x14ac:dyDescent="0.3">
      <c r="A1238">
        <v>586500</v>
      </c>
      <c r="B1238" s="29">
        <f t="shared" si="62"/>
        <v>3778724116.9412837</v>
      </c>
      <c r="C1238" s="39">
        <f t="shared" si="63"/>
        <v>4457400000</v>
      </c>
      <c r="D1238" s="76">
        <f t="shared" si="64"/>
        <v>678675883.0587163</v>
      </c>
    </row>
    <row r="1239" spans="1:4" x14ac:dyDescent="0.3">
      <c r="A1239">
        <v>587000</v>
      </c>
      <c r="B1239" s="29">
        <f t="shared" si="62"/>
        <v>3781918624.6319437</v>
      </c>
      <c r="C1239" s="39">
        <f t="shared" si="63"/>
        <v>4461200000</v>
      </c>
      <c r="D1239" s="76">
        <f t="shared" si="64"/>
        <v>679281375.3680563</v>
      </c>
    </row>
    <row r="1240" spans="1:4" x14ac:dyDescent="0.3">
      <c r="A1240">
        <v>587500</v>
      </c>
      <c r="B1240" s="29">
        <f t="shared" si="62"/>
        <v>3785113132.3226037</v>
      </c>
      <c r="C1240" s="39">
        <f t="shared" si="63"/>
        <v>4465000000</v>
      </c>
      <c r="D1240" s="76">
        <f t="shared" si="64"/>
        <v>679886867.6773963</v>
      </c>
    </row>
    <row r="1241" spans="1:4" x14ac:dyDescent="0.3">
      <c r="A1241">
        <v>588000</v>
      </c>
      <c r="B1241" s="29">
        <f t="shared" si="62"/>
        <v>3788307640.0132637</v>
      </c>
      <c r="C1241" s="39">
        <f t="shared" si="63"/>
        <v>4468800000</v>
      </c>
      <c r="D1241" s="76">
        <f t="shared" si="64"/>
        <v>680492359.9867363</v>
      </c>
    </row>
    <row r="1242" spans="1:4" x14ac:dyDescent="0.3">
      <c r="A1242">
        <v>588500</v>
      </c>
      <c r="B1242" s="29">
        <f t="shared" si="62"/>
        <v>3791502147.7039237</v>
      </c>
      <c r="C1242" s="39">
        <f t="shared" si="63"/>
        <v>4472600000</v>
      </c>
      <c r="D1242" s="76">
        <f t="shared" si="64"/>
        <v>681097852.2960763</v>
      </c>
    </row>
    <row r="1243" spans="1:4" x14ac:dyDescent="0.3">
      <c r="A1243">
        <v>589000</v>
      </c>
      <c r="B1243" s="29">
        <f t="shared" si="62"/>
        <v>3794696655.3945837</v>
      </c>
      <c r="C1243" s="39">
        <f t="shared" si="63"/>
        <v>4476400000</v>
      </c>
      <c r="D1243" s="76">
        <f t="shared" si="64"/>
        <v>681703344.6054163</v>
      </c>
    </row>
    <row r="1244" spans="1:4" x14ac:dyDescent="0.3">
      <c r="A1244">
        <v>589500</v>
      </c>
      <c r="B1244" s="29">
        <f t="shared" si="62"/>
        <v>3797891163.0852437</v>
      </c>
      <c r="C1244" s="39">
        <f t="shared" si="63"/>
        <v>4480200000</v>
      </c>
      <c r="D1244" s="76">
        <f t="shared" si="64"/>
        <v>682308836.9147563</v>
      </c>
    </row>
    <row r="1245" spans="1:4" x14ac:dyDescent="0.3">
      <c r="A1245">
        <v>590000</v>
      </c>
      <c r="B1245" s="29">
        <f t="shared" si="62"/>
        <v>3801085670.7759037</v>
      </c>
      <c r="C1245" s="39">
        <f t="shared" si="63"/>
        <v>4484000000</v>
      </c>
      <c r="D1245" s="76">
        <f t="shared" si="64"/>
        <v>682914329.2240963</v>
      </c>
    </row>
    <row r="1246" spans="1:4" x14ac:dyDescent="0.3">
      <c r="A1246">
        <v>590500</v>
      </c>
      <c r="B1246" s="29">
        <f t="shared" si="62"/>
        <v>3804280178.4665637</v>
      </c>
      <c r="C1246" s="39">
        <f t="shared" si="63"/>
        <v>4487800000</v>
      </c>
      <c r="D1246" s="76">
        <f t="shared" si="64"/>
        <v>683519821.5334363</v>
      </c>
    </row>
    <row r="1247" spans="1:4" x14ac:dyDescent="0.3">
      <c r="A1247">
        <v>591000</v>
      </c>
      <c r="B1247" s="29">
        <f t="shared" si="62"/>
        <v>3807474686.1572237</v>
      </c>
      <c r="C1247" s="39">
        <f t="shared" si="63"/>
        <v>4491600000</v>
      </c>
      <c r="D1247" s="76">
        <f t="shared" si="64"/>
        <v>684125313.8427763</v>
      </c>
    </row>
    <row r="1248" spans="1:4" x14ac:dyDescent="0.3">
      <c r="A1248">
        <v>591500</v>
      </c>
      <c r="B1248" s="29">
        <f t="shared" si="62"/>
        <v>3810669193.8478837</v>
      </c>
      <c r="C1248" s="39">
        <f t="shared" si="63"/>
        <v>4495400000</v>
      </c>
      <c r="D1248" s="76">
        <f t="shared" si="64"/>
        <v>684730806.1521163</v>
      </c>
    </row>
    <row r="1249" spans="1:4" x14ac:dyDescent="0.3">
      <c r="A1249">
        <v>592000</v>
      </c>
      <c r="B1249" s="29">
        <f t="shared" si="62"/>
        <v>3813863701.5385437</v>
      </c>
      <c r="C1249" s="39">
        <f t="shared" si="63"/>
        <v>4499200000</v>
      </c>
      <c r="D1249" s="76">
        <f t="shared" si="64"/>
        <v>685336298.4614563</v>
      </c>
    </row>
    <row r="1250" spans="1:4" x14ac:dyDescent="0.3">
      <c r="A1250">
        <v>592500</v>
      </c>
      <c r="B1250" s="29">
        <f t="shared" si="62"/>
        <v>3817058209.2292037</v>
      </c>
      <c r="C1250" s="39">
        <f t="shared" si="63"/>
        <v>4503000000</v>
      </c>
      <c r="D1250" s="76">
        <f t="shared" si="64"/>
        <v>685941790.7707963</v>
      </c>
    </row>
    <row r="1251" spans="1:4" x14ac:dyDescent="0.3">
      <c r="A1251">
        <v>593000</v>
      </c>
      <c r="B1251" s="29">
        <f t="shared" si="62"/>
        <v>3820252716.9198637</v>
      </c>
      <c r="C1251" s="39">
        <f t="shared" si="63"/>
        <v>4506800000</v>
      </c>
      <c r="D1251" s="76">
        <f t="shared" si="64"/>
        <v>686547283.0801363</v>
      </c>
    </row>
    <row r="1252" spans="1:4" x14ac:dyDescent="0.3">
      <c r="A1252">
        <v>593500</v>
      </c>
      <c r="B1252" s="29">
        <f t="shared" si="62"/>
        <v>3823447224.6105237</v>
      </c>
      <c r="C1252" s="39">
        <f t="shared" si="63"/>
        <v>4510600000</v>
      </c>
      <c r="D1252" s="76">
        <f t="shared" si="64"/>
        <v>687152775.3894763</v>
      </c>
    </row>
    <row r="1253" spans="1:4" x14ac:dyDescent="0.3">
      <c r="A1253">
        <v>594000</v>
      </c>
      <c r="B1253" s="29">
        <f t="shared" si="62"/>
        <v>3826641732.3011837</v>
      </c>
      <c r="C1253" s="39">
        <f t="shared" si="63"/>
        <v>4514400000</v>
      </c>
      <c r="D1253" s="76">
        <f t="shared" si="64"/>
        <v>687758267.6988163</v>
      </c>
    </row>
    <row r="1254" spans="1:4" x14ac:dyDescent="0.3">
      <c r="A1254">
        <v>594500</v>
      </c>
      <c r="B1254" s="29">
        <f t="shared" si="62"/>
        <v>3829836239.9918437</v>
      </c>
      <c r="C1254" s="39">
        <f t="shared" si="63"/>
        <v>4518200000</v>
      </c>
      <c r="D1254" s="76">
        <f t="shared" si="64"/>
        <v>688363760.0081563</v>
      </c>
    </row>
    <row r="1255" spans="1:4" x14ac:dyDescent="0.3">
      <c r="A1255">
        <v>595000</v>
      </c>
      <c r="B1255" s="29">
        <f t="shared" si="62"/>
        <v>3833030747.6825037</v>
      </c>
      <c r="C1255" s="39">
        <f t="shared" si="63"/>
        <v>4522000000</v>
      </c>
      <c r="D1255" s="76">
        <f t="shared" si="64"/>
        <v>688969252.3174963</v>
      </c>
    </row>
    <row r="1256" spans="1:4" x14ac:dyDescent="0.3">
      <c r="A1256">
        <v>595500</v>
      </c>
      <c r="B1256" s="29">
        <f t="shared" si="62"/>
        <v>3836225255.3731637</v>
      </c>
      <c r="C1256" s="39">
        <f t="shared" si="63"/>
        <v>4525800000</v>
      </c>
      <c r="D1256" s="76">
        <f t="shared" si="64"/>
        <v>689574744.6268363</v>
      </c>
    </row>
    <row r="1257" spans="1:4" x14ac:dyDescent="0.3">
      <c r="A1257">
        <v>596000</v>
      </c>
      <c r="B1257" s="29">
        <f t="shared" si="62"/>
        <v>3839419763.0638237</v>
      </c>
      <c r="C1257" s="39">
        <f t="shared" si="63"/>
        <v>4529600000</v>
      </c>
      <c r="D1257" s="76">
        <f t="shared" si="64"/>
        <v>690180236.9361763</v>
      </c>
    </row>
    <row r="1258" spans="1:4" x14ac:dyDescent="0.3">
      <c r="A1258">
        <v>596500</v>
      </c>
      <c r="B1258" s="29">
        <f t="shared" si="62"/>
        <v>3842614270.7544837</v>
      </c>
      <c r="C1258" s="39">
        <f t="shared" si="63"/>
        <v>4533400000</v>
      </c>
      <c r="D1258" s="76">
        <f t="shared" si="64"/>
        <v>690785729.2455163</v>
      </c>
    </row>
    <row r="1259" spans="1:4" x14ac:dyDescent="0.3">
      <c r="A1259">
        <v>597000</v>
      </c>
      <c r="B1259" s="29">
        <f t="shared" si="62"/>
        <v>3845808778.4451437</v>
      </c>
      <c r="C1259" s="39">
        <f t="shared" si="63"/>
        <v>4537200000</v>
      </c>
      <c r="D1259" s="76">
        <f t="shared" si="64"/>
        <v>691391221.5548563</v>
      </c>
    </row>
    <row r="1260" spans="1:4" x14ac:dyDescent="0.3">
      <c r="A1260">
        <v>597500</v>
      </c>
      <c r="B1260" s="29">
        <f t="shared" si="62"/>
        <v>3849003286.1358037</v>
      </c>
      <c r="C1260" s="39">
        <f t="shared" si="63"/>
        <v>4541000000</v>
      </c>
      <c r="D1260" s="76">
        <f t="shared" si="64"/>
        <v>691996713.8641963</v>
      </c>
    </row>
    <row r="1261" spans="1:4" x14ac:dyDescent="0.3">
      <c r="A1261">
        <v>598000</v>
      </c>
      <c r="B1261" s="29">
        <f t="shared" si="62"/>
        <v>3852197793.8264637</v>
      </c>
      <c r="C1261" s="39">
        <f t="shared" si="63"/>
        <v>4544800000</v>
      </c>
      <c r="D1261" s="76">
        <f t="shared" si="64"/>
        <v>692602206.1735363</v>
      </c>
    </row>
    <row r="1262" spans="1:4" x14ac:dyDescent="0.3">
      <c r="A1262">
        <v>598500</v>
      </c>
      <c r="B1262" s="29">
        <f t="shared" si="62"/>
        <v>3855392301.5171237</v>
      </c>
      <c r="C1262" s="39">
        <f t="shared" si="63"/>
        <v>4548600000</v>
      </c>
      <c r="D1262" s="76">
        <f t="shared" si="64"/>
        <v>693207698.4828763</v>
      </c>
    </row>
    <row r="1263" spans="1:4" x14ac:dyDescent="0.3">
      <c r="A1263">
        <v>599000</v>
      </c>
      <c r="B1263" s="29">
        <f t="shared" si="62"/>
        <v>3858586809.2077837</v>
      </c>
      <c r="C1263" s="39">
        <f t="shared" si="63"/>
        <v>4552400000</v>
      </c>
      <c r="D1263" s="76">
        <f t="shared" si="64"/>
        <v>693813190.7922163</v>
      </c>
    </row>
    <row r="1264" spans="1:4" x14ac:dyDescent="0.3">
      <c r="A1264">
        <v>599500</v>
      </c>
      <c r="B1264" s="29">
        <f t="shared" si="62"/>
        <v>3861781316.8984437</v>
      </c>
      <c r="C1264" s="39">
        <f t="shared" si="63"/>
        <v>4556200000</v>
      </c>
      <c r="D1264" s="76">
        <f t="shared" si="64"/>
        <v>694418683.1015563</v>
      </c>
    </row>
    <row r="1265" spans="1:4" x14ac:dyDescent="0.3">
      <c r="A1265">
        <v>600000</v>
      </c>
      <c r="B1265" s="29">
        <f t="shared" si="62"/>
        <v>3864975824.5891037</v>
      </c>
      <c r="C1265" s="39">
        <f t="shared" si="63"/>
        <v>4560000000</v>
      </c>
      <c r="D1265" s="76">
        <f t="shared" si="64"/>
        <v>695024175.4108963</v>
      </c>
    </row>
    <row r="1266" spans="1:4" x14ac:dyDescent="0.3">
      <c r="A1266">
        <v>600500</v>
      </c>
      <c r="B1266" s="29">
        <f t="shared" si="62"/>
        <v>3868170332.2797637</v>
      </c>
      <c r="C1266" s="39">
        <f t="shared" si="63"/>
        <v>4563800000</v>
      </c>
      <c r="D1266" s="76">
        <f t="shared" si="64"/>
        <v>695629667.7202363</v>
      </c>
    </row>
    <row r="1267" spans="1:4" x14ac:dyDescent="0.3">
      <c r="A1267">
        <v>601000</v>
      </c>
      <c r="B1267" s="29">
        <f t="shared" si="62"/>
        <v>3871364839.9704237</v>
      </c>
      <c r="C1267" s="39">
        <f t="shared" si="63"/>
        <v>4567600000</v>
      </c>
      <c r="D1267" s="76">
        <f t="shared" si="64"/>
        <v>696235160.0295763</v>
      </c>
    </row>
    <row r="1268" spans="1:4" x14ac:dyDescent="0.3">
      <c r="A1268">
        <v>601500</v>
      </c>
      <c r="B1268" s="29">
        <f t="shared" si="62"/>
        <v>3874559347.6610837</v>
      </c>
      <c r="C1268" s="39">
        <f t="shared" si="63"/>
        <v>4571400000</v>
      </c>
      <c r="D1268" s="76">
        <f t="shared" si="64"/>
        <v>696840652.3389163</v>
      </c>
    </row>
    <row r="1269" spans="1:4" x14ac:dyDescent="0.3">
      <c r="A1269">
        <v>602000</v>
      </c>
      <c r="B1269" s="29">
        <f t="shared" si="62"/>
        <v>3877753855.3517437</v>
      </c>
      <c r="C1269" s="39">
        <f t="shared" si="63"/>
        <v>4575200000</v>
      </c>
      <c r="D1269" s="76">
        <f t="shared" si="64"/>
        <v>697446144.6482563</v>
      </c>
    </row>
    <row r="1270" spans="1:4" x14ac:dyDescent="0.3">
      <c r="A1270">
        <v>602500</v>
      </c>
      <c r="B1270" s="29">
        <f t="shared" si="62"/>
        <v>3880948363.0424037</v>
      </c>
      <c r="C1270" s="39">
        <f t="shared" si="63"/>
        <v>4579000000</v>
      </c>
      <c r="D1270" s="76">
        <f t="shared" si="64"/>
        <v>698051636.9575963</v>
      </c>
    </row>
    <row r="1271" spans="1:4" x14ac:dyDescent="0.3">
      <c r="A1271">
        <v>603000</v>
      </c>
      <c r="B1271" s="29">
        <f t="shared" si="62"/>
        <v>3884142870.7330637</v>
      </c>
      <c r="C1271" s="39">
        <f t="shared" si="63"/>
        <v>4582800000</v>
      </c>
      <c r="D1271" s="76">
        <f t="shared" si="64"/>
        <v>698657129.2669363</v>
      </c>
    </row>
    <row r="1272" spans="1:4" x14ac:dyDescent="0.3">
      <c r="A1272">
        <v>603500</v>
      </c>
      <c r="B1272" s="29">
        <f t="shared" si="62"/>
        <v>3887337378.4237237</v>
      </c>
      <c r="C1272" s="39">
        <f t="shared" si="63"/>
        <v>4586600000</v>
      </c>
      <c r="D1272" s="76">
        <f t="shared" si="64"/>
        <v>699262621.5762763</v>
      </c>
    </row>
    <row r="1273" spans="1:4" x14ac:dyDescent="0.3">
      <c r="A1273">
        <v>604000</v>
      </c>
      <c r="B1273" s="29">
        <f t="shared" si="62"/>
        <v>3890531886.1143837</v>
      </c>
      <c r="C1273" s="39">
        <f t="shared" si="63"/>
        <v>4590400000</v>
      </c>
      <c r="D1273" s="76">
        <f t="shared" si="64"/>
        <v>699868113.8856163</v>
      </c>
    </row>
    <row r="1274" spans="1:4" x14ac:dyDescent="0.3">
      <c r="A1274">
        <v>604500</v>
      </c>
      <c r="B1274" s="29">
        <f t="shared" si="62"/>
        <v>3893726393.8050437</v>
      </c>
      <c r="C1274" s="39">
        <f t="shared" si="63"/>
        <v>4594200000</v>
      </c>
      <c r="D1274" s="76">
        <f t="shared" si="64"/>
        <v>700473606.1949563</v>
      </c>
    </row>
    <row r="1275" spans="1:4" x14ac:dyDescent="0.3">
      <c r="A1275">
        <v>605000</v>
      </c>
      <c r="B1275" s="29">
        <f t="shared" si="62"/>
        <v>3896920901.4957037</v>
      </c>
      <c r="C1275" s="39">
        <f t="shared" si="63"/>
        <v>4598000000</v>
      </c>
      <c r="D1275" s="76">
        <f t="shared" si="64"/>
        <v>701079098.5042963</v>
      </c>
    </row>
    <row r="1276" spans="1:4" x14ac:dyDescent="0.3">
      <c r="A1276">
        <v>605500</v>
      </c>
      <c r="B1276" s="29">
        <f t="shared" si="62"/>
        <v>3900115409.1863637</v>
      </c>
      <c r="C1276" s="39">
        <f t="shared" si="63"/>
        <v>4601800000</v>
      </c>
      <c r="D1276" s="76">
        <f t="shared" si="64"/>
        <v>701684590.8136363</v>
      </c>
    </row>
    <row r="1277" spans="1:4" x14ac:dyDescent="0.3">
      <c r="A1277">
        <v>606000</v>
      </c>
      <c r="B1277" s="29">
        <f t="shared" si="62"/>
        <v>3903309916.8770237</v>
      </c>
      <c r="C1277" s="39">
        <f t="shared" si="63"/>
        <v>4605600000</v>
      </c>
      <c r="D1277" s="76">
        <f t="shared" si="64"/>
        <v>702290083.1229763</v>
      </c>
    </row>
    <row r="1278" spans="1:4" x14ac:dyDescent="0.3">
      <c r="A1278">
        <v>606500</v>
      </c>
      <c r="B1278" s="29">
        <f t="shared" si="62"/>
        <v>3906504424.5676837</v>
      </c>
      <c r="C1278" s="39">
        <f t="shared" si="63"/>
        <v>4609400000</v>
      </c>
      <c r="D1278" s="76">
        <f t="shared" si="64"/>
        <v>702895575.4323163</v>
      </c>
    </row>
    <row r="1279" spans="1:4" x14ac:dyDescent="0.3">
      <c r="A1279">
        <v>607000</v>
      </c>
      <c r="B1279" s="29">
        <f t="shared" si="62"/>
        <v>3909698932.2583437</v>
      </c>
      <c r="C1279" s="39">
        <f t="shared" si="63"/>
        <v>4613200000</v>
      </c>
      <c r="D1279" s="76">
        <f t="shared" si="64"/>
        <v>703501067.7416563</v>
      </c>
    </row>
    <row r="1280" spans="1:4" x14ac:dyDescent="0.3">
      <c r="A1280">
        <v>607500</v>
      </c>
      <c r="B1280" s="29">
        <f t="shared" si="62"/>
        <v>3912893439.9490037</v>
      </c>
      <c r="C1280" s="39">
        <f t="shared" si="63"/>
        <v>4617000000</v>
      </c>
      <c r="D1280" s="76">
        <f t="shared" si="64"/>
        <v>704106560.0509963</v>
      </c>
    </row>
    <row r="1281" spans="1:4" x14ac:dyDescent="0.3">
      <c r="A1281">
        <v>608000</v>
      </c>
      <c r="B1281" s="29">
        <f t="shared" si="62"/>
        <v>3916087947.6396637</v>
      </c>
      <c r="C1281" s="39">
        <f t="shared" si="63"/>
        <v>4620800000</v>
      </c>
      <c r="D1281" s="76">
        <f t="shared" si="64"/>
        <v>704712052.3603363</v>
      </c>
    </row>
    <row r="1282" spans="1:4" x14ac:dyDescent="0.3">
      <c r="A1282">
        <v>608500</v>
      </c>
      <c r="B1282" s="29">
        <f t="shared" ref="B1282:B1345" si="65">$B$54+($B$60*A1282)</f>
        <v>3919282455.3303237</v>
      </c>
      <c r="C1282" s="39">
        <f t="shared" ref="C1282:C1345" si="66">$E$50*A1282</f>
        <v>4624600000</v>
      </c>
      <c r="D1282" s="76">
        <f t="shared" ref="D1282:D1345" si="67">C1282-B1282</f>
        <v>705317544.6696763</v>
      </c>
    </row>
    <row r="1283" spans="1:4" x14ac:dyDescent="0.3">
      <c r="A1283">
        <v>609000</v>
      </c>
      <c r="B1283" s="29">
        <f t="shared" si="65"/>
        <v>3922476963.0209837</v>
      </c>
      <c r="C1283" s="39">
        <f t="shared" si="66"/>
        <v>4628400000</v>
      </c>
      <c r="D1283" s="76">
        <f t="shared" si="67"/>
        <v>705923036.9790163</v>
      </c>
    </row>
    <row r="1284" spans="1:4" x14ac:dyDescent="0.3">
      <c r="A1284">
        <v>609500</v>
      </c>
      <c r="B1284" s="29">
        <f t="shared" si="65"/>
        <v>3925671470.7116437</v>
      </c>
      <c r="C1284" s="39">
        <f t="shared" si="66"/>
        <v>4632200000</v>
      </c>
      <c r="D1284" s="76">
        <f t="shared" si="67"/>
        <v>706528529.2883563</v>
      </c>
    </row>
    <row r="1285" spans="1:4" x14ac:dyDescent="0.3">
      <c r="A1285">
        <v>610000</v>
      </c>
      <c r="B1285" s="29">
        <f t="shared" si="65"/>
        <v>3928865978.4023037</v>
      </c>
      <c r="C1285" s="39">
        <f t="shared" si="66"/>
        <v>4636000000</v>
      </c>
      <c r="D1285" s="76">
        <f t="shared" si="67"/>
        <v>707134021.5976963</v>
      </c>
    </row>
    <row r="1286" spans="1:4" x14ac:dyDescent="0.3">
      <c r="A1286">
        <v>610500</v>
      </c>
      <c r="B1286" s="29">
        <f t="shared" si="65"/>
        <v>3932060486.0929637</v>
      </c>
      <c r="C1286" s="39">
        <f t="shared" si="66"/>
        <v>4639800000</v>
      </c>
      <c r="D1286" s="76">
        <f t="shared" si="67"/>
        <v>707739513.9070363</v>
      </c>
    </row>
    <row r="1287" spans="1:4" x14ac:dyDescent="0.3">
      <c r="A1287">
        <v>611000</v>
      </c>
      <c r="B1287" s="29">
        <f t="shared" si="65"/>
        <v>3935254993.7836237</v>
      </c>
      <c r="C1287" s="39">
        <f t="shared" si="66"/>
        <v>4643600000</v>
      </c>
      <c r="D1287" s="76">
        <f t="shared" si="67"/>
        <v>708345006.2163763</v>
      </c>
    </row>
    <row r="1288" spans="1:4" x14ac:dyDescent="0.3">
      <c r="A1288">
        <v>611500</v>
      </c>
      <c r="B1288" s="29">
        <f t="shared" si="65"/>
        <v>3938449501.4742837</v>
      </c>
      <c r="C1288" s="39">
        <f t="shared" si="66"/>
        <v>4647400000</v>
      </c>
      <c r="D1288" s="76">
        <f t="shared" si="67"/>
        <v>708950498.5257163</v>
      </c>
    </row>
    <row r="1289" spans="1:4" x14ac:dyDescent="0.3">
      <c r="A1289">
        <v>612000</v>
      </c>
      <c r="B1289" s="29">
        <f t="shared" si="65"/>
        <v>3941644009.1649437</v>
      </c>
      <c r="C1289" s="39">
        <f t="shared" si="66"/>
        <v>4651200000</v>
      </c>
      <c r="D1289" s="76">
        <f t="shared" si="67"/>
        <v>709555990.8350563</v>
      </c>
    </row>
    <row r="1290" spans="1:4" x14ac:dyDescent="0.3">
      <c r="A1290">
        <v>612500</v>
      </c>
      <c r="B1290" s="29">
        <f t="shared" si="65"/>
        <v>3944838516.8556037</v>
      </c>
      <c r="C1290" s="39">
        <f t="shared" si="66"/>
        <v>4655000000</v>
      </c>
      <c r="D1290" s="76">
        <f t="shared" si="67"/>
        <v>710161483.14439631</v>
      </c>
    </row>
    <row r="1291" spans="1:4" x14ac:dyDescent="0.3">
      <c r="A1291">
        <v>613000</v>
      </c>
      <c r="B1291" s="29">
        <f t="shared" si="65"/>
        <v>3948033024.5462637</v>
      </c>
      <c r="C1291" s="39">
        <f t="shared" si="66"/>
        <v>4658800000</v>
      </c>
      <c r="D1291" s="76">
        <f t="shared" si="67"/>
        <v>710766975.45373631</v>
      </c>
    </row>
    <row r="1292" spans="1:4" x14ac:dyDescent="0.3">
      <c r="A1292">
        <v>613500</v>
      </c>
      <c r="B1292" s="29">
        <f t="shared" si="65"/>
        <v>3951227532.2369237</v>
      </c>
      <c r="C1292" s="39">
        <f t="shared" si="66"/>
        <v>4662600000</v>
      </c>
      <c r="D1292" s="76">
        <f t="shared" si="67"/>
        <v>711372467.76307631</v>
      </c>
    </row>
    <row r="1293" spans="1:4" x14ac:dyDescent="0.3">
      <c r="A1293">
        <v>614000</v>
      </c>
      <c r="B1293" s="29">
        <f t="shared" si="65"/>
        <v>3954422039.9275837</v>
      </c>
      <c r="C1293" s="39">
        <f t="shared" si="66"/>
        <v>4666400000</v>
      </c>
      <c r="D1293" s="76">
        <f t="shared" si="67"/>
        <v>711977960.07241631</v>
      </c>
    </row>
    <row r="1294" spans="1:4" x14ac:dyDescent="0.3">
      <c r="A1294">
        <v>614500</v>
      </c>
      <c r="B1294" s="29">
        <f t="shared" si="65"/>
        <v>3957616547.6182437</v>
      </c>
      <c r="C1294" s="39">
        <f t="shared" si="66"/>
        <v>4670200000</v>
      </c>
      <c r="D1294" s="76">
        <f t="shared" si="67"/>
        <v>712583452.38175631</v>
      </c>
    </row>
    <row r="1295" spans="1:4" x14ac:dyDescent="0.3">
      <c r="A1295">
        <v>615000</v>
      </c>
      <c r="B1295" s="29">
        <f t="shared" si="65"/>
        <v>3960811055.3089037</v>
      </c>
      <c r="C1295" s="39">
        <f t="shared" si="66"/>
        <v>4674000000</v>
      </c>
      <c r="D1295" s="76">
        <f t="shared" si="67"/>
        <v>713188944.69109631</v>
      </c>
    </row>
    <row r="1296" spans="1:4" x14ac:dyDescent="0.3">
      <c r="A1296">
        <v>615500</v>
      </c>
      <c r="B1296" s="29">
        <f t="shared" si="65"/>
        <v>3964005562.9995637</v>
      </c>
      <c r="C1296" s="39">
        <f t="shared" si="66"/>
        <v>4677800000</v>
      </c>
      <c r="D1296" s="76">
        <f t="shared" si="67"/>
        <v>713794437.00043631</v>
      </c>
    </row>
    <row r="1297" spans="1:4" x14ac:dyDescent="0.3">
      <c r="A1297">
        <v>616000</v>
      </c>
      <c r="B1297" s="29">
        <f t="shared" si="65"/>
        <v>3967200070.6902237</v>
      </c>
      <c r="C1297" s="39">
        <f t="shared" si="66"/>
        <v>4681600000</v>
      </c>
      <c r="D1297" s="76">
        <f t="shared" si="67"/>
        <v>714399929.30977631</v>
      </c>
    </row>
    <row r="1298" spans="1:4" x14ac:dyDescent="0.3">
      <c r="A1298">
        <v>616500</v>
      </c>
      <c r="B1298" s="29">
        <f t="shared" si="65"/>
        <v>3970394578.3808837</v>
      </c>
      <c r="C1298" s="39">
        <f t="shared" si="66"/>
        <v>4685400000</v>
      </c>
      <c r="D1298" s="76">
        <f t="shared" si="67"/>
        <v>715005421.61911631</v>
      </c>
    </row>
    <row r="1299" spans="1:4" x14ac:dyDescent="0.3">
      <c r="A1299">
        <v>617000</v>
      </c>
      <c r="B1299" s="29">
        <f t="shared" si="65"/>
        <v>3973589086.0715437</v>
      </c>
      <c r="C1299" s="39">
        <f t="shared" si="66"/>
        <v>4689200000</v>
      </c>
      <c r="D1299" s="76">
        <f t="shared" si="67"/>
        <v>715610913.92845631</v>
      </c>
    </row>
    <row r="1300" spans="1:4" x14ac:dyDescent="0.3">
      <c r="A1300">
        <v>617500</v>
      </c>
      <c r="B1300" s="29">
        <f t="shared" si="65"/>
        <v>3976783593.7622037</v>
      </c>
      <c r="C1300" s="39">
        <f t="shared" si="66"/>
        <v>4693000000</v>
      </c>
      <c r="D1300" s="76">
        <f t="shared" si="67"/>
        <v>716216406.23779631</v>
      </c>
    </row>
    <row r="1301" spans="1:4" x14ac:dyDescent="0.3">
      <c r="A1301">
        <v>618000</v>
      </c>
      <c r="B1301" s="29">
        <f t="shared" si="65"/>
        <v>3979978101.4528637</v>
      </c>
      <c r="C1301" s="39">
        <f t="shared" si="66"/>
        <v>4696800000</v>
      </c>
      <c r="D1301" s="76">
        <f t="shared" si="67"/>
        <v>716821898.54713631</v>
      </c>
    </row>
    <row r="1302" spans="1:4" x14ac:dyDescent="0.3">
      <c r="A1302">
        <v>618500</v>
      </c>
      <c r="B1302" s="29">
        <f t="shared" si="65"/>
        <v>3983172609.1435237</v>
      </c>
      <c r="C1302" s="39">
        <f t="shared" si="66"/>
        <v>4700600000</v>
      </c>
      <c r="D1302" s="76">
        <f t="shared" si="67"/>
        <v>717427390.85647631</v>
      </c>
    </row>
    <row r="1303" spans="1:4" x14ac:dyDescent="0.3">
      <c r="A1303">
        <v>619000</v>
      </c>
      <c r="B1303" s="29">
        <f t="shared" si="65"/>
        <v>3986367116.8341837</v>
      </c>
      <c r="C1303" s="39">
        <f t="shared" si="66"/>
        <v>4704400000</v>
      </c>
      <c r="D1303" s="76">
        <f t="shared" si="67"/>
        <v>718032883.16581631</v>
      </c>
    </row>
    <row r="1304" spans="1:4" x14ac:dyDescent="0.3">
      <c r="A1304">
        <v>619500</v>
      </c>
      <c r="B1304" s="29">
        <f t="shared" si="65"/>
        <v>3989561624.5248437</v>
      </c>
      <c r="C1304" s="39">
        <f t="shared" si="66"/>
        <v>4708200000</v>
      </c>
      <c r="D1304" s="76">
        <f t="shared" si="67"/>
        <v>718638375.47515631</v>
      </c>
    </row>
    <row r="1305" spans="1:4" x14ac:dyDescent="0.3">
      <c r="A1305">
        <v>620000</v>
      </c>
      <c r="B1305" s="29">
        <f t="shared" si="65"/>
        <v>3992756132.2155037</v>
      </c>
      <c r="C1305" s="39">
        <f t="shared" si="66"/>
        <v>4712000000</v>
      </c>
      <c r="D1305" s="76">
        <f t="shared" si="67"/>
        <v>719243867.78449631</v>
      </c>
    </row>
    <row r="1306" spans="1:4" x14ac:dyDescent="0.3">
      <c r="A1306">
        <v>620500</v>
      </c>
      <c r="B1306" s="29">
        <f t="shared" si="65"/>
        <v>3995950639.9061637</v>
      </c>
      <c r="C1306" s="39">
        <f t="shared" si="66"/>
        <v>4715800000</v>
      </c>
      <c r="D1306" s="76">
        <f t="shared" si="67"/>
        <v>719849360.09383631</v>
      </c>
    </row>
    <row r="1307" spans="1:4" x14ac:dyDescent="0.3">
      <c r="A1307">
        <v>621000</v>
      </c>
      <c r="B1307" s="29">
        <f t="shared" si="65"/>
        <v>3999145147.5968237</v>
      </c>
      <c r="C1307" s="39">
        <f t="shared" si="66"/>
        <v>4719600000</v>
      </c>
      <c r="D1307" s="76">
        <f t="shared" si="67"/>
        <v>720454852.40317631</v>
      </c>
    </row>
    <row r="1308" spans="1:4" x14ac:dyDescent="0.3">
      <c r="A1308">
        <v>621500</v>
      </c>
      <c r="B1308" s="29">
        <f t="shared" si="65"/>
        <v>4002339655.2874837</v>
      </c>
      <c r="C1308" s="39">
        <f t="shared" si="66"/>
        <v>4723400000</v>
      </c>
      <c r="D1308" s="76">
        <f t="shared" si="67"/>
        <v>721060344.71251631</v>
      </c>
    </row>
    <row r="1309" spans="1:4" x14ac:dyDescent="0.3">
      <c r="A1309">
        <v>622000</v>
      </c>
      <c r="B1309" s="29">
        <f t="shared" si="65"/>
        <v>4005534162.9781437</v>
      </c>
      <c r="C1309" s="39">
        <f t="shared" si="66"/>
        <v>4727200000</v>
      </c>
      <c r="D1309" s="76">
        <f t="shared" si="67"/>
        <v>721665837.02185631</v>
      </c>
    </row>
    <row r="1310" spans="1:4" x14ac:dyDescent="0.3">
      <c r="A1310">
        <v>622500</v>
      </c>
      <c r="B1310" s="29">
        <f t="shared" si="65"/>
        <v>4008728670.6688037</v>
      </c>
      <c r="C1310" s="39">
        <f t="shared" si="66"/>
        <v>4731000000</v>
      </c>
      <c r="D1310" s="76">
        <f t="shared" si="67"/>
        <v>722271329.33119631</v>
      </c>
    </row>
    <row r="1311" spans="1:4" x14ac:dyDescent="0.3">
      <c r="A1311">
        <v>623000</v>
      </c>
      <c r="B1311" s="29">
        <f t="shared" si="65"/>
        <v>4011923178.3594637</v>
      </c>
      <c r="C1311" s="39">
        <f t="shared" si="66"/>
        <v>4734800000</v>
      </c>
      <c r="D1311" s="76">
        <f t="shared" si="67"/>
        <v>722876821.64053631</v>
      </c>
    </row>
    <row r="1312" spans="1:4" x14ac:dyDescent="0.3">
      <c r="A1312">
        <v>623500</v>
      </c>
      <c r="B1312" s="29">
        <f t="shared" si="65"/>
        <v>4015117686.0501237</v>
      </c>
      <c r="C1312" s="39">
        <f t="shared" si="66"/>
        <v>4738600000</v>
      </c>
      <c r="D1312" s="76">
        <f t="shared" si="67"/>
        <v>723482313.94987631</v>
      </c>
    </row>
    <row r="1313" spans="1:4" x14ac:dyDescent="0.3">
      <c r="A1313">
        <v>624000</v>
      </c>
      <c r="B1313" s="29">
        <f t="shared" si="65"/>
        <v>4018312193.7407837</v>
      </c>
      <c r="C1313" s="39">
        <f t="shared" si="66"/>
        <v>4742400000</v>
      </c>
      <c r="D1313" s="76">
        <f t="shared" si="67"/>
        <v>724087806.25921631</v>
      </c>
    </row>
    <row r="1314" spans="1:4" x14ac:dyDescent="0.3">
      <c r="A1314">
        <v>624500</v>
      </c>
      <c r="B1314" s="29">
        <f t="shared" si="65"/>
        <v>4021506701.4314437</v>
      </c>
      <c r="C1314" s="39">
        <f t="shared" si="66"/>
        <v>4746200000</v>
      </c>
      <c r="D1314" s="76">
        <f t="shared" si="67"/>
        <v>724693298.56855631</v>
      </c>
    </row>
    <row r="1315" spans="1:4" x14ac:dyDescent="0.3">
      <c r="A1315">
        <v>625000</v>
      </c>
      <c r="B1315" s="29">
        <f t="shared" si="65"/>
        <v>4024701209.1221037</v>
      </c>
      <c r="C1315" s="39">
        <f t="shared" si="66"/>
        <v>4750000000</v>
      </c>
      <c r="D1315" s="76">
        <f t="shared" si="67"/>
        <v>725298790.87789631</v>
      </c>
    </row>
    <row r="1316" spans="1:4" x14ac:dyDescent="0.3">
      <c r="A1316">
        <v>625500</v>
      </c>
      <c r="B1316" s="29">
        <f t="shared" si="65"/>
        <v>4027895716.8127637</v>
      </c>
      <c r="C1316" s="39">
        <f t="shared" si="66"/>
        <v>4753800000</v>
      </c>
      <c r="D1316" s="76">
        <f t="shared" si="67"/>
        <v>725904283.18723631</v>
      </c>
    </row>
    <row r="1317" spans="1:4" x14ac:dyDescent="0.3">
      <c r="A1317">
        <v>626000</v>
      </c>
      <c r="B1317" s="29">
        <f t="shared" si="65"/>
        <v>4031090224.5034237</v>
      </c>
      <c r="C1317" s="39">
        <f t="shared" si="66"/>
        <v>4757600000</v>
      </c>
      <c r="D1317" s="76">
        <f t="shared" si="67"/>
        <v>726509775.49657631</v>
      </c>
    </row>
    <row r="1318" spans="1:4" x14ac:dyDescent="0.3">
      <c r="A1318">
        <v>626500</v>
      </c>
      <c r="B1318" s="29">
        <f t="shared" si="65"/>
        <v>4034284732.1940837</v>
      </c>
      <c r="C1318" s="39">
        <f t="shared" si="66"/>
        <v>4761400000</v>
      </c>
      <c r="D1318" s="76">
        <f t="shared" si="67"/>
        <v>727115267.80591631</v>
      </c>
    </row>
    <row r="1319" spans="1:4" x14ac:dyDescent="0.3">
      <c r="A1319">
        <v>627000</v>
      </c>
      <c r="B1319" s="29">
        <f t="shared" si="65"/>
        <v>4037479239.8847437</v>
      </c>
      <c r="C1319" s="39">
        <f t="shared" si="66"/>
        <v>4765200000</v>
      </c>
      <c r="D1319" s="76">
        <f t="shared" si="67"/>
        <v>727720760.11525631</v>
      </c>
    </row>
    <row r="1320" spans="1:4" x14ac:dyDescent="0.3">
      <c r="A1320">
        <v>627500</v>
      </c>
      <c r="B1320" s="29">
        <f t="shared" si="65"/>
        <v>4040673747.5754037</v>
      </c>
      <c r="C1320" s="39">
        <f t="shared" si="66"/>
        <v>4769000000</v>
      </c>
      <c r="D1320" s="76">
        <f t="shared" si="67"/>
        <v>728326252.42459631</v>
      </c>
    </row>
    <row r="1321" spans="1:4" x14ac:dyDescent="0.3">
      <c r="A1321">
        <v>628000</v>
      </c>
      <c r="B1321" s="29">
        <f t="shared" si="65"/>
        <v>4043868255.2660637</v>
      </c>
      <c r="C1321" s="39">
        <f t="shared" si="66"/>
        <v>4772800000</v>
      </c>
      <c r="D1321" s="76">
        <f t="shared" si="67"/>
        <v>728931744.73393631</v>
      </c>
    </row>
    <row r="1322" spans="1:4" x14ac:dyDescent="0.3">
      <c r="A1322">
        <v>628500</v>
      </c>
      <c r="B1322" s="29">
        <f t="shared" si="65"/>
        <v>4047062762.9567237</v>
      </c>
      <c r="C1322" s="39">
        <f t="shared" si="66"/>
        <v>4776600000</v>
      </c>
      <c r="D1322" s="76">
        <f t="shared" si="67"/>
        <v>729537237.04327631</v>
      </c>
    </row>
    <row r="1323" spans="1:4" x14ac:dyDescent="0.3">
      <c r="A1323">
        <v>629000</v>
      </c>
      <c r="B1323" s="29">
        <f t="shared" si="65"/>
        <v>4050257270.6473837</v>
      </c>
      <c r="C1323" s="39">
        <f t="shared" si="66"/>
        <v>4780400000</v>
      </c>
      <c r="D1323" s="76">
        <f t="shared" si="67"/>
        <v>730142729.35261631</v>
      </c>
    </row>
    <row r="1324" spans="1:4" x14ac:dyDescent="0.3">
      <c r="A1324">
        <v>629500</v>
      </c>
      <c r="B1324" s="29">
        <f t="shared" si="65"/>
        <v>4053451778.3380437</v>
      </c>
      <c r="C1324" s="39">
        <f t="shared" si="66"/>
        <v>4784200000</v>
      </c>
      <c r="D1324" s="76">
        <f t="shared" si="67"/>
        <v>730748221.66195631</v>
      </c>
    </row>
    <row r="1325" spans="1:4" x14ac:dyDescent="0.3">
      <c r="A1325">
        <v>630000</v>
      </c>
      <c r="B1325" s="29">
        <f t="shared" si="65"/>
        <v>4056646286.0287037</v>
      </c>
      <c r="C1325" s="39">
        <f t="shared" si="66"/>
        <v>4788000000</v>
      </c>
      <c r="D1325" s="76">
        <f t="shared" si="67"/>
        <v>731353713.97129631</v>
      </c>
    </row>
    <row r="1326" spans="1:4" x14ac:dyDescent="0.3">
      <c r="A1326">
        <v>630500</v>
      </c>
      <c r="B1326" s="29">
        <f t="shared" si="65"/>
        <v>4059840793.7193637</v>
      </c>
      <c r="C1326" s="39">
        <f t="shared" si="66"/>
        <v>4791800000</v>
      </c>
      <c r="D1326" s="76">
        <f t="shared" si="67"/>
        <v>731959206.28063631</v>
      </c>
    </row>
    <row r="1327" spans="1:4" x14ac:dyDescent="0.3">
      <c r="A1327">
        <v>631000</v>
      </c>
      <c r="B1327" s="29">
        <f t="shared" si="65"/>
        <v>4063035301.4100237</v>
      </c>
      <c r="C1327" s="39">
        <f t="shared" si="66"/>
        <v>4795600000</v>
      </c>
      <c r="D1327" s="76">
        <f t="shared" si="67"/>
        <v>732564698.58997631</v>
      </c>
    </row>
    <row r="1328" spans="1:4" x14ac:dyDescent="0.3">
      <c r="A1328">
        <v>631500</v>
      </c>
      <c r="B1328" s="29">
        <f t="shared" si="65"/>
        <v>4066229809.1006837</v>
      </c>
      <c r="C1328" s="39">
        <f t="shared" si="66"/>
        <v>4799400000</v>
      </c>
      <c r="D1328" s="76">
        <f t="shared" si="67"/>
        <v>733170190.89931631</v>
      </c>
    </row>
    <row r="1329" spans="1:4" x14ac:dyDescent="0.3">
      <c r="A1329">
        <v>632000</v>
      </c>
      <c r="B1329" s="29">
        <f t="shared" si="65"/>
        <v>4069424316.7913437</v>
      </c>
      <c r="C1329" s="39">
        <f t="shared" si="66"/>
        <v>4803200000</v>
      </c>
      <c r="D1329" s="76">
        <f t="shared" si="67"/>
        <v>733775683.20865631</v>
      </c>
    </row>
    <row r="1330" spans="1:4" x14ac:dyDescent="0.3">
      <c r="A1330">
        <v>632500</v>
      </c>
      <c r="B1330" s="29">
        <f t="shared" si="65"/>
        <v>4072618824.4820037</v>
      </c>
      <c r="C1330" s="39">
        <f t="shared" si="66"/>
        <v>4807000000</v>
      </c>
      <c r="D1330" s="76">
        <f t="shared" si="67"/>
        <v>734381175.51799631</v>
      </c>
    </row>
    <row r="1331" spans="1:4" x14ac:dyDescent="0.3">
      <c r="A1331">
        <v>633000</v>
      </c>
      <c r="B1331" s="29">
        <f t="shared" si="65"/>
        <v>4075813332.1726637</v>
      </c>
      <c r="C1331" s="39">
        <f t="shared" si="66"/>
        <v>4810800000</v>
      </c>
      <c r="D1331" s="76">
        <f t="shared" si="67"/>
        <v>734986667.82733631</v>
      </c>
    </row>
    <row r="1332" spans="1:4" x14ac:dyDescent="0.3">
      <c r="A1332">
        <v>633500</v>
      </c>
      <c r="B1332" s="29">
        <f t="shared" si="65"/>
        <v>4079007839.8633237</v>
      </c>
      <c r="C1332" s="39">
        <f t="shared" si="66"/>
        <v>4814600000</v>
      </c>
      <c r="D1332" s="76">
        <f t="shared" si="67"/>
        <v>735592160.13667631</v>
      </c>
    </row>
    <row r="1333" spans="1:4" x14ac:dyDescent="0.3">
      <c r="A1333">
        <v>634000</v>
      </c>
      <c r="B1333" s="29">
        <f t="shared" si="65"/>
        <v>4082202347.5539837</v>
      </c>
      <c r="C1333" s="39">
        <f t="shared" si="66"/>
        <v>4818400000</v>
      </c>
      <c r="D1333" s="76">
        <f t="shared" si="67"/>
        <v>736197652.44601631</v>
      </c>
    </row>
    <row r="1334" spans="1:4" x14ac:dyDescent="0.3">
      <c r="A1334">
        <v>634500</v>
      </c>
      <c r="B1334" s="29">
        <f t="shared" si="65"/>
        <v>4085396855.2446437</v>
      </c>
      <c r="C1334" s="39">
        <f t="shared" si="66"/>
        <v>4822200000</v>
      </c>
      <c r="D1334" s="76">
        <f t="shared" si="67"/>
        <v>736803144.75535631</v>
      </c>
    </row>
    <row r="1335" spans="1:4" x14ac:dyDescent="0.3">
      <c r="A1335">
        <v>635000</v>
      </c>
      <c r="B1335" s="29">
        <f t="shared" si="65"/>
        <v>4088591362.9353037</v>
      </c>
      <c r="C1335" s="39">
        <f t="shared" si="66"/>
        <v>4826000000</v>
      </c>
      <c r="D1335" s="76">
        <f t="shared" si="67"/>
        <v>737408637.06469631</v>
      </c>
    </row>
    <row r="1336" spans="1:4" x14ac:dyDescent="0.3">
      <c r="A1336">
        <v>635500</v>
      </c>
      <c r="B1336" s="29">
        <f t="shared" si="65"/>
        <v>4091785870.6259637</v>
      </c>
      <c r="C1336" s="39">
        <f t="shared" si="66"/>
        <v>4829800000</v>
      </c>
      <c r="D1336" s="76">
        <f t="shared" si="67"/>
        <v>738014129.37403631</v>
      </c>
    </row>
    <row r="1337" spans="1:4" x14ac:dyDescent="0.3">
      <c r="A1337">
        <v>636000</v>
      </c>
      <c r="B1337" s="29">
        <f t="shared" si="65"/>
        <v>4094980378.3166237</v>
      </c>
      <c r="C1337" s="39">
        <f t="shared" si="66"/>
        <v>4833600000</v>
      </c>
      <c r="D1337" s="76">
        <f t="shared" si="67"/>
        <v>738619621.68337631</v>
      </c>
    </row>
    <row r="1338" spans="1:4" x14ac:dyDescent="0.3">
      <c r="A1338">
        <v>636500</v>
      </c>
      <c r="B1338" s="29">
        <f t="shared" si="65"/>
        <v>4098174886.0072837</v>
      </c>
      <c r="C1338" s="39">
        <f t="shared" si="66"/>
        <v>4837400000</v>
      </c>
      <c r="D1338" s="76">
        <f t="shared" si="67"/>
        <v>739225113.99271631</v>
      </c>
    </row>
    <row r="1339" spans="1:4" x14ac:dyDescent="0.3">
      <c r="A1339">
        <v>637000</v>
      </c>
      <c r="B1339" s="29">
        <f t="shared" si="65"/>
        <v>4101369393.6979437</v>
      </c>
      <c r="C1339" s="39">
        <f t="shared" si="66"/>
        <v>4841200000</v>
      </c>
      <c r="D1339" s="76">
        <f t="shared" si="67"/>
        <v>739830606.30205631</v>
      </c>
    </row>
    <row r="1340" spans="1:4" x14ac:dyDescent="0.3">
      <c r="A1340">
        <v>637500</v>
      </c>
      <c r="B1340" s="29">
        <f t="shared" si="65"/>
        <v>4104563901.3886037</v>
      </c>
      <c r="C1340" s="39">
        <f t="shared" si="66"/>
        <v>4845000000</v>
      </c>
      <c r="D1340" s="76">
        <f t="shared" si="67"/>
        <v>740436098.61139631</v>
      </c>
    </row>
    <row r="1341" spans="1:4" x14ac:dyDescent="0.3">
      <c r="A1341">
        <v>638000</v>
      </c>
      <c r="B1341" s="29">
        <f t="shared" si="65"/>
        <v>4107758409.0792637</v>
      </c>
      <c r="C1341" s="39">
        <f t="shared" si="66"/>
        <v>4848800000</v>
      </c>
      <c r="D1341" s="76">
        <f t="shared" si="67"/>
        <v>741041590.92073631</v>
      </c>
    </row>
    <row r="1342" spans="1:4" x14ac:dyDescent="0.3">
      <c r="A1342">
        <v>638500</v>
      </c>
      <c r="B1342" s="29">
        <f t="shared" si="65"/>
        <v>4110952916.7699237</v>
      </c>
      <c r="C1342" s="39">
        <f t="shared" si="66"/>
        <v>4852600000</v>
      </c>
      <c r="D1342" s="76">
        <f t="shared" si="67"/>
        <v>741647083.23007631</v>
      </c>
    </row>
    <row r="1343" spans="1:4" x14ac:dyDescent="0.3">
      <c r="A1343">
        <v>639000</v>
      </c>
      <c r="B1343" s="29">
        <f t="shared" si="65"/>
        <v>4114147424.4605837</v>
      </c>
      <c r="C1343" s="39">
        <f t="shared" si="66"/>
        <v>4856400000</v>
      </c>
      <c r="D1343" s="76">
        <f t="shared" si="67"/>
        <v>742252575.53941631</v>
      </c>
    </row>
    <row r="1344" spans="1:4" x14ac:dyDescent="0.3">
      <c r="A1344">
        <v>639500</v>
      </c>
      <c r="B1344" s="29">
        <f t="shared" si="65"/>
        <v>4117341932.1512437</v>
      </c>
      <c r="C1344" s="39">
        <f t="shared" si="66"/>
        <v>4860200000</v>
      </c>
      <c r="D1344" s="76">
        <f t="shared" si="67"/>
        <v>742858067.84875631</v>
      </c>
    </row>
    <row r="1345" spans="1:4" x14ac:dyDescent="0.3">
      <c r="A1345">
        <v>640000</v>
      </c>
      <c r="B1345" s="29">
        <f t="shared" si="65"/>
        <v>4120536439.8419037</v>
      </c>
      <c r="C1345" s="39">
        <f t="shared" si="66"/>
        <v>4864000000</v>
      </c>
      <c r="D1345" s="76">
        <f t="shared" si="67"/>
        <v>743463560.15809631</v>
      </c>
    </row>
    <row r="1346" spans="1:4" x14ac:dyDescent="0.3">
      <c r="A1346">
        <v>640500</v>
      </c>
      <c r="B1346" s="29">
        <f t="shared" ref="B1346:B1409" si="68">$B$54+($B$60*A1346)</f>
        <v>4123730947.5325637</v>
      </c>
      <c r="C1346" s="39">
        <f t="shared" ref="C1346:C1409" si="69">$E$50*A1346</f>
        <v>4867800000</v>
      </c>
      <c r="D1346" s="76">
        <f t="shared" ref="D1346:D1409" si="70">C1346-B1346</f>
        <v>744069052.46743631</v>
      </c>
    </row>
    <row r="1347" spans="1:4" x14ac:dyDescent="0.3">
      <c r="A1347">
        <v>641000</v>
      </c>
      <c r="B1347" s="29">
        <f t="shared" si="68"/>
        <v>4126925455.2232237</v>
      </c>
      <c r="C1347" s="39">
        <f t="shared" si="69"/>
        <v>4871600000</v>
      </c>
      <c r="D1347" s="76">
        <f t="shared" si="70"/>
        <v>744674544.77677631</v>
      </c>
    </row>
    <row r="1348" spans="1:4" x14ac:dyDescent="0.3">
      <c r="A1348">
        <v>641500</v>
      </c>
      <c r="B1348" s="29">
        <f t="shared" si="68"/>
        <v>4130119962.9138837</v>
      </c>
      <c r="C1348" s="39">
        <f t="shared" si="69"/>
        <v>4875400000</v>
      </c>
      <c r="D1348" s="76">
        <f t="shared" si="70"/>
        <v>745280037.08611631</v>
      </c>
    </row>
    <row r="1349" spans="1:4" x14ac:dyDescent="0.3">
      <c r="A1349">
        <v>642000</v>
      </c>
      <c r="B1349" s="29">
        <f t="shared" si="68"/>
        <v>4133314470.6045437</v>
      </c>
      <c r="C1349" s="39">
        <f t="shared" si="69"/>
        <v>4879200000</v>
      </c>
      <c r="D1349" s="76">
        <f t="shared" si="70"/>
        <v>745885529.39545631</v>
      </c>
    </row>
    <row r="1350" spans="1:4" x14ac:dyDescent="0.3">
      <c r="A1350">
        <v>642500</v>
      </c>
      <c r="B1350" s="29">
        <f t="shared" si="68"/>
        <v>4136508978.2952037</v>
      </c>
      <c r="C1350" s="39">
        <f t="shared" si="69"/>
        <v>4883000000</v>
      </c>
      <c r="D1350" s="76">
        <f t="shared" si="70"/>
        <v>746491021.70479631</v>
      </c>
    </row>
    <row r="1351" spans="1:4" x14ac:dyDescent="0.3">
      <c r="A1351">
        <v>643000</v>
      </c>
      <c r="B1351" s="29">
        <f t="shared" si="68"/>
        <v>4139703485.9858637</v>
      </c>
      <c r="C1351" s="39">
        <f t="shared" si="69"/>
        <v>4886800000</v>
      </c>
      <c r="D1351" s="76">
        <f t="shared" si="70"/>
        <v>747096514.01413631</v>
      </c>
    </row>
    <row r="1352" spans="1:4" x14ac:dyDescent="0.3">
      <c r="A1352">
        <v>643500</v>
      </c>
      <c r="B1352" s="29">
        <f t="shared" si="68"/>
        <v>4142897993.6765237</v>
      </c>
      <c r="C1352" s="39">
        <f t="shared" si="69"/>
        <v>4890600000</v>
      </c>
      <c r="D1352" s="76">
        <f t="shared" si="70"/>
        <v>747702006.32347631</v>
      </c>
    </row>
    <row r="1353" spans="1:4" x14ac:dyDescent="0.3">
      <c r="A1353">
        <v>644000</v>
      </c>
      <c r="B1353" s="29">
        <f t="shared" si="68"/>
        <v>4146092501.3671837</v>
      </c>
      <c r="C1353" s="39">
        <f t="shared" si="69"/>
        <v>4894400000</v>
      </c>
      <c r="D1353" s="76">
        <f t="shared" si="70"/>
        <v>748307498.63281631</v>
      </c>
    </row>
    <row r="1354" spans="1:4" x14ac:dyDescent="0.3">
      <c r="A1354">
        <v>644500</v>
      </c>
      <c r="B1354" s="29">
        <f t="shared" si="68"/>
        <v>4149287009.0578437</v>
      </c>
      <c r="C1354" s="39">
        <f t="shared" si="69"/>
        <v>4898200000</v>
      </c>
      <c r="D1354" s="76">
        <f t="shared" si="70"/>
        <v>748912990.94215631</v>
      </c>
    </row>
    <row r="1355" spans="1:4" x14ac:dyDescent="0.3">
      <c r="A1355">
        <v>645000</v>
      </c>
      <c r="B1355" s="29">
        <f t="shared" si="68"/>
        <v>4152481516.7485037</v>
      </c>
      <c r="C1355" s="39">
        <f t="shared" si="69"/>
        <v>4902000000</v>
      </c>
      <c r="D1355" s="76">
        <f t="shared" si="70"/>
        <v>749518483.25149632</v>
      </c>
    </row>
    <row r="1356" spans="1:4" x14ac:dyDescent="0.3">
      <c r="A1356">
        <v>645500</v>
      </c>
      <c r="B1356" s="29">
        <f t="shared" si="68"/>
        <v>4155676024.4391637</v>
      </c>
      <c r="C1356" s="39">
        <f t="shared" si="69"/>
        <v>4905800000</v>
      </c>
      <c r="D1356" s="76">
        <f t="shared" si="70"/>
        <v>750123975.56083632</v>
      </c>
    </row>
    <row r="1357" spans="1:4" x14ac:dyDescent="0.3">
      <c r="A1357">
        <v>646000</v>
      </c>
      <c r="B1357" s="29">
        <f t="shared" si="68"/>
        <v>4158870532.1298237</v>
      </c>
      <c r="C1357" s="39">
        <f t="shared" si="69"/>
        <v>4909600000</v>
      </c>
      <c r="D1357" s="76">
        <f t="shared" si="70"/>
        <v>750729467.87017632</v>
      </c>
    </row>
    <row r="1358" spans="1:4" x14ac:dyDescent="0.3">
      <c r="A1358">
        <v>646500</v>
      </c>
      <c r="B1358" s="29">
        <f t="shared" si="68"/>
        <v>4162065039.8204837</v>
      </c>
      <c r="C1358" s="39">
        <f t="shared" si="69"/>
        <v>4913400000</v>
      </c>
      <c r="D1358" s="76">
        <f t="shared" si="70"/>
        <v>751334960.17951632</v>
      </c>
    </row>
    <row r="1359" spans="1:4" x14ac:dyDescent="0.3">
      <c r="A1359">
        <v>647000</v>
      </c>
      <c r="B1359" s="29">
        <f t="shared" si="68"/>
        <v>4165259547.5111437</v>
      </c>
      <c r="C1359" s="39">
        <f t="shared" si="69"/>
        <v>4917200000</v>
      </c>
      <c r="D1359" s="76">
        <f t="shared" si="70"/>
        <v>751940452.48885632</v>
      </c>
    </row>
    <row r="1360" spans="1:4" x14ac:dyDescent="0.3">
      <c r="A1360">
        <v>647500</v>
      </c>
      <c r="B1360" s="29">
        <f t="shared" si="68"/>
        <v>4168454055.2018037</v>
      </c>
      <c r="C1360" s="39">
        <f t="shared" si="69"/>
        <v>4921000000</v>
      </c>
      <c r="D1360" s="76">
        <f t="shared" si="70"/>
        <v>752545944.79819632</v>
      </c>
    </row>
    <row r="1361" spans="1:4" x14ac:dyDescent="0.3">
      <c r="A1361">
        <v>648000</v>
      </c>
      <c r="B1361" s="29">
        <f t="shared" si="68"/>
        <v>4171648562.8924637</v>
      </c>
      <c r="C1361" s="39">
        <f t="shared" si="69"/>
        <v>4924800000</v>
      </c>
      <c r="D1361" s="76">
        <f t="shared" si="70"/>
        <v>753151437.10753632</v>
      </c>
    </row>
    <row r="1362" spans="1:4" x14ac:dyDescent="0.3">
      <c r="A1362">
        <v>648500</v>
      </c>
      <c r="B1362" s="29">
        <f t="shared" si="68"/>
        <v>4174843070.5831237</v>
      </c>
      <c r="C1362" s="39">
        <f t="shared" si="69"/>
        <v>4928600000</v>
      </c>
      <c r="D1362" s="76">
        <f t="shared" si="70"/>
        <v>753756929.41687632</v>
      </c>
    </row>
    <row r="1363" spans="1:4" x14ac:dyDescent="0.3">
      <c r="A1363">
        <v>649000</v>
      </c>
      <c r="B1363" s="29">
        <f t="shared" si="68"/>
        <v>4178037578.2737837</v>
      </c>
      <c r="C1363" s="39">
        <f t="shared" si="69"/>
        <v>4932400000</v>
      </c>
      <c r="D1363" s="76">
        <f t="shared" si="70"/>
        <v>754362421.72621632</v>
      </c>
    </row>
    <row r="1364" spans="1:4" x14ac:dyDescent="0.3">
      <c r="A1364">
        <v>649500</v>
      </c>
      <c r="B1364" s="29">
        <f t="shared" si="68"/>
        <v>4181232085.9644437</v>
      </c>
      <c r="C1364" s="39">
        <f t="shared" si="69"/>
        <v>4936200000</v>
      </c>
      <c r="D1364" s="76">
        <f t="shared" si="70"/>
        <v>754967914.03555632</v>
      </c>
    </row>
    <row r="1365" spans="1:4" x14ac:dyDescent="0.3">
      <c r="A1365">
        <v>650000</v>
      </c>
      <c r="B1365" s="29">
        <f t="shared" si="68"/>
        <v>4184426593.6551037</v>
      </c>
      <c r="C1365" s="39">
        <f t="shared" si="69"/>
        <v>4940000000</v>
      </c>
      <c r="D1365" s="76">
        <f t="shared" si="70"/>
        <v>755573406.34489632</v>
      </c>
    </row>
    <row r="1366" spans="1:4" x14ac:dyDescent="0.3">
      <c r="A1366">
        <v>650500</v>
      </c>
      <c r="B1366" s="29">
        <f t="shared" si="68"/>
        <v>4187621101.3457637</v>
      </c>
      <c r="C1366" s="39">
        <f t="shared" si="69"/>
        <v>4943800000</v>
      </c>
      <c r="D1366" s="76">
        <f t="shared" si="70"/>
        <v>756178898.65423632</v>
      </c>
    </row>
    <row r="1367" spans="1:4" x14ac:dyDescent="0.3">
      <c r="A1367">
        <v>651000</v>
      </c>
      <c r="B1367" s="29">
        <f t="shared" si="68"/>
        <v>4190815609.0364237</v>
      </c>
      <c r="C1367" s="39">
        <f t="shared" si="69"/>
        <v>4947600000</v>
      </c>
      <c r="D1367" s="76">
        <f t="shared" si="70"/>
        <v>756784390.96357632</v>
      </c>
    </row>
    <row r="1368" spans="1:4" x14ac:dyDescent="0.3">
      <c r="A1368">
        <v>651500</v>
      </c>
      <c r="B1368" s="29">
        <f t="shared" si="68"/>
        <v>4194010116.7270837</v>
      </c>
      <c r="C1368" s="39">
        <f t="shared" si="69"/>
        <v>4951400000</v>
      </c>
      <c r="D1368" s="76">
        <f t="shared" si="70"/>
        <v>757389883.27291632</v>
      </c>
    </row>
    <row r="1369" spans="1:4" x14ac:dyDescent="0.3">
      <c r="A1369">
        <v>652000</v>
      </c>
      <c r="B1369" s="29">
        <f t="shared" si="68"/>
        <v>4197204624.4177437</v>
      </c>
      <c r="C1369" s="39">
        <f t="shared" si="69"/>
        <v>4955200000</v>
      </c>
      <c r="D1369" s="76">
        <f t="shared" si="70"/>
        <v>757995375.58225632</v>
      </c>
    </row>
    <row r="1370" spans="1:4" x14ac:dyDescent="0.3">
      <c r="A1370">
        <v>652500</v>
      </c>
      <c r="B1370" s="29">
        <f t="shared" si="68"/>
        <v>4200399132.1084037</v>
      </c>
      <c r="C1370" s="39">
        <f t="shared" si="69"/>
        <v>4959000000</v>
      </c>
      <c r="D1370" s="76">
        <f t="shared" si="70"/>
        <v>758600867.89159632</v>
      </c>
    </row>
    <row r="1371" spans="1:4" x14ac:dyDescent="0.3">
      <c r="A1371">
        <v>653000</v>
      </c>
      <c r="B1371" s="29">
        <f t="shared" si="68"/>
        <v>4203593639.7990637</v>
      </c>
      <c r="C1371" s="39">
        <f t="shared" si="69"/>
        <v>4962800000</v>
      </c>
      <c r="D1371" s="76">
        <f t="shared" si="70"/>
        <v>759206360.20093632</v>
      </c>
    </row>
    <row r="1372" spans="1:4" x14ac:dyDescent="0.3">
      <c r="A1372">
        <v>653500</v>
      </c>
      <c r="B1372" s="29">
        <f t="shared" si="68"/>
        <v>4206788147.4897237</v>
      </c>
      <c r="C1372" s="39">
        <f t="shared" si="69"/>
        <v>4966600000</v>
      </c>
      <c r="D1372" s="76">
        <f t="shared" si="70"/>
        <v>759811852.51027632</v>
      </c>
    </row>
    <row r="1373" spans="1:4" x14ac:dyDescent="0.3">
      <c r="A1373">
        <v>654000</v>
      </c>
      <c r="B1373" s="29">
        <f t="shared" si="68"/>
        <v>4209982655.1803837</v>
      </c>
      <c r="C1373" s="39">
        <f t="shared" si="69"/>
        <v>4970400000</v>
      </c>
      <c r="D1373" s="76">
        <f t="shared" si="70"/>
        <v>760417344.81961632</v>
      </c>
    </row>
    <row r="1374" spans="1:4" x14ac:dyDescent="0.3">
      <c r="A1374">
        <v>654500</v>
      </c>
      <c r="B1374" s="29">
        <f t="shared" si="68"/>
        <v>4213177162.8710437</v>
      </c>
      <c r="C1374" s="39">
        <f t="shared" si="69"/>
        <v>4974200000</v>
      </c>
      <c r="D1374" s="76">
        <f t="shared" si="70"/>
        <v>761022837.12895632</v>
      </c>
    </row>
    <row r="1375" spans="1:4" x14ac:dyDescent="0.3">
      <c r="A1375">
        <v>655000</v>
      </c>
      <c r="B1375" s="29">
        <f t="shared" si="68"/>
        <v>4216371670.5617037</v>
      </c>
      <c r="C1375" s="39">
        <f t="shared" si="69"/>
        <v>4978000000</v>
      </c>
      <c r="D1375" s="76">
        <f t="shared" si="70"/>
        <v>761628329.43829632</v>
      </c>
    </row>
    <row r="1376" spans="1:4" x14ac:dyDescent="0.3">
      <c r="A1376">
        <v>655500</v>
      </c>
      <c r="B1376" s="29">
        <f t="shared" si="68"/>
        <v>4219566178.2523637</v>
      </c>
      <c r="C1376" s="39">
        <f t="shared" si="69"/>
        <v>4981800000</v>
      </c>
      <c r="D1376" s="76">
        <f t="shared" si="70"/>
        <v>762233821.74763632</v>
      </c>
    </row>
    <row r="1377" spans="1:4" x14ac:dyDescent="0.3">
      <c r="A1377">
        <v>656000</v>
      </c>
      <c r="B1377" s="29">
        <f t="shared" si="68"/>
        <v>4222760685.9430237</v>
      </c>
      <c r="C1377" s="39">
        <f t="shared" si="69"/>
        <v>4985600000</v>
      </c>
      <c r="D1377" s="76">
        <f t="shared" si="70"/>
        <v>762839314.05697632</v>
      </c>
    </row>
    <row r="1378" spans="1:4" x14ac:dyDescent="0.3">
      <c r="A1378">
        <v>656500</v>
      </c>
      <c r="B1378" s="29">
        <f t="shared" si="68"/>
        <v>4225955193.6336837</v>
      </c>
      <c r="C1378" s="39">
        <f t="shared" si="69"/>
        <v>4989400000</v>
      </c>
      <c r="D1378" s="76">
        <f t="shared" si="70"/>
        <v>763444806.36631632</v>
      </c>
    </row>
    <row r="1379" spans="1:4" x14ac:dyDescent="0.3">
      <c r="A1379">
        <v>657000</v>
      </c>
      <c r="B1379" s="29">
        <f t="shared" si="68"/>
        <v>4229149701.3243437</v>
      </c>
      <c r="C1379" s="39">
        <f t="shared" si="69"/>
        <v>4993200000</v>
      </c>
      <c r="D1379" s="76">
        <f t="shared" si="70"/>
        <v>764050298.67565632</v>
      </c>
    </row>
    <row r="1380" spans="1:4" x14ac:dyDescent="0.3">
      <c r="A1380">
        <v>657500</v>
      </c>
      <c r="B1380" s="29">
        <f t="shared" si="68"/>
        <v>4232344209.0150037</v>
      </c>
      <c r="C1380" s="39">
        <f t="shared" si="69"/>
        <v>4997000000</v>
      </c>
      <c r="D1380" s="76">
        <f t="shared" si="70"/>
        <v>764655790.98499632</v>
      </c>
    </row>
    <row r="1381" spans="1:4" x14ac:dyDescent="0.3">
      <c r="A1381">
        <v>658000</v>
      </c>
      <c r="B1381" s="29">
        <f t="shared" si="68"/>
        <v>4235538716.7056637</v>
      </c>
      <c r="C1381" s="39">
        <f t="shared" si="69"/>
        <v>5000800000</v>
      </c>
      <c r="D1381" s="76">
        <f t="shared" si="70"/>
        <v>765261283.29433632</v>
      </c>
    </row>
    <row r="1382" spans="1:4" x14ac:dyDescent="0.3">
      <c r="A1382">
        <v>658500</v>
      </c>
      <c r="B1382" s="29">
        <f t="shared" si="68"/>
        <v>4238733224.3963237</v>
      </c>
      <c r="C1382" s="39">
        <f t="shared" si="69"/>
        <v>5004600000</v>
      </c>
      <c r="D1382" s="76">
        <f t="shared" si="70"/>
        <v>765866775.60367632</v>
      </c>
    </row>
    <row r="1383" spans="1:4" x14ac:dyDescent="0.3">
      <c r="A1383">
        <v>659000</v>
      </c>
      <c r="B1383" s="29">
        <f t="shared" si="68"/>
        <v>4241927732.0869837</v>
      </c>
      <c r="C1383" s="39">
        <f t="shared" si="69"/>
        <v>5008400000</v>
      </c>
      <c r="D1383" s="76">
        <f t="shared" si="70"/>
        <v>766472267.91301632</v>
      </c>
    </row>
    <row r="1384" spans="1:4" x14ac:dyDescent="0.3">
      <c r="A1384">
        <v>659500</v>
      </c>
      <c r="B1384" s="29">
        <f t="shared" si="68"/>
        <v>4245122239.7776437</v>
      </c>
      <c r="C1384" s="39">
        <f t="shared" si="69"/>
        <v>5012200000</v>
      </c>
      <c r="D1384" s="76">
        <f t="shared" si="70"/>
        <v>767077760.22235632</v>
      </c>
    </row>
    <row r="1385" spans="1:4" x14ac:dyDescent="0.3">
      <c r="A1385">
        <v>660000</v>
      </c>
      <c r="B1385" s="29">
        <f t="shared" si="68"/>
        <v>4248316747.4683037</v>
      </c>
      <c r="C1385" s="39">
        <f t="shared" si="69"/>
        <v>5016000000</v>
      </c>
      <c r="D1385" s="76">
        <f t="shared" si="70"/>
        <v>767683252.53169632</v>
      </c>
    </row>
    <row r="1386" spans="1:4" x14ac:dyDescent="0.3">
      <c r="A1386">
        <v>660500</v>
      </c>
      <c r="B1386" s="29">
        <f t="shared" si="68"/>
        <v>4251511255.1589637</v>
      </c>
      <c r="C1386" s="39">
        <f t="shared" si="69"/>
        <v>5019800000</v>
      </c>
      <c r="D1386" s="76">
        <f t="shared" si="70"/>
        <v>768288744.84103632</v>
      </c>
    </row>
    <row r="1387" spans="1:4" x14ac:dyDescent="0.3">
      <c r="A1387">
        <v>661000</v>
      </c>
      <c r="B1387" s="29">
        <f t="shared" si="68"/>
        <v>4254705762.8496237</v>
      </c>
      <c r="C1387" s="39">
        <f t="shared" si="69"/>
        <v>5023600000</v>
      </c>
      <c r="D1387" s="76">
        <f t="shared" si="70"/>
        <v>768894237.15037632</v>
      </c>
    </row>
    <row r="1388" spans="1:4" x14ac:dyDescent="0.3">
      <c r="A1388">
        <v>661500</v>
      </c>
      <c r="B1388" s="29">
        <f t="shared" si="68"/>
        <v>4257900270.5402837</v>
      </c>
      <c r="C1388" s="39">
        <f t="shared" si="69"/>
        <v>5027400000</v>
      </c>
      <c r="D1388" s="76">
        <f t="shared" si="70"/>
        <v>769499729.45971632</v>
      </c>
    </row>
    <row r="1389" spans="1:4" x14ac:dyDescent="0.3">
      <c r="A1389">
        <v>662000</v>
      </c>
      <c r="B1389" s="29">
        <f t="shared" si="68"/>
        <v>4261094778.2309437</v>
      </c>
      <c r="C1389" s="39">
        <f t="shared" si="69"/>
        <v>5031200000</v>
      </c>
      <c r="D1389" s="76">
        <f t="shared" si="70"/>
        <v>770105221.76905632</v>
      </c>
    </row>
    <row r="1390" spans="1:4" x14ac:dyDescent="0.3">
      <c r="A1390">
        <v>662500</v>
      </c>
      <c r="B1390" s="29">
        <f t="shared" si="68"/>
        <v>4264289285.9216037</v>
      </c>
      <c r="C1390" s="39">
        <f t="shared" si="69"/>
        <v>5035000000</v>
      </c>
      <c r="D1390" s="76">
        <f t="shared" si="70"/>
        <v>770710714.07839632</v>
      </c>
    </row>
    <row r="1391" spans="1:4" x14ac:dyDescent="0.3">
      <c r="A1391">
        <v>663000</v>
      </c>
      <c r="B1391" s="29">
        <f t="shared" si="68"/>
        <v>4267483793.6122637</v>
      </c>
      <c r="C1391" s="39">
        <f t="shared" si="69"/>
        <v>5038800000</v>
      </c>
      <c r="D1391" s="76">
        <f t="shared" si="70"/>
        <v>771316206.38773632</v>
      </c>
    </row>
    <row r="1392" spans="1:4" x14ac:dyDescent="0.3">
      <c r="A1392">
        <v>663500</v>
      </c>
      <c r="B1392" s="29">
        <f t="shared" si="68"/>
        <v>4270678301.3029237</v>
      </c>
      <c r="C1392" s="39">
        <f t="shared" si="69"/>
        <v>5042600000</v>
      </c>
      <c r="D1392" s="76">
        <f t="shared" si="70"/>
        <v>771921698.69707632</v>
      </c>
    </row>
    <row r="1393" spans="1:4" x14ac:dyDescent="0.3">
      <c r="A1393">
        <v>664000</v>
      </c>
      <c r="B1393" s="29">
        <f t="shared" si="68"/>
        <v>4273872808.9935837</v>
      </c>
      <c r="C1393" s="39">
        <f t="shared" si="69"/>
        <v>5046400000</v>
      </c>
      <c r="D1393" s="76">
        <f t="shared" si="70"/>
        <v>772527191.00641632</v>
      </c>
    </row>
    <row r="1394" spans="1:4" x14ac:dyDescent="0.3">
      <c r="A1394">
        <v>664500</v>
      </c>
      <c r="B1394" s="29">
        <f t="shared" si="68"/>
        <v>4277067316.6842437</v>
      </c>
      <c r="C1394" s="39">
        <f t="shared" si="69"/>
        <v>5050200000</v>
      </c>
      <c r="D1394" s="76">
        <f t="shared" si="70"/>
        <v>773132683.31575632</v>
      </c>
    </row>
    <row r="1395" spans="1:4" x14ac:dyDescent="0.3">
      <c r="A1395">
        <v>665000</v>
      </c>
      <c r="B1395" s="29">
        <f t="shared" si="68"/>
        <v>4280261824.3749037</v>
      </c>
      <c r="C1395" s="39">
        <f t="shared" si="69"/>
        <v>5054000000</v>
      </c>
      <c r="D1395" s="76">
        <f t="shared" si="70"/>
        <v>773738175.62509632</v>
      </c>
    </row>
    <row r="1396" spans="1:4" x14ac:dyDescent="0.3">
      <c r="A1396">
        <v>665500</v>
      </c>
      <c r="B1396" s="29">
        <f t="shared" si="68"/>
        <v>4283456332.0655637</v>
      </c>
      <c r="C1396" s="39">
        <f t="shared" si="69"/>
        <v>5057800000</v>
      </c>
      <c r="D1396" s="76">
        <f t="shared" si="70"/>
        <v>774343667.93443632</v>
      </c>
    </row>
    <row r="1397" spans="1:4" x14ac:dyDescent="0.3">
      <c r="A1397">
        <v>666000</v>
      </c>
      <c r="B1397" s="29">
        <f t="shared" si="68"/>
        <v>4286650839.7562237</v>
      </c>
      <c r="C1397" s="39">
        <f t="shared" si="69"/>
        <v>5061600000</v>
      </c>
      <c r="D1397" s="76">
        <f t="shared" si="70"/>
        <v>774949160.24377632</v>
      </c>
    </row>
    <row r="1398" spans="1:4" x14ac:dyDescent="0.3">
      <c r="A1398">
        <v>666500</v>
      </c>
      <c r="B1398" s="29">
        <f t="shared" si="68"/>
        <v>4289845347.4468837</v>
      </c>
      <c r="C1398" s="39">
        <f t="shared" si="69"/>
        <v>5065400000</v>
      </c>
      <c r="D1398" s="76">
        <f t="shared" si="70"/>
        <v>775554652.55311632</v>
      </c>
    </row>
    <row r="1399" spans="1:4" x14ac:dyDescent="0.3">
      <c r="A1399">
        <v>667000</v>
      </c>
      <c r="B1399" s="29">
        <f t="shared" si="68"/>
        <v>4293039855.1375437</v>
      </c>
      <c r="C1399" s="39">
        <f t="shared" si="69"/>
        <v>5069200000</v>
      </c>
      <c r="D1399" s="76">
        <f t="shared" si="70"/>
        <v>776160144.86245632</v>
      </c>
    </row>
    <row r="1400" spans="1:4" x14ac:dyDescent="0.3">
      <c r="A1400">
        <v>667500</v>
      </c>
      <c r="B1400" s="29">
        <f t="shared" si="68"/>
        <v>4296234362.8282042</v>
      </c>
      <c r="C1400" s="39">
        <f t="shared" si="69"/>
        <v>5073000000</v>
      </c>
      <c r="D1400" s="76">
        <f t="shared" si="70"/>
        <v>776765637.17179585</v>
      </c>
    </row>
    <row r="1401" spans="1:4" x14ac:dyDescent="0.3">
      <c r="A1401">
        <v>668000</v>
      </c>
      <c r="B1401" s="29">
        <f t="shared" si="68"/>
        <v>4299428870.5188637</v>
      </c>
      <c r="C1401" s="39">
        <f t="shared" si="69"/>
        <v>5076800000</v>
      </c>
      <c r="D1401" s="76">
        <f t="shared" si="70"/>
        <v>777371129.48113632</v>
      </c>
    </row>
    <row r="1402" spans="1:4" x14ac:dyDescent="0.3">
      <c r="A1402">
        <v>668500</v>
      </c>
      <c r="B1402" s="29">
        <f t="shared" si="68"/>
        <v>4302623378.2095242</v>
      </c>
      <c r="C1402" s="39">
        <f t="shared" si="69"/>
        <v>5080600000</v>
      </c>
      <c r="D1402" s="76">
        <f t="shared" si="70"/>
        <v>777976621.79047585</v>
      </c>
    </row>
    <row r="1403" spans="1:4" x14ac:dyDescent="0.3">
      <c r="A1403">
        <v>669000</v>
      </c>
      <c r="B1403" s="29">
        <f t="shared" si="68"/>
        <v>4305817885.9001837</v>
      </c>
      <c r="C1403" s="39">
        <f t="shared" si="69"/>
        <v>5084400000</v>
      </c>
      <c r="D1403" s="76">
        <f t="shared" si="70"/>
        <v>778582114.09981632</v>
      </c>
    </row>
    <row r="1404" spans="1:4" x14ac:dyDescent="0.3">
      <c r="A1404">
        <v>669500</v>
      </c>
      <c r="B1404" s="29">
        <f t="shared" si="68"/>
        <v>4309012393.5908442</v>
      </c>
      <c r="C1404" s="39">
        <f t="shared" si="69"/>
        <v>5088200000</v>
      </c>
      <c r="D1404" s="76">
        <f t="shared" si="70"/>
        <v>779187606.40915585</v>
      </c>
    </row>
    <row r="1405" spans="1:4" x14ac:dyDescent="0.3">
      <c r="A1405">
        <v>670000</v>
      </c>
      <c r="B1405" s="29">
        <f t="shared" si="68"/>
        <v>4312206901.2815037</v>
      </c>
      <c r="C1405" s="39">
        <f t="shared" si="69"/>
        <v>5092000000</v>
      </c>
      <c r="D1405" s="76">
        <f t="shared" si="70"/>
        <v>779793098.71849632</v>
      </c>
    </row>
    <row r="1406" spans="1:4" x14ac:dyDescent="0.3">
      <c r="A1406">
        <v>670500</v>
      </c>
      <c r="B1406" s="29">
        <f t="shared" si="68"/>
        <v>4315401408.9721642</v>
      </c>
      <c r="C1406" s="39">
        <f t="shared" si="69"/>
        <v>5095800000</v>
      </c>
      <c r="D1406" s="76">
        <f t="shared" si="70"/>
        <v>780398591.02783585</v>
      </c>
    </row>
    <row r="1407" spans="1:4" x14ac:dyDescent="0.3">
      <c r="A1407">
        <v>671000</v>
      </c>
      <c r="B1407" s="29">
        <f t="shared" si="68"/>
        <v>4318595916.6628237</v>
      </c>
      <c r="C1407" s="39">
        <f t="shared" si="69"/>
        <v>5099600000</v>
      </c>
      <c r="D1407" s="76">
        <f t="shared" si="70"/>
        <v>781004083.33717632</v>
      </c>
    </row>
    <row r="1408" spans="1:4" x14ac:dyDescent="0.3">
      <c r="A1408">
        <v>671500</v>
      </c>
      <c r="B1408" s="29">
        <f t="shared" si="68"/>
        <v>4321790424.3534842</v>
      </c>
      <c r="C1408" s="39">
        <f t="shared" si="69"/>
        <v>5103400000</v>
      </c>
      <c r="D1408" s="76">
        <f t="shared" si="70"/>
        <v>781609575.64651585</v>
      </c>
    </row>
    <row r="1409" spans="1:4" x14ac:dyDescent="0.3">
      <c r="A1409">
        <v>672000</v>
      </c>
      <c r="B1409" s="29">
        <f t="shared" si="68"/>
        <v>4324984932.0441437</v>
      </c>
      <c r="C1409" s="39">
        <f t="shared" si="69"/>
        <v>5107200000</v>
      </c>
      <c r="D1409" s="76">
        <f t="shared" si="70"/>
        <v>782215067.95585632</v>
      </c>
    </row>
    <row r="1410" spans="1:4" x14ac:dyDescent="0.3">
      <c r="A1410">
        <v>672500</v>
      </c>
      <c r="B1410" s="29">
        <f t="shared" ref="B1410:B1473" si="71">$B$54+($B$60*A1410)</f>
        <v>4328179439.7348032</v>
      </c>
      <c r="C1410" s="39">
        <f t="shared" ref="C1410:C1473" si="72">$E$50*A1410</f>
        <v>5111000000</v>
      </c>
      <c r="D1410" s="76">
        <f t="shared" ref="D1410:D1473" si="73">C1410-B1410</f>
        <v>782820560.2651968</v>
      </c>
    </row>
    <row r="1411" spans="1:4" x14ac:dyDescent="0.3">
      <c r="A1411">
        <v>673000</v>
      </c>
      <c r="B1411" s="29">
        <f t="shared" si="71"/>
        <v>4331373947.4254637</v>
      </c>
      <c r="C1411" s="39">
        <f t="shared" si="72"/>
        <v>5114800000</v>
      </c>
      <c r="D1411" s="76">
        <f t="shared" si="73"/>
        <v>783426052.57453632</v>
      </c>
    </row>
    <row r="1412" spans="1:4" x14ac:dyDescent="0.3">
      <c r="A1412">
        <v>673500</v>
      </c>
      <c r="B1412" s="29">
        <f t="shared" si="71"/>
        <v>4334568455.1161232</v>
      </c>
      <c r="C1412" s="39">
        <f t="shared" si="72"/>
        <v>5118600000</v>
      </c>
      <c r="D1412" s="76">
        <f t="shared" si="73"/>
        <v>784031544.8838768</v>
      </c>
    </row>
    <row r="1413" spans="1:4" x14ac:dyDescent="0.3">
      <c r="A1413">
        <v>674000</v>
      </c>
      <c r="B1413" s="29">
        <f t="shared" si="71"/>
        <v>4337762962.8067837</v>
      </c>
      <c r="C1413" s="39">
        <f t="shared" si="72"/>
        <v>5122400000</v>
      </c>
      <c r="D1413" s="76">
        <f t="shared" si="73"/>
        <v>784637037.19321632</v>
      </c>
    </row>
    <row r="1414" spans="1:4" x14ac:dyDescent="0.3">
      <c r="A1414">
        <v>674500</v>
      </c>
      <c r="B1414" s="29">
        <f t="shared" si="71"/>
        <v>4340957470.4974432</v>
      </c>
      <c r="C1414" s="39">
        <f t="shared" si="72"/>
        <v>5126200000</v>
      </c>
      <c r="D1414" s="76">
        <f t="shared" si="73"/>
        <v>785242529.5025568</v>
      </c>
    </row>
    <row r="1415" spans="1:4" x14ac:dyDescent="0.3">
      <c r="A1415">
        <v>675000</v>
      </c>
      <c r="B1415" s="29">
        <f t="shared" si="71"/>
        <v>4344151978.1881037</v>
      </c>
      <c r="C1415" s="39">
        <f t="shared" si="72"/>
        <v>5130000000</v>
      </c>
      <c r="D1415" s="76">
        <f t="shared" si="73"/>
        <v>785848021.81189632</v>
      </c>
    </row>
    <row r="1416" spans="1:4" x14ac:dyDescent="0.3">
      <c r="A1416">
        <v>675500</v>
      </c>
      <c r="B1416" s="29">
        <f t="shared" si="71"/>
        <v>4347346485.8787632</v>
      </c>
      <c r="C1416" s="39">
        <f t="shared" si="72"/>
        <v>5133800000</v>
      </c>
      <c r="D1416" s="76">
        <f t="shared" si="73"/>
        <v>786453514.1212368</v>
      </c>
    </row>
    <row r="1417" spans="1:4" x14ac:dyDescent="0.3">
      <c r="A1417">
        <v>676000</v>
      </c>
      <c r="B1417" s="29">
        <f t="shared" si="71"/>
        <v>4350540993.5694237</v>
      </c>
      <c r="C1417" s="39">
        <f t="shared" si="72"/>
        <v>5137600000</v>
      </c>
      <c r="D1417" s="76">
        <f t="shared" si="73"/>
        <v>787059006.43057632</v>
      </c>
    </row>
    <row r="1418" spans="1:4" x14ac:dyDescent="0.3">
      <c r="A1418">
        <v>676500</v>
      </c>
      <c r="B1418" s="29">
        <f t="shared" si="71"/>
        <v>4353735501.2600832</v>
      </c>
      <c r="C1418" s="39">
        <f t="shared" si="72"/>
        <v>5141400000</v>
      </c>
      <c r="D1418" s="76">
        <f t="shared" si="73"/>
        <v>787664498.7399168</v>
      </c>
    </row>
    <row r="1419" spans="1:4" x14ac:dyDescent="0.3">
      <c r="A1419">
        <v>677000</v>
      </c>
      <c r="B1419" s="29">
        <f t="shared" si="71"/>
        <v>4356930008.9507437</v>
      </c>
      <c r="C1419" s="39">
        <f t="shared" si="72"/>
        <v>5145200000</v>
      </c>
      <c r="D1419" s="76">
        <f t="shared" si="73"/>
        <v>788269991.04925632</v>
      </c>
    </row>
    <row r="1420" spans="1:4" x14ac:dyDescent="0.3">
      <c r="A1420">
        <v>677500</v>
      </c>
      <c r="B1420" s="29">
        <f t="shared" si="71"/>
        <v>4360124516.6414032</v>
      </c>
      <c r="C1420" s="39">
        <f t="shared" si="72"/>
        <v>5149000000</v>
      </c>
      <c r="D1420" s="76">
        <f t="shared" si="73"/>
        <v>788875483.3585968</v>
      </c>
    </row>
    <row r="1421" spans="1:4" x14ac:dyDescent="0.3">
      <c r="A1421">
        <v>678000</v>
      </c>
      <c r="B1421" s="29">
        <f t="shared" si="71"/>
        <v>4363319024.3320637</v>
      </c>
      <c r="C1421" s="39">
        <f t="shared" si="72"/>
        <v>5152800000</v>
      </c>
      <c r="D1421" s="76">
        <f t="shared" si="73"/>
        <v>789480975.66793633</v>
      </c>
    </row>
    <row r="1422" spans="1:4" x14ac:dyDescent="0.3">
      <c r="A1422">
        <v>678500</v>
      </c>
      <c r="B1422" s="29">
        <f t="shared" si="71"/>
        <v>4366513532.0227232</v>
      </c>
      <c r="C1422" s="39">
        <f t="shared" si="72"/>
        <v>5156600000</v>
      </c>
      <c r="D1422" s="76">
        <f t="shared" si="73"/>
        <v>790086467.9772768</v>
      </c>
    </row>
    <row r="1423" spans="1:4" x14ac:dyDescent="0.3">
      <c r="A1423">
        <v>679000</v>
      </c>
      <c r="B1423" s="29">
        <f t="shared" si="71"/>
        <v>4369708039.7133837</v>
      </c>
      <c r="C1423" s="39">
        <f t="shared" si="72"/>
        <v>5160400000</v>
      </c>
      <c r="D1423" s="76">
        <f t="shared" si="73"/>
        <v>790691960.28661633</v>
      </c>
    </row>
    <row r="1424" spans="1:4" x14ac:dyDescent="0.3">
      <c r="A1424">
        <v>679500</v>
      </c>
      <c r="B1424" s="29">
        <f t="shared" si="71"/>
        <v>4372902547.4040432</v>
      </c>
      <c r="C1424" s="39">
        <f t="shared" si="72"/>
        <v>5164200000</v>
      </c>
      <c r="D1424" s="76">
        <f t="shared" si="73"/>
        <v>791297452.5959568</v>
      </c>
    </row>
    <row r="1425" spans="1:4" x14ac:dyDescent="0.3">
      <c r="A1425">
        <v>680000</v>
      </c>
      <c r="B1425" s="29">
        <f t="shared" si="71"/>
        <v>4376097055.0947037</v>
      </c>
      <c r="C1425" s="39">
        <f t="shared" si="72"/>
        <v>5168000000</v>
      </c>
      <c r="D1425" s="76">
        <f t="shared" si="73"/>
        <v>791902944.90529633</v>
      </c>
    </row>
    <row r="1426" spans="1:4" x14ac:dyDescent="0.3">
      <c r="A1426">
        <v>680500</v>
      </c>
      <c r="B1426" s="29">
        <f t="shared" si="71"/>
        <v>4379291562.7853632</v>
      </c>
      <c r="C1426" s="39">
        <f t="shared" si="72"/>
        <v>5171800000</v>
      </c>
      <c r="D1426" s="76">
        <f t="shared" si="73"/>
        <v>792508437.2146368</v>
      </c>
    </row>
    <row r="1427" spans="1:4" x14ac:dyDescent="0.3">
      <c r="A1427">
        <v>681000</v>
      </c>
      <c r="B1427" s="29">
        <f t="shared" si="71"/>
        <v>4382486070.4760237</v>
      </c>
      <c r="C1427" s="39">
        <f t="shared" si="72"/>
        <v>5175600000</v>
      </c>
      <c r="D1427" s="76">
        <f t="shared" si="73"/>
        <v>793113929.52397633</v>
      </c>
    </row>
    <row r="1428" spans="1:4" x14ac:dyDescent="0.3">
      <c r="A1428">
        <v>681500</v>
      </c>
      <c r="B1428" s="29">
        <f t="shared" si="71"/>
        <v>4385680578.1666832</v>
      </c>
      <c r="C1428" s="39">
        <f t="shared" si="72"/>
        <v>5179400000</v>
      </c>
      <c r="D1428" s="76">
        <f t="shared" si="73"/>
        <v>793719421.8333168</v>
      </c>
    </row>
    <row r="1429" spans="1:4" x14ac:dyDescent="0.3">
      <c r="A1429">
        <v>682000</v>
      </c>
      <c r="B1429" s="29">
        <f t="shared" si="71"/>
        <v>4388875085.8573437</v>
      </c>
      <c r="C1429" s="39">
        <f t="shared" si="72"/>
        <v>5183200000</v>
      </c>
      <c r="D1429" s="76">
        <f t="shared" si="73"/>
        <v>794324914.14265633</v>
      </c>
    </row>
    <row r="1430" spans="1:4" x14ac:dyDescent="0.3">
      <c r="A1430">
        <v>682500</v>
      </c>
      <c r="B1430" s="29">
        <f t="shared" si="71"/>
        <v>4392069593.5480032</v>
      </c>
      <c r="C1430" s="39">
        <f t="shared" si="72"/>
        <v>5187000000</v>
      </c>
      <c r="D1430" s="76">
        <f t="shared" si="73"/>
        <v>794930406.4519968</v>
      </c>
    </row>
    <row r="1431" spans="1:4" x14ac:dyDescent="0.3">
      <c r="A1431">
        <v>683000</v>
      </c>
      <c r="B1431" s="29">
        <f t="shared" si="71"/>
        <v>4395264101.2386637</v>
      </c>
      <c r="C1431" s="39">
        <f t="shared" si="72"/>
        <v>5190800000</v>
      </c>
      <c r="D1431" s="76">
        <f t="shared" si="73"/>
        <v>795535898.76133633</v>
      </c>
    </row>
    <row r="1432" spans="1:4" x14ac:dyDescent="0.3">
      <c r="A1432">
        <v>683500</v>
      </c>
      <c r="B1432" s="29">
        <f t="shared" si="71"/>
        <v>4398458608.9293232</v>
      </c>
      <c r="C1432" s="39">
        <f t="shared" si="72"/>
        <v>5194600000</v>
      </c>
      <c r="D1432" s="76">
        <f t="shared" si="73"/>
        <v>796141391.0706768</v>
      </c>
    </row>
    <row r="1433" spans="1:4" x14ac:dyDescent="0.3">
      <c r="A1433">
        <v>684000</v>
      </c>
      <c r="B1433" s="29">
        <f t="shared" si="71"/>
        <v>4401653116.6199837</v>
      </c>
      <c r="C1433" s="39">
        <f t="shared" si="72"/>
        <v>5198400000</v>
      </c>
      <c r="D1433" s="76">
        <f t="shared" si="73"/>
        <v>796746883.38001633</v>
      </c>
    </row>
    <row r="1434" spans="1:4" x14ac:dyDescent="0.3">
      <c r="A1434">
        <v>684500</v>
      </c>
      <c r="B1434" s="29">
        <f t="shared" si="71"/>
        <v>4404847624.3106432</v>
      </c>
      <c r="C1434" s="39">
        <f t="shared" si="72"/>
        <v>5202200000</v>
      </c>
      <c r="D1434" s="76">
        <f t="shared" si="73"/>
        <v>797352375.6893568</v>
      </c>
    </row>
    <row r="1435" spans="1:4" x14ac:dyDescent="0.3">
      <c r="A1435">
        <v>685000</v>
      </c>
      <c r="B1435" s="29">
        <f t="shared" si="71"/>
        <v>4408042132.0013037</v>
      </c>
      <c r="C1435" s="39">
        <f t="shared" si="72"/>
        <v>5206000000</v>
      </c>
      <c r="D1435" s="76">
        <f t="shared" si="73"/>
        <v>797957867.99869633</v>
      </c>
    </row>
    <row r="1436" spans="1:4" x14ac:dyDescent="0.3">
      <c r="A1436">
        <v>685500</v>
      </c>
      <c r="B1436" s="29">
        <f t="shared" si="71"/>
        <v>4411236639.6919632</v>
      </c>
      <c r="C1436" s="39">
        <f t="shared" si="72"/>
        <v>5209800000</v>
      </c>
      <c r="D1436" s="76">
        <f t="shared" si="73"/>
        <v>798563360.3080368</v>
      </c>
    </row>
    <row r="1437" spans="1:4" x14ac:dyDescent="0.3">
      <c r="A1437">
        <v>686000</v>
      </c>
      <c r="B1437" s="29">
        <f t="shared" si="71"/>
        <v>4414431147.3826237</v>
      </c>
      <c r="C1437" s="39">
        <f t="shared" si="72"/>
        <v>5213600000</v>
      </c>
      <c r="D1437" s="76">
        <f t="shared" si="73"/>
        <v>799168852.61737633</v>
      </c>
    </row>
    <row r="1438" spans="1:4" x14ac:dyDescent="0.3">
      <c r="A1438">
        <v>686500</v>
      </c>
      <c r="B1438" s="29">
        <f t="shared" si="71"/>
        <v>4417625655.0732832</v>
      </c>
      <c r="C1438" s="39">
        <f t="shared" si="72"/>
        <v>5217400000</v>
      </c>
      <c r="D1438" s="76">
        <f t="shared" si="73"/>
        <v>799774344.9267168</v>
      </c>
    </row>
    <row r="1439" spans="1:4" x14ac:dyDescent="0.3">
      <c r="A1439">
        <v>687000</v>
      </c>
      <c r="B1439" s="29">
        <f t="shared" si="71"/>
        <v>4420820162.7639437</v>
      </c>
      <c r="C1439" s="39">
        <f t="shared" si="72"/>
        <v>5221200000</v>
      </c>
      <c r="D1439" s="76">
        <f t="shared" si="73"/>
        <v>800379837.23605633</v>
      </c>
    </row>
    <row r="1440" spans="1:4" x14ac:dyDescent="0.3">
      <c r="A1440">
        <v>687500</v>
      </c>
      <c r="B1440" s="29">
        <f t="shared" si="71"/>
        <v>4424014670.4546032</v>
      </c>
      <c r="C1440" s="39">
        <f t="shared" si="72"/>
        <v>5225000000</v>
      </c>
      <c r="D1440" s="76">
        <f t="shared" si="73"/>
        <v>800985329.5453968</v>
      </c>
    </row>
    <row r="1441" spans="1:4" x14ac:dyDescent="0.3">
      <c r="A1441">
        <v>688000</v>
      </c>
      <c r="B1441" s="29">
        <f t="shared" si="71"/>
        <v>4427209178.1452637</v>
      </c>
      <c r="C1441" s="39">
        <f t="shared" si="72"/>
        <v>5228800000</v>
      </c>
      <c r="D1441" s="76">
        <f t="shared" si="73"/>
        <v>801590821.85473633</v>
      </c>
    </row>
    <row r="1442" spans="1:4" x14ac:dyDescent="0.3">
      <c r="A1442">
        <v>688500</v>
      </c>
      <c r="B1442" s="29">
        <f t="shared" si="71"/>
        <v>4430403685.8359232</v>
      </c>
      <c r="C1442" s="39">
        <f t="shared" si="72"/>
        <v>5232600000</v>
      </c>
      <c r="D1442" s="76">
        <f t="shared" si="73"/>
        <v>802196314.16407681</v>
      </c>
    </row>
    <row r="1443" spans="1:4" x14ac:dyDescent="0.3">
      <c r="A1443">
        <v>689000</v>
      </c>
      <c r="B1443" s="29">
        <f t="shared" si="71"/>
        <v>4433598193.5265837</v>
      </c>
      <c r="C1443" s="39">
        <f t="shared" si="72"/>
        <v>5236400000</v>
      </c>
      <c r="D1443" s="76">
        <f t="shared" si="73"/>
        <v>802801806.47341633</v>
      </c>
    </row>
    <row r="1444" spans="1:4" x14ac:dyDescent="0.3">
      <c r="A1444">
        <v>689500</v>
      </c>
      <c r="B1444" s="29">
        <f t="shared" si="71"/>
        <v>4436792701.2172432</v>
      </c>
      <c r="C1444" s="39">
        <f t="shared" si="72"/>
        <v>5240200000</v>
      </c>
      <c r="D1444" s="76">
        <f t="shared" si="73"/>
        <v>803407298.78275681</v>
      </c>
    </row>
    <row r="1445" spans="1:4" x14ac:dyDescent="0.3">
      <c r="A1445">
        <v>690000</v>
      </c>
      <c r="B1445" s="29">
        <f t="shared" si="71"/>
        <v>4439987208.9079037</v>
      </c>
      <c r="C1445" s="39">
        <f t="shared" si="72"/>
        <v>5244000000</v>
      </c>
      <c r="D1445" s="76">
        <f t="shared" si="73"/>
        <v>804012791.09209633</v>
      </c>
    </row>
    <row r="1446" spans="1:4" x14ac:dyDescent="0.3">
      <c r="A1446">
        <v>690500</v>
      </c>
      <c r="B1446" s="29">
        <f t="shared" si="71"/>
        <v>4443181716.5985632</v>
      </c>
      <c r="C1446" s="39">
        <f t="shared" si="72"/>
        <v>5247800000</v>
      </c>
      <c r="D1446" s="76">
        <f t="shared" si="73"/>
        <v>804618283.40143681</v>
      </c>
    </row>
    <row r="1447" spans="1:4" x14ac:dyDescent="0.3">
      <c r="A1447">
        <v>691000</v>
      </c>
      <c r="B1447" s="29">
        <f t="shared" si="71"/>
        <v>4446376224.2892237</v>
      </c>
      <c r="C1447" s="39">
        <f t="shared" si="72"/>
        <v>5251600000</v>
      </c>
      <c r="D1447" s="76">
        <f t="shared" si="73"/>
        <v>805223775.71077633</v>
      </c>
    </row>
    <row r="1448" spans="1:4" x14ac:dyDescent="0.3">
      <c r="A1448">
        <v>691500</v>
      </c>
      <c r="B1448" s="29">
        <f t="shared" si="71"/>
        <v>4449570731.9798832</v>
      </c>
      <c r="C1448" s="39">
        <f t="shared" si="72"/>
        <v>5255400000</v>
      </c>
      <c r="D1448" s="76">
        <f t="shared" si="73"/>
        <v>805829268.02011681</v>
      </c>
    </row>
    <row r="1449" spans="1:4" x14ac:dyDescent="0.3">
      <c r="A1449">
        <v>692000</v>
      </c>
      <c r="B1449" s="29">
        <f t="shared" si="71"/>
        <v>4452765239.6705437</v>
      </c>
      <c r="C1449" s="39">
        <f t="shared" si="72"/>
        <v>5259200000</v>
      </c>
      <c r="D1449" s="76">
        <f t="shared" si="73"/>
        <v>806434760.32945633</v>
      </c>
    </row>
    <row r="1450" spans="1:4" x14ac:dyDescent="0.3">
      <c r="A1450">
        <v>692500</v>
      </c>
      <c r="B1450" s="29">
        <f t="shared" si="71"/>
        <v>4455959747.3612032</v>
      </c>
      <c r="C1450" s="39">
        <f t="shared" si="72"/>
        <v>5263000000</v>
      </c>
      <c r="D1450" s="76">
        <f t="shared" si="73"/>
        <v>807040252.63879681</v>
      </c>
    </row>
    <row r="1451" spans="1:4" x14ac:dyDescent="0.3">
      <c r="A1451">
        <v>693000</v>
      </c>
      <c r="B1451" s="29">
        <f t="shared" si="71"/>
        <v>4459154255.0518637</v>
      </c>
      <c r="C1451" s="39">
        <f t="shared" si="72"/>
        <v>5266800000</v>
      </c>
      <c r="D1451" s="76">
        <f t="shared" si="73"/>
        <v>807645744.94813633</v>
      </c>
    </row>
    <row r="1452" spans="1:4" x14ac:dyDescent="0.3">
      <c r="A1452">
        <v>693500</v>
      </c>
      <c r="B1452" s="29">
        <f t="shared" si="71"/>
        <v>4462348762.7425232</v>
      </c>
      <c r="C1452" s="39">
        <f t="shared" si="72"/>
        <v>5270600000</v>
      </c>
      <c r="D1452" s="76">
        <f t="shared" si="73"/>
        <v>808251237.25747681</v>
      </c>
    </row>
    <row r="1453" spans="1:4" x14ac:dyDescent="0.3">
      <c r="A1453">
        <v>694000</v>
      </c>
      <c r="B1453" s="29">
        <f t="shared" si="71"/>
        <v>4465543270.4331837</v>
      </c>
      <c r="C1453" s="39">
        <f t="shared" si="72"/>
        <v>5274400000</v>
      </c>
      <c r="D1453" s="76">
        <f t="shared" si="73"/>
        <v>808856729.56681633</v>
      </c>
    </row>
    <row r="1454" spans="1:4" x14ac:dyDescent="0.3">
      <c r="A1454">
        <v>694500</v>
      </c>
      <c r="B1454" s="29">
        <f t="shared" si="71"/>
        <v>4468737778.1238432</v>
      </c>
      <c r="C1454" s="39">
        <f t="shared" si="72"/>
        <v>5278200000</v>
      </c>
      <c r="D1454" s="76">
        <f t="shared" si="73"/>
        <v>809462221.87615681</v>
      </c>
    </row>
    <row r="1455" spans="1:4" x14ac:dyDescent="0.3">
      <c r="A1455">
        <v>695000</v>
      </c>
      <c r="B1455" s="29">
        <f t="shared" si="71"/>
        <v>4471932285.8145037</v>
      </c>
      <c r="C1455" s="39">
        <f t="shared" si="72"/>
        <v>5282000000</v>
      </c>
      <c r="D1455" s="76">
        <f t="shared" si="73"/>
        <v>810067714.18549633</v>
      </c>
    </row>
    <row r="1456" spans="1:4" x14ac:dyDescent="0.3">
      <c r="A1456">
        <v>695500</v>
      </c>
      <c r="B1456" s="29">
        <f t="shared" si="71"/>
        <v>4475126793.5051632</v>
      </c>
      <c r="C1456" s="39">
        <f t="shared" si="72"/>
        <v>5285800000</v>
      </c>
      <c r="D1456" s="76">
        <f t="shared" si="73"/>
        <v>810673206.49483681</v>
      </c>
    </row>
    <row r="1457" spans="1:4" x14ac:dyDescent="0.3">
      <c r="A1457">
        <v>696000</v>
      </c>
      <c r="B1457" s="29">
        <f t="shared" si="71"/>
        <v>4478321301.1958237</v>
      </c>
      <c r="C1457" s="39">
        <f t="shared" si="72"/>
        <v>5289600000</v>
      </c>
      <c r="D1457" s="76">
        <f t="shared" si="73"/>
        <v>811278698.80417633</v>
      </c>
    </row>
    <row r="1458" spans="1:4" x14ac:dyDescent="0.3">
      <c r="A1458">
        <v>696500</v>
      </c>
      <c r="B1458" s="29">
        <f t="shared" si="71"/>
        <v>4481515808.8864832</v>
      </c>
      <c r="C1458" s="39">
        <f t="shared" si="72"/>
        <v>5293400000</v>
      </c>
      <c r="D1458" s="76">
        <f t="shared" si="73"/>
        <v>811884191.11351681</v>
      </c>
    </row>
    <row r="1459" spans="1:4" x14ac:dyDescent="0.3">
      <c r="A1459">
        <v>697000</v>
      </c>
      <c r="B1459" s="29">
        <f t="shared" si="71"/>
        <v>4484710316.5771437</v>
      </c>
      <c r="C1459" s="39">
        <f t="shared" si="72"/>
        <v>5297200000</v>
      </c>
      <c r="D1459" s="76">
        <f t="shared" si="73"/>
        <v>812489683.42285633</v>
      </c>
    </row>
    <row r="1460" spans="1:4" x14ac:dyDescent="0.3">
      <c r="A1460">
        <v>697500</v>
      </c>
      <c r="B1460" s="29">
        <f t="shared" si="71"/>
        <v>4487904824.2678032</v>
      </c>
      <c r="C1460" s="39">
        <f t="shared" si="72"/>
        <v>5301000000</v>
      </c>
      <c r="D1460" s="76">
        <f t="shared" si="73"/>
        <v>813095175.73219681</v>
      </c>
    </row>
    <row r="1461" spans="1:4" x14ac:dyDescent="0.3">
      <c r="A1461">
        <v>698000</v>
      </c>
      <c r="B1461" s="29">
        <f t="shared" si="71"/>
        <v>4491099331.9584637</v>
      </c>
      <c r="C1461" s="39">
        <f t="shared" si="72"/>
        <v>5304800000</v>
      </c>
      <c r="D1461" s="76">
        <f t="shared" si="73"/>
        <v>813700668.04153633</v>
      </c>
    </row>
    <row r="1462" spans="1:4" x14ac:dyDescent="0.3">
      <c r="A1462">
        <v>698500</v>
      </c>
      <c r="B1462" s="29">
        <f t="shared" si="71"/>
        <v>4494293839.6491232</v>
      </c>
      <c r="C1462" s="39">
        <f t="shared" si="72"/>
        <v>5308600000</v>
      </c>
      <c r="D1462" s="76">
        <f t="shared" si="73"/>
        <v>814306160.35087681</v>
      </c>
    </row>
    <row r="1463" spans="1:4" x14ac:dyDescent="0.3">
      <c r="A1463">
        <v>699000</v>
      </c>
      <c r="B1463" s="29">
        <f t="shared" si="71"/>
        <v>4497488347.3397837</v>
      </c>
      <c r="C1463" s="39">
        <f t="shared" si="72"/>
        <v>5312400000</v>
      </c>
      <c r="D1463" s="76">
        <f t="shared" si="73"/>
        <v>814911652.66021633</v>
      </c>
    </row>
    <row r="1464" spans="1:4" x14ac:dyDescent="0.3">
      <c r="A1464">
        <v>699500</v>
      </c>
      <c r="B1464" s="29">
        <f t="shared" si="71"/>
        <v>4500682855.0304432</v>
      </c>
      <c r="C1464" s="39">
        <f t="shared" si="72"/>
        <v>5316200000</v>
      </c>
      <c r="D1464" s="76">
        <f t="shared" si="73"/>
        <v>815517144.96955681</v>
      </c>
    </row>
    <row r="1465" spans="1:4" x14ac:dyDescent="0.3">
      <c r="A1465">
        <v>700000</v>
      </c>
      <c r="B1465" s="29">
        <f t="shared" si="71"/>
        <v>4503877362.7211037</v>
      </c>
      <c r="C1465" s="39">
        <f t="shared" si="72"/>
        <v>5320000000</v>
      </c>
      <c r="D1465" s="76">
        <f t="shared" si="73"/>
        <v>816122637.27889633</v>
      </c>
    </row>
    <row r="1466" spans="1:4" x14ac:dyDescent="0.3">
      <c r="A1466">
        <v>700500</v>
      </c>
      <c r="B1466" s="29">
        <f t="shared" si="71"/>
        <v>4507071870.4117632</v>
      </c>
      <c r="C1466" s="39">
        <f t="shared" si="72"/>
        <v>5323800000</v>
      </c>
      <c r="D1466" s="76">
        <f t="shared" si="73"/>
        <v>816728129.58823681</v>
      </c>
    </row>
    <row r="1467" spans="1:4" x14ac:dyDescent="0.3">
      <c r="A1467">
        <v>701000</v>
      </c>
      <c r="B1467" s="29">
        <f t="shared" si="71"/>
        <v>4510266378.1024237</v>
      </c>
      <c r="C1467" s="39">
        <f t="shared" si="72"/>
        <v>5327600000</v>
      </c>
      <c r="D1467" s="76">
        <f t="shared" si="73"/>
        <v>817333621.89757633</v>
      </c>
    </row>
    <row r="1468" spans="1:4" x14ac:dyDescent="0.3">
      <c r="A1468">
        <v>701500</v>
      </c>
      <c r="B1468" s="29">
        <f t="shared" si="71"/>
        <v>4513460885.7930832</v>
      </c>
      <c r="C1468" s="39">
        <f t="shared" si="72"/>
        <v>5331400000</v>
      </c>
      <c r="D1468" s="76">
        <f t="shared" si="73"/>
        <v>817939114.20691681</v>
      </c>
    </row>
    <row r="1469" spans="1:4" x14ac:dyDescent="0.3">
      <c r="A1469">
        <v>702000</v>
      </c>
      <c r="B1469" s="29">
        <f t="shared" si="71"/>
        <v>4516655393.4837437</v>
      </c>
      <c r="C1469" s="39">
        <f t="shared" si="72"/>
        <v>5335200000</v>
      </c>
      <c r="D1469" s="76">
        <f t="shared" si="73"/>
        <v>818544606.51625633</v>
      </c>
    </row>
    <row r="1470" spans="1:4" x14ac:dyDescent="0.3">
      <c r="A1470">
        <v>702500</v>
      </c>
      <c r="B1470" s="29">
        <f t="shared" si="71"/>
        <v>4519849901.1744032</v>
      </c>
      <c r="C1470" s="39">
        <f t="shared" si="72"/>
        <v>5339000000</v>
      </c>
      <c r="D1470" s="76">
        <f t="shared" si="73"/>
        <v>819150098.82559681</v>
      </c>
    </row>
    <row r="1471" spans="1:4" x14ac:dyDescent="0.3">
      <c r="A1471">
        <v>703000</v>
      </c>
      <c r="B1471" s="29">
        <f t="shared" si="71"/>
        <v>4523044408.8650637</v>
      </c>
      <c r="C1471" s="39">
        <f t="shared" si="72"/>
        <v>5342800000</v>
      </c>
      <c r="D1471" s="76">
        <f t="shared" si="73"/>
        <v>819755591.13493633</v>
      </c>
    </row>
    <row r="1472" spans="1:4" x14ac:dyDescent="0.3">
      <c r="A1472">
        <v>703500</v>
      </c>
      <c r="B1472" s="29">
        <f t="shared" si="71"/>
        <v>4526238916.5557232</v>
      </c>
      <c r="C1472" s="39">
        <f t="shared" si="72"/>
        <v>5346600000</v>
      </c>
      <c r="D1472" s="76">
        <f t="shared" si="73"/>
        <v>820361083.44427681</v>
      </c>
    </row>
    <row r="1473" spans="1:4" x14ac:dyDescent="0.3">
      <c r="A1473">
        <v>704000</v>
      </c>
      <c r="B1473" s="29">
        <f t="shared" si="71"/>
        <v>4529433424.2463837</v>
      </c>
      <c r="C1473" s="39">
        <f t="shared" si="72"/>
        <v>5350400000</v>
      </c>
      <c r="D1473" s="76">
        <f t="shared" si="73"/>
        <v>820966575.75361633</v>
      </c>
    </row>
    <row r="1474" spans="1:4" x14ac:dyDescent="0.3">
      <c r="A1474">
        <v>704500</v>
      </c>
      <c r="B1474" s="29">
        <f t="shared" ref="B1474:B1537" si="74">$B$54+($B$60*A1474)</f>
        <v>4532627931.9370432</v>
      </c>
      <c r="C1474" s="39">
        <f t="shared" ref="C1474:C1537" si="75">$E$50*A1474</f>
        <v>5354200000</v>
      </c>
      <c r="D1474" s="76">
        <f t="shared" ref="D1474:D1537" si="76">C1474-B1474</f>
        <v>821572068.06295681</v>
      </c>
    </row>
    <row r="1475" spans="1:4" x14ac:dyDescent="0.3">
      <c r="A1475">
        <v>705000</v>
      </c>
      <c r="B1475" s="29">
        <f t="shared" si="74"/>
        <v>4535822439.6277037</v>
      </c>
      <c r="C1475" s="39">
        <f t="shared" si="75"/>
        <v>5358000000</v>
      </c>
      <c r="D1475" s="76">
        <f t="shared" si="76"/>
        <v>822177560.37229633</v>
      </c>
    </row>
    <row r="1476" spans="1:4" x14ac:dyDescent="0.3">
      <c r="A1476">
        <v>705500</v>
      </c>
      <c r="B1476" s="29">
        <f t="shared" si="74"/>
        <v>4539016947.3183632</v>
      </c>
      <c r="C1476" s="39">
        <f t="shared" si="75"/>
        <v>5361800000</v>
      </c>
      <c r="D1476" s="76">
        <f t="shared" si="76"/>
        <v>822783052.68163681</v>
      </c>
    </row>
    <row r="1477" spans="1:4" x14ac:dyDescent="0.3">
      <c r="A1477">
        <v>706000</v>
      </c>
      <c r="B1477" s="29">
        <f t="shared" si="74"/>
        <v>4542211455.0090237</v>
      </c>
      <c r="C1477" s="39">
        <f t="shared" si="75"/>
        <v>5365600000</v>
      </c>
      <c r="D1477" s="76">
        <f t="shared" si="76"/>
        <v>823388544.99097633</v>
      </c>
    </row>
    <row r="1478" spans="1:4" x14ac:dyDescent="0.3">
      <c r="A1478">
        <v>706500</v>
      </c>
      <c r="B1478" s="29">
        <f t="shared" si="74"/>
        <v>4545405962.6996832</v>
      </c>
      <c r="C1478" s="39">
        <f t="shared" si="75"/>
        <v>5369400000</v>
      </c>
      <c r="D1478" s="76">
        <f t="shared" si="76"/>
        <v>823994037.30031681</v>
      </c>
    </row>
    <row r="1479" spans="1:4" x14ac:dyDescent="0.3">
      <c r="A1479">
        <v>707000</v>
      </c>
      <c r="B1479" s="29">
        <f t="shared" si="74"/>
        <v>4548600470.3903437</v>
      </c>
      <c r="C1479" s="39">
        <f t="shared" si="75"/>
        <v>5373200000</v>
      </c>
      <c r="D1479" s="76">
        <f t="shared" si="76"/>
        <v>824599529.60965633</v>
      </c>
    </row>
    <row r="1480" spans="1:4" x14ac:dyDescent="0.3">
      <c r="A1480">
        <v>707500</v>
      </c>
      <c r="B1480" s="29">
        <f t="shared" si="74"/>
        <v>4551794978.0810032</v>
      </c>
      <c r="C1480" s="39">
        <f t="shared" si="75"/>
        <v>5377000000</v>
      </c>
      <c r="D1480" s="76">
        <f t="shared" si="76"/>
        <v>825205021.91899681</v>
      </c>
    </row>
    <row r="1481" spans="1:4" x14ac:dyDescent="0.3">
      <c r="A1481">
        <v>708000</v>
      </c>
      <c r="B1481" s="29">
        <f t="shared" si="74"/>
        <v>4554989485.7716637</v>
      </c>
      <c r="C1481" s="39">
        <f t="shared" si="75"/>
        <v>5380800000</v>
      </c>
      <c r="D1481" s="76">
        <f t="shared" si="76"/>
        <v>825810514.22833633</v>
      </c>
    </row>
    <row r="1482" spans="1:4" x14ac:dyDescent="0.3">
      <c r="A1482">
        <v>708500</v>
      </c>
      <c r="B1482" s="29">
        <f t="shared" si="74"/>
        <v>4558183993.4623232</v>
      </c>
      <c r="C1482" s="39">
        <f t="shared" si="75"/>
        <v>5384600000</v>
      </c>
      <c r="D1482" s="76">
        <f t="shared" si="76"/>
        <v>826416006.53767681</v>
      </c>
    </row>
    <row r="1483" spans="1:4" x14ac:dyDescent="0.3">
      <c r="A1483">
        <v>709000</v>
      </c>
      <c r="B1483" s="29">
        <f t="shared" si="74"/>
        <v>4561378501.1529837</v>
      </c>
      <c r="C1483" s="39">
        <f t="shared" si="75"/>
        <v>5388400000</v>
      </c>
      <c r="D1483" s="76">
        <f t="shared" si="76"/>
        <v>827021498.84701633</v>
      </c>
    </row>
    <row r="1484" spans="1:4" x14ac:dyDescent="0.3">
      <c r="A1484">
        <v>709500</v>
      </c>
      <c r="B1484" s="29">
        <f t="shared" si="74"/>
        <v>4564573008.8436432</v>
      </c>
      <c r="C1484" s="39">
        <f t="shared" si="75"/>
        <v>5392200000</v>
      </c>
      <c r="D1484" s="76">
        <f t="shared" si="76"/>
        <v>827626991.15635681</v>
      </c>
    </row>
    <row r="1485" spans="1:4" x14ac:dyDescent="0.3">
      <c r="A1485">
        <v>710000</v>
      </c>
      <c r="B1485" s="29">
        <f t="shared" si="74"/>
        <v>4567767516.5343037</v>
      </c>
      <c r="C1485" s="39">
        <f t="shared" si="75"/>
        <v>5396000000</v>
      </c>
      <c r="D1485" s="76">
        <f t="shared" si="76"/>
        <v>828232483.46569633</v>
      </c>
    </row>
    <row r="1486" spans="1:4" x14ac:dyDescent="0.3">
      <c r="A1486">
        <v>710500</v>
      </c>
      <c r="B1486" s="29">
        <f t="shared" si="74"/>
        <v>4570962024.2249632</v>
      </c>
      <c r="C1486" s="39">
        <f t="shared" si="75"/>
        <v>5399800000</v>
      </c>
      <c r="D1486" s="76">
        <f t="shared" si="76"/>
        <v>828837975.77503681</v>
      </c>
    </row>
    <row r="1487" spans="1:4" x14ac:dyDescent="0.3">
      <c r="A1487">
        <v>711000</v>
      </c>
      <c r="B1487" s="29">
        <f t="shared" si="74"/>
        <v>4574156531.9156237</v>
      </c>
      <c r="C1487" s="39">
        <f t="shared" si="75"/>
        <v>5403600000</v>
      </c>
      <c r="D1487" s="76">
        <f t="shared" si="76"/>
        <v>829443468.08437634</v>
      </c>
    </row>
    <row r="1488" spans="1:4" x14ac:dyDescent="0.3">
      <c r="A1488">
        <v>711500</v>
      </c>
      <c r="B1488" s="29">
        <f t="shared" si="74"/>
        <v>4577351039.6062832</v>
      </c>
      <c r="C1488" s="39">
        <f t="shared" si="75"/>
        <v>5407400000</v>
      </c>
      <c r="D1488" s="76">
        <f t="shared" si="76"/>
        <v>830048960.39371681</v>
      </c>
    </row>
    <row r="1489" spans="1:4" x14ac:dyDescent="0.3">
      <c r="A1489">
        <v>712000</v>
      </c>
      <c r="B1489" s="29">
        <f t="shared" si="74"/>
        <v>4580545547.2969437</v>
      </c>
      <c r="C1489" s="39">
        <f t="shared" si="75"/>
        <v>5411200000</v>
      </c>
      <c r="D1489" s="76">
        <f t="shared" si="76"/>
        <v>830654452.70305634</v>
      </c>
    </row>
    <row r="1490" spans="1:4" x14ac:dyDescent="0.3">
      <c r="A1490">
        <v>712500</v>
      </c>
      <c r="B1490" s="29">
        <f t="shared" si="74"/>
        <v>4583740054.9876032</v>
      </c>
      <c r="C1490" s="39">
        <f t="shared" si="75"/>
        <v>5415000000</v>
      </c>
      <c r="D1490" s="76">
        <f t="shared" si="76"/>
        <v>831259945.01239681</v>
      </c>
    </row>
    <row r="1491" spans="1:4" x14ac:dyDescent="0.3">
      <c r="A1491">
        <v>713000</v>
      </c>
      <c r="B1491" s="29">
        <f t="shared" si="74"/>
        <v>4586934562.6782637</v>
      </c>
      <c r="C1491" s="39">
        <f t="shared" si="75"/>
        <v>5418800000</v>
      </c>
      <c r="D1491" s="76">
        <f t="shared" si="76"/>
        <v>831865437.32173634</v>
      </c>
    </row>
    <row r="1492" spans="1:4" x14ac:dyDescent="0.3">
      <c r="A1492">
        <v>713500</v>
      </c>
      <c r="B1492" s="29">
        <f t="shared" si="74"/>
        <v>4590129070.3689232</v>
      </c>
      <c r="C1492" s="39">
        <f t="shared" si="75"/>
        <v>5422600000</v>
      </c>
      <c r="D1492" s="76">
        <f t="shared" si="76"/>
        <v>832470929.63107681</v>
      </c>
    </row>
    <row r="1493" spans="1:4" x14ac:dyDescent="0.3">
      <c r="A1493">
        <v>714000</v>
      </c>
      <c r="B1493" s="29">
        <f t="shared" si="74"/>
        <v>4593323578.0595837</v>
      </c>
      <c r="C1493" s="39">
        <f t="shared" si="75"/>
        <v>5426400000</v>
      </c>
      <c r="D1493" s="76">
        <f t="shared" si="76"/>
        <v>833076421.94041634</v>
      </c>
    </row>
    <row r="1494" spans="1:4" x14ac:dyDescent="0.3">
      <c r="A1494">
        <v>714500</v>
      </c>
      <c r="B1494" s="29">
        <f t="shared" si="74"/>
        <v>4596518085.7502432</v>
      </c>
      <c r="C1494" s="39">
        <f t="shared" si="75"/>
        <v>5430200000</v>
      </c>
      <c r="D1494" s="76">
        <f t="shared" si="76"/>
        <v>833681914.24975681</v>
      </c>
    </row>
    <row r="1495" spans="1:4" x14ac:dyDescent="0.3">
      <c r="A1495">
        <v>715000</v>
      </c>
      <c r="B1495" s="29">
        <f t="shared" si="74"/>
        <v>4599712593.4409037</v>
      </c>
      <c r="C1495" s="39">
        <f t="shared" si="75"/>
        <v>5434000000</v>
      </c>
      <c r="D1495" s="76">
        <f t="shared" si="76"/>
        <v>834287406.55909634</v>
      </c>
    </row>
    <row r="1496" spans="1:4" x14ac:dyDescent="0.3">
      <c r="A1496">
        <v>715500</v>
      </c>
      <c r="B1496" s="29">
        <f t="shared" si="74"/>
        <v>4602907101.1315632</v>
      </c>
      <c r="C1496" s="39">
        <f t="shared" si="75"/>
        <v>5437800000</v>
      </c>
      <c r="D1496" s="76">
        <f t="shared" si="76"/>
        <v>834892898.86843681</v>
      </c>
    </row>
    <row r="1497" spans="1:4" x14ac:dyDescent="0.3">
      <c r="A1497">
        <v>716000</v>
      </c>
      <c r="B1497" s="29">
        <f t="shared" si="74"/>
        <v>4606101608.8222237</v>
      </c>
      <c r="C1497" s="39">
        <f t="shared" si="75"/>
        <v>5441600000</v>
      </c>
      <c r="D1497" s="76">
        <f t="shared" si="76"/>
        <v>835498391.17777634</v>
      </c>
    </row>
    <row r="1498" spans="1:4" x14ac:dyDescent="0.3">
      <c r="A1498">
        <v>716500</v>
      </c>
      <c r="B1498" s="29">
        <f t="shared" si="74"/>
        <v>4609296116.5128832</v>
      </c>
      <c r="C1498" s="39">
        <f t="shared" si="75"/>
        <v>5445400000</v>
      </c>
      <c r="D1498" s="76">
        <f t="shared" si="76"/>
        <v>836103883.48711681</v>
      </c>
    </row>
    <row r="1499" spans="1:4" x14ac:dyDescent="0.3">
      <c r="A1499">
        <v>717000</v>
      </c>
      <c r="B1499" s="29">
        <f t="shared" si="74"/>
        <v>4612490624.2035437</v>
      </c>
      <c r="C1499" s="39">
        <f t="shared" si="75"/>
        <v>5449200000</v>
      </c>
      <c r="D1499" s="76">
        <f t="shared" si="76"/>
        <v>836709375.79645634</v>
      </c>
    </row>
    <row r="1500" spans="1:4" x14ac:dyDescent="0.3">
      <c r="A1500">
        <v>717500</v>
      </c>
      <c r="B1500" s="29">
        <f t="shared" si="74"/>
        <v>4615685131.8942032</v>
      </c>
      <c r="C1500" s="39">
        <f t="shared" si="75"/>
        <v>5453000000</v>
      </c>
      <c r="D1500" s="76">
        <f t="shared" si="76"/>
        <v>837314868.10579681</v>
      </c>
    </row>
    <row r="1501" spans="1:4" x14ac:dyDescent="0.3">
      <c r="A1501">
        <v>718000</v>
      </c>
      <c r="B1501" s="29">
        <f t="shared" si="74"/>
        <v>4618879639.5848637</v>
      </c>
      <c r="C1501" s="39">
        <f t="shared" si="75"/>
        <v>5456800000</v>
      </c>
      <c r="D1501" s="76">
        <f t="shared" si="76"/>
        <v>837920360.41513634</v>
      </c>
    </row>
    <row r="1502" spans="1:4" x14ac:dyDescent="0.3">
      <c r="A1502">
        <v>718500</v>
      </c>
      <c r="B1502" s="29">
        <f t="shared" si="74"/>
        <v>4622074147.2755232</v>
      </c>
      <c r="C1502" s="39">
        <f t="shared" si="75"/>
        <v>5460600000</v>
      </c>
      <c r="D1502" s="76">
        <f t="shared" si="76"/>
        <v>838525852.72447681</v>
      </c>
    </row>
    <row r="1503" spans="1:4" x14ac:dyDescent="0.3">
      <c r="A1503">
        <v>719000</v>
      </c>
      <c r="B1503" s="29">
        <f t="shared" si="74"/>
        <v>4625268654.9661837</v>
      </c>
      <c r="C1503" s="39">
        <f t="shared" si="75"/>
        <v>5464400000</v>
      </c>
      <c r="D1503" s="76">
        <f t="shared" si="76"/>
        <v>839131345.03381634</v>
      </c>
    </row>
    <row r="1504" spans="1:4" x14ac:dyDescent="0.3">
      <c r="A1504">
        <v>719500</v>
      </c>
      <c r="B1504" s="29">
        <f t="shared" si="74"/>
        <v>4628463162.6568432</v>
      </c>
      <c r="C1504" s="39">
        <f t="shared" si="75"/>
        <v>5468200000</v>
      </c>
      <c r="D1504" s="76">
        <f t="shared" si="76"/>
        <v>839736837.34315681</v>
      </c>
    </row>
    <row r="1505" spans="1:4" x14ac:dyDescent="0.3">
      <c r="A1505">
        <v>720000</v>
      </c>
      <c r="B1505" s="29">
        <f t="shared" si="74"/>
        <v>4631657670.3475037</v>
      </c>
      <c r="C1505" s="39">
        <f t="shared" si="75"/>
        <v>5472000000</v>
      </c>
      <c r="D1505" s="76">
        <f t="shared" si="76"/>
        <v>840342329.65249634</v>
      </c>
    </row>
    <row r="1506" spans="1:4" x14ac:dyDescent="0.3">
      <c r="A1506">
        <v>720500</v>
      </c>
      <c r="B1506" s="29">
        <f t="shared" si="74"/>
        <v>4634852178.0381632</v>
      </c>
      <c r="C1506" s="39">
        <f t="shared" si="75"/>
        <v>5475800000</v>
      </c>
      <c r="D1506" s="76">
        <f t="shared" si="76"/>
        <v>840947821.96183681</v>
      </c>
    </row>
    <row r="1507" spans="1:4" x14ac:dyDescent="0.3">
      <c r="A1507">
        <v>721000</v>
      </c>
      <c r="B1507" s="29">
        <f t="shared" si="74"/>
        <v>4638046685.7288237</v>
      </c>
      <c r="C1507" s="39">
        <f t="shared" si="75"/>
        <v>5479600000</v>
      </c>
      <c r="D1507" s="76">
        <f t="shared" si="76"/>
        <v>841553314.27117634</v>
      </c>
    </row>
    <row r="1508" spans="1:4" x14ac:dyDescent="0.3">
      <c r="A1508">
        <v>721500</v>
      </c>
      <c r="B1508" s="29">
        <f t="shared" si="74"/>
        <v>4641241193.4194832</v>
      </c>
      <c r="C1508" s="39">
        <f t="shared" si="75"/>
        <v>5483400000</v>
      </c>
      <c r="D1508" s="76">
        <f t="shared" si="76"/>
        <v>842158806.58051682</v>
      </c>
    </row>
    <row r="1509" spans="1:4" x14ac:dyDescent="0.3">
      <c r="A1509">
        <v>722000</v>
      </c>
      <c r="B1509" s="29">
        <f t="shared" si="74"/>
        <v>4644435701.1101437</v>
      </c>
      <c r="C1509" s="39">
        <f t="shared" si="75"/>
        <v>5487200000</v>
      </c>
      <c r="D1509" s="76">
        <f t="shared" si="76"/>
        <v>842764298.88985634</v>
      </c>
    </row>
    <row r="1510" spans="1:4" x14ac:dyDescent="0.3">
      <c r="A1510">
        <v>722500</v>
      </c>
      <c r="B1510" s="29">
        <f t="shared" si="74"/>
        <v>4647630208.8008032</v>
      </c>
      <c r="C1510" s="39">
        <f t="shared" si="75"/>
        <v>5491000000</v>
      </c>
      <c r="D1510" s="76">
        <f t="shared" si="76"/>
        <v>843369791.19919682</v>
      </c>
    </row>
    <row r="1511" spans="1:4" x14ac:dyDescent="0.3">
      <c r="A1511">
        <v>723000</v>
      </c>
      <c r="B1511" s="29">
        <f t="shared" si="74"/>
        <v>4650824716.4914637</v>
      </c>
      <c r="C1511" s="39">
        <f t="shared" si="75"/>
        <v>5494800000</v>
      </c>
      <c r="D1511" s="76">
        <f t="shared" si="76"/>
        <v>843975283.50853634</v>
      </c>
    </row>
    <row r="1512" spans="1:4" x14ac:dyDescent="0.3">
      <c r="A1512">
        <v>723500</v>
      </c>
      <c r="B1512" s="29">
        <f t="shared" si="74"/>
        <v>4654019224.1821232</v>
      </c>
      <c r="C1512" s="39">
        <f t="shared" si="75"/>
        <v>5498600000</v>
      </c>
      <c r="D1512" s="76">
        <f t="shared" si="76"/>
        <v>844580775.81787682</v>
      </c>
    </row>
    <row r="1513" spans="1:4" x14ac:dyDescent="0.3">
      <c r="A1513">
        <v>724000</v>
      </c>
      <c r="B1513" s="29">
        <f t="shared" si="74"/>
        <v>4657213731.8727837</v>
      </c>
      <c r="C1513" s="39">
        <f t="shared" si="75"/>
        <v>5502400000</v>
      </c>
      <c r="D1513" s="76">
        <f t="shared" si="76"/>
        <v>845186268.12721634</v>
      </c>
    </row>
    <row r="1514" spans="1:4" x14ac:dyDescent="0.3">
      <c r="A1514">
        <v>724500</v>
      </c>
      <c r="B1514" s="29">
        <f t="shared" si="74"/>
        <v>4660408239.5634432</v>
      </c>
      <c r="C1514" s="39">
        <f t="shared" si="75"/>
        <v>5506200000</v>
      </c>
      <c r="D1514" s="76">
        <f t="shared" si="76"/>
        <v>845791760.43655682</v>
      </c>
    </row>
    <row r="1515" spans="1:4" x14ac:dyDescent="0.3">
      <c r="A1515">
        <v>725000</v>
      </c>
      <c r="B1515" s="29">
        <f t="shared" si="74"/>
        <v>4663602747.2541037</v>
      </c>
      <c r="C1515" s="39">
        <f t="shared" si="75"/>
        <v>5510000000</v>
      </c>
      <c r="D1515" s="76">
        <f t="shared" si="76"/>
        <v>846397252.74589634</v>
      </c>
    </row>
    <row r="1516" spans="1:4" x14ac:dyDescent="0.3">
      <c r="A1516">
        <v>725500</v>
      </c>
      <c r="B1516" s="29">
        <f t="shared" si="74"/>
        <v>4666797254.9447632</v>
      </c>
      <c r="C1516" s="39">
        <f t="shared" si="75"/>
        <v>5513800000</v>
      </c>
      <c r="D1516" s="76">
        <f t="shared" si="76"/>
        <v>847002745.05523682</v>
      </c>
    </row>
    <row r="1517" spans="1:4" x14ac:dyDescent="0.3">
      <c r="A1517">
        <v>726000</v>
      </c>
      <c r="B1517" s="29">
        <f t="shared" si="74"/>
        <v>4669991762.6354237</v>
      </c>
      <c r="C1517" s="39">
        <f t="shared" si="75"/>
        <v>5517600000</v>
      </c>
      <c r="D1517" s="76">
        <f t="shared" si="76"/>
        <v>847608237.36457634</v>
      </c>
    </row>
    <row r="1518" spans="1:4" x14ac:dyDescent="0.3">
      <c r="A1518">
        <v>726500</v>
      </c>
      <c r="B1518" s="29">
        <f t="shared" si="74"/>
        <v>4673186270.3260832</v>
      </c>
      <c r="C1518" s="39">
        <f t="shared" si="75"/>
        <v>5521400000</v>
      </c>
      <c r="D1518" s="76">
        <f t="shared" si="76"/>
        <v>848213729.67391682</v>
      </c>
    </row>
    <row r="1519" spans="1:4" x14ac:dyDescent="0.3">
      <c r="A1519">
        <v>727000</v>
      </c>
      <c r="B1519" s="29">
        <f t="shared" si="74"/>
        <v>4676380778.0167437</v>
      </c>
      <c r="C1519" s="39">
        <f t="shared" si="75"/>
        <v>5525200000</v>
      </c>
      <c r="D1519" s="76">
        <f t="shared" si="76"/>
        <v>848819221.98325634</v>
      </c>
    </row>
    <row r="1520" spans="1:4" x14ac:dyDescent="0.3">
      <c r="A1520">
        <v>727500</v>
      </c>
      <c r="B1520" s="29">
        <f t="shared" si="74"/>
        <v>4679575285.7074032</v>
      </c>
      <c r="C1520" s="39">
        <f t="shared" si="75"/>
        <v>5529000000</v>
      </c>
      <c r="D1520" s="76">
        <f t="shared" si="76"/>
        <v>849424714.29259682</v>
      </c>
    </row>
    <row r="1521" spans="1:4" x14ac:dyDescent="0.3">
      <c r="A1521">
        <v>728000</v>
      </c>
      <c r="B1521" s="29">
        <f t="shared" si="74"/>
        <v>4682769793.3980637</v>
      </c>
      <c r="C1521" s="39">
        <f t="shared" si="75"/>
        <v>5532800000</v>
      </c>
      <c r="D1521" s="76">
        <f t="shared" si="76"/>
        <v>850030206.60193634</v>
      </c>
    </row>
    <row r="1522" spans="1:4" x14ac:dyDescent="0.3">
      <c r="A1522">
        <v>728500</v>
      </c>
      <c r="B1522" s="29">
        <f t="shared" si="74"/>
        <v>4685964301.0887232</v>
      </c>
      <c r="C1522" s="39">
        <f t="shared" si="75"/>
        <v>5536600000</v>
      </c>
      <c r="D1522" s="76">
        <f t="shared" si="76"/>
        <v>850635698.91127682</v>
      </c>
    </row>
    <row r="1523" spans="1:4" x14ac:dyDescent="0.3">
      <c r="A1523">
        <v>729000</v>
      </c>
      <c r="B1523" s="29">
        <f t="shared" si="74"/>
        <v>4689158808.7793837</v>
      </c>
      <c r="C1523" s="39">
        <f t="shared" si="75"/>
        <v>5540400000</v>
      </c>
      <c r="D1523" s="76">
        <f t="shared" si="76"/>
        <v>851241191.22061634</v>
      </c>
    </row>
    <row r="1524" spans="1:4" x14ac:dyDescent="0.3">
      <c r="A1524">
        <v>729500</v>
      </c>
      <c r="B1524" s="29">
        <f t="shared" si="74"/>
        <v>4692353316.4700432</v>
      </c>
      <c r="C1524" s="39">
        <f t="shared" si="75"/>
        <v>5544200000</v>
      </c>
      <c r="D1524" s="76">
        <f t="shared" si="76"/>
        <v>851846683.52995682</v>
      </c>
    </row>
    <row r="1525" spans="1:4" x14ac:dyDescent="0.3">
      <c r="A1525">
        <v>730000</v>
      </c>
      <c r="B1525" s="29">
        <f t="shared" si="74"/>
        <v>4695547824.1607037</v>
      </c>
      <c r="C1525" s="39">
        <f t="shared" si="75"/>
        <v>5548000000</v>
      </c>
      <c r="D1525" s="76">
        <f t="shared" si="76"/>
        <v>852452175.83929634</v>
      </c>
    </row>
    <row r="1526" spans="1:4" x14ac:dyDescent="0.3">
      <c r="A1526">
        <v>730500</v>
      </c>
      <c r="B1526" s="29">
        <f t="shared" si="74"/>
        <v>4698742331.8513632</v>
      </c>
      <c r="C1526" s="39">
        <f t="shared" si="75"/>
        <v>5551800000</v>
      </c>
      <c r="D1526" s="76">
        <f t="shared" si="76"/>
        <v>853057668.14863682</v>
      </c>
    </row>
    <row r="1527" spans="1:4" x14ac:dyDescent="0.3">
      <c r="A1527">
        <v>731000</v>
      </c>
      <c r="B1527" s="29">
        <f t="shared" si="74"/>
        <v>4701936839.5420237</v>
      </c>
      <c r="C1527" s="39">
        <f t="shared" si="75"/>
        <v>5555600000</v>
      </c>
      <c r="D1527" s="76">
        <f t="shared" si="76"/>
        <v>853663160.45797634</v>
      </c>
    </row>
    <row r="1528" spans="1:4" x14ac:dyDescent="0.3">
      <c r="A1528">
        <v>731500</v>
      </c>
      <c r="B1528" s="29">
        <f t="shared" si="74"/>
        <v>4705131347.2326832</v>
      </c>
      <c r="C1528" s="39">
        <f t="shared" si="75"/>
        <v>5559400000</v>
      </c>
      <c r="D1528" s="76">
        <f t="shared" si="76"/>
        <v>854268652.76731682</v>
      </c>
    </row>
    <row r="1529" spans="1:4" x14ac:dyDescent="0.3">
      <c r="A1529">
        <v>732000</v>
      </c>
      <c r="B1529" s="29">
        <f t="shared" si="74"/>
        <v>4708325854.9233437</v>
      </c>
      <c r="C1529" s="39">
        <f t="shared" si="75"/>
        <v>5563200000</v>
      </c>
      <c r="D1529" s="76">
        <f t="shared" si="76"/>
        <v>854874145.07665634</v>
      </c>
    </row>
    <row r="1530" spans="1:4" x14ac:dyDescent="0.3">
      <c r="A1530">
        <v>732500</v>
      </c>
      <c r="B1530" s="29">
        <f t="shared" si="74"/>
        <v>4711520362.6140032</v>
      </c>
      <c r="C1530" s="39">
        <f t="shared" si="75"/>
        <v>5567000000</v>
      </c>
      <c r="D1530" s="76">
        <f t="shared" si="76"/>
        <v>855479637.38599682</v>
      </c>
    </row>
    <row r="1531" spans="1:4" x14ac:dyDescent="0.3">
      <c r="A1531">
        <v>733000</v>
      </c>
      <c r="B1531" s="29">
        <f t="shared" si="74"/>
        <v>4714714870.3046637</v>
      </c>
      <c r="C1531" s="39">
        <f t="shared" si="75"/>
        <v>5570800000</v>
      </c>
      <c r="D1531" s="76">
        <f t="shared" si="76"/>
        <v>856085129.69533634</v>
      </c>
    </row>
    <row r="1532" spans="1:4" x14ac:dyDescent="0.3">
      <c r="A1532">
        <v>733500</v>
      </c>
      <c r="B1532" s="29">
        <f t="shared" si="74"/>
        <v>4717909377.9953232</v>
      </c>
      <c r="C1532" s="39">
        <f t="shared" si="75"/>
        <v>5574600000</v>
      </c>
      <c r="D1532" s="76">
        <f t="shared" si="76"/>
        <v>856690622.00467682</v>
      </c>
    </row>
    <row r="1533" spans="1:4" x14ac:dyDescent="0.3">
      <c r="A1533">
        <v>734000</v>
      </c>
      <c r="B1533" s="29">
        <f t="shared" si="74"/>
        <v>4721103885.6859837</v>
      </c>
      <c r="C1533" s="39">
        <f t="shared" si="75"/>
        <v>5578400000</v>
      </c>
      <c r="D1533" s="76">
        <f t="shared" si="76"/>
        <v>857296114.31401634</v>
      </c>
    </row>
    <row r="1534" spans="1:4" x14ac:dyDescent="0.3">
      <c r="A1534">
        <v>734500</v>
      </c>
      <c r="B1534" s="29">
        <f t="shared" si="74"/>
        <v>4724298393.3766432</v>
      </c>
      <c r="C1534" s="39">
        <f t="shared" si="75"/>
        <v>5582200000</v>
      </c>
      <c r="D1534" s="76">
        <f t="shared" si="76"/>
        <v>857901606.62335682</v>
      </c>
    </row>
    <row r="1535" spans="1:4" x14ac:dyDescent="0.3">
      <c r="A1535">
        <v>735000</v>
      </c>
      <c r="B1535" s="29">
        <f t="shared" si="74"/>
        <v>4727492901.0673037</v>
      </c>
      <c r="C1535" s="39">
        <f t="shared" si="75"/>
        <v>5586000000</v>
      </c>
      <c r="D1535" s="76">
        <f t="shared" si="76"/>
        <v>858507098.93269634</v>
      </c>
    </row>
    <row r="1536" spans="1:4" x14ac:dyDescent="0.3">
      <c r="A1536">
        <v>735500</v>
      </c>
      <c r="B1536" s="29">
        <f t="shared" si="74"/>
        <v>4730687408.7579632</v>
      </c>
      <c r="C1536" s="39">
        <f t="shared" si="75"/>
        <v>5589800000</v>
      </c>
      <c r="D1536" s="76">
        <f t="shared" si="76"/>
        <v>859112591.24203682</v>
      </c>
    </row>
    <row r="1537" spans="1:4" x14ac:dyDescent="0.3">
      <c r="A1537">
        <v>736000</v>
      </c>
      <c r="B1537" s="29">
        <f t="shared" si="74"/>
        <v>4733881916.4486237</v>
      </c>
      <c r="C1537" s="39">
        <f t="shared" si="75"/>
        <v>5593600000</v>
      </c>
      <c r="D1537" s="76">
        <f t="shared" si="76"/>
        <v>859718083.55137634</v>
      </c>
    </row>
    <row r="1538" spans="1:4" x14ac:dyDescent="0.3">
      <c r="A1538">
        <v>736500</v>
      </c>
      <c r="B1538" s="29">
        <f t="shared" ref="B1538:B1601" si="77">$B$54+($B$60*A1538)</f>
        <v>4737076424.1392832</v>
      </c>
      <c r="C1538" s="39">
        <f t="shared" ref="C1538:C1601" si="78">$E$50*A1538</f>
        <v>5597400000</v>
      </c>
      <c r="D1538" s="76">
        <f t="shared" ref="D1538:D1601" si="79">C1538-B1538</f>
        <v>860323575.86071682</v>
      </c>
    </row>
    <row r="1539" spans="1:4" x14ac:dyDescent="0.3">
      <c r="A1539">
        <v>737000</v>
      </c>
      <c r="B1539" s="29">
        <f t="shared" si="77"/>
        <v>4740270931.8299437</v>
      </c>
      <c r="C1539" s="39">
        <f t="shared" si="78"/>
        <v>5601200000</v>
      </c>
      <c r="D1539" s="76">
        <f t="shared" si="79"/>
        <v>860929068.17005634</v>
      </c>
    </row>
    <row r="1540" spans="1:4" x14ac:dyDescent="0.3">
      <c r="A1540">
        <v>737500</v>
      </c>
      <c r="B1540" s="29">
        <f t="shared" si="77"/>
        <v>4743465439.5206032</v>
      </c>
      <c r="C1540" s="39">
        <f t="shared" si="78"/>
        <v>5605000000</v>
      </c>
      <c r="D1540" s="76">
        <f t="shared" si="79"/>
        <v>861534560.47939682</v>
      </c>
    </row>
    <row r="1541" spans="1:4" x14ac:dyDescent="0.3">
      <c r="A1541">
        <v>738000</v>
      </c>
      <c r="B1541" s="29">
        <f t="shared" si="77"/>
        <v>4746659947.2112637</v>
      </c>
      <c r="C1541" s="39">
        <f t="shared" si="78"/>
        <v>5608800000</v>
      </c>
      <c r="D1541" s="76">
        <f t="shared" si="79"/>
        <v>862140052.78873634</v>
      </c>
    </row>
    <row r="1542" spans="1:4" x14ac:dyDescent="0.3">
      <c r="A1542">
        <v>738500</v>
      </c>
      <c r="B1542" s="29">
        <f t="shared" si="77"/>
        <v>4749854454.9019232</v>
      </c>
      <c r="C1542" s="39">
        <f t="shared" si="78"/>
        <v>5612600000</v>
      </c>
      <c r="D1542" s="76">
        <f t="shared" si="79"/>
        <v>862745545.09807682</v>
      </c>
    </row>
    <row r="1543" spans="1:4" x14ac:dyDescent="0.3">
      <c r="A1543">
        <v>739000</v>
      </c>
      <c r="B1543" s="29">
        <f t="shared" si="77"/>
        <v>4753048962.5925837</v>
      </c>
      <c r="C1543" s="39">
        <f t="shared" si="78"/>
        <v>5616400000</v>
      </c>
      <c r="D1543" s="76">
        <f t="shared" si="79"/>
        <v>863351037.40741634</v>
      </c>
    </row>
    <row r="1544" spans="1:4" x14ac:dyDescent="0.3">
      <c r="A1544">
        <v>739500</v>
      </c>
      <c r="B1544" s="29">
        <f t="shared" si="77"/>
        <v>4756243470.2832432</v>
      </c>
      <c r="C1544" s="39">
        <f t="shared" si="78"/>
        <v>5620200000</v>
      </c>
      <c r="D1544" s="76">
        <f t="shared" si="79"/>
        <v>863956529.71675682</v>
      </c>
    </row>
    <row r="1545" spans="1:4" x14ac:dyDescent="0.3">
      <c r="A1545">
        <v>740000</v>
      </c>
      <c r="B1545" s="29">
        <f t="shared" si="77"/>
        <v>4759437977.9739037</v>
      </c>
      <c r="C1545" s="39">
        <f t="shared" si="78"/>
        <v>5624000000</v>
      </c>
      <c r="D1545" s="76">
        <f t="shared" si="79"/>
        <v>864562022.02609634</v>
      </c>
    </row>
    <row r="1546" spans="1:4" x14ac:dyDescent="0.3">
      <c r="A1546">
        <v>740500</v>
      </c>
      <c r="B1546" s="29">
        <f t="shared" si="77"/>
        <v>4762632485.6645632</v>
      </c>
      <c r="C1546" s="39">
        <f t="shared" si="78"/>
        <v>5627800000</v>
      </c>
      <c r="D1546" s="76">
        <f t="shared" si="79"/>
        <v>865167514.33543682</v>
      </c>
    </row>
    <row r="1547" spans="1:4" x14ac:dyDescent="0.3">
      <c r="A1547">
        <v>741000</v>
      </c>
      <c r="B1547" s="29">
        <f t="shared" si="77"/>
        <v>4765826993.3552237</v>
      </c>
      <c r="C1547" s="39">
        <f t="shared" si="78"/>
        <v>5631600000</v>
      </c>
      <c r="D1547" s="76">
        <f t="shared" si="79"/>
        <v>865773006.64477634</v>
      </c>
    </row>
    <row r="1548" spans="1:4" x14ac:dyDescent="0.3">
      <c r="A1548">
        <v>741500</v>
      </c>
      <c r="B1548" s="29">
        <f t="shared" si="77"/>
        <v>4769021501.0458832</v>
      </c>
      <c r="C1548" s="39">
        <f t="shared" si="78"/>
        <v>5635400000</v>
      </c>
      <c r="D1548" s="76">
        <f t="shared" si="79"/>
        <v>866378498.95411682</v>
      </c>
    </row>
    <row r="1549" spans="1:4" x14ac:dyDescent="0.3">
      <c r="A1549">
        <v>742000</v>
      </c>
      <c r="B1549" s="29">
        <f t="shared" si="77"/>
        <v>4772216008.7365437</v>
      </c>
      <c r="C1549" s="39">
        <f t="shared" si="78"/>
        <v>5639200000</v>
      </c>
      <c r="D1549" s="76">
        <f t="shared" si="79"/>
        <v>866983991.26345634</v>
      </c>
    </row>
    <row r="1550" spans="1:4" x14ac:dyDescent="0.3">
      <c r="A1550">
        <v>742500</v>
      </c>
      <c r="B1550" s="29">
        <f t="shared" si="77"/>
        <v>4775410516.4272032</v>
      </c>
      <c r="C1550" s="39">
        <f t="shared" si="78"/>
        <v>5643000000</v>
      </c>
      <c r="D1550" s="76">
        <f t="shared" si="79"/>
        <v>867589483.57279682</v>
      </c>
    </row>
    <row r="1551" spans="1:4" x14ac:dyDescent="0.3">
      <c r="A1551">
        <v>743000</v>
      </c>
      <c r="B1551" s="29">
        <f t="shared" si="77"/>
        <v>4778605024.1178637</v>
      </c>
      <c r="C1551" s="39">
        <f t="shared" si="78"/>
        <v>5646800000</v>
      </c>
      <c r="D1551" s="76">
        <f t="shared" si="79"/>
        <v>868194975.88213634</v>
      </c>
    </row>
    <row r="1552" spans="1:4" x14ac:dyDescent="0.3">
      <c r="A1552">
        <v>743500</v>
      </c>
      <c r="B1552" s="29">
        <f t="shared" si="77"/>
        <v>4781799531.8085232</v>
      </c>
      <c r="C1552" s="39">
        <f t="shared" si="78"/>
        <v>5650600000</v>
      </c>
      <c r="D1552" s="76">
        <f t="shared" si="79"/>
        <v>868800468.19147682</v>
      </c>
    </row>
    <row r="1553" spans="1:4" x14ac:dyDescent="0.3">
      <c r="A1553">
        <v>744000</v>
      </c>
      <c r="B1553" s="29">
        <f t="shared" si="77"/>
        <v>4784994039.4991837</v>
      </c>
      <c r="C1553" s="39">
        <f t="shared" si="78"/>
        <v>5654400000</v>
      </c>
      <c r="D1553" s="76">
        <f t="shared" si="79"/>
        <v>869405960.50081635</v>
      </c>
    </row>
    <row r="1554" spans="1:4" x14ac:dyDescent="0.3">
      <c r="A1554">
        <v>744500</v>
      </c>
      <c r="B1554" s="29">
        <f t="shared" si="77"/>
        <v>4788188547.1898432</v>
      </c>
      <c r="C1554" s="39">
        <f t="shared" si="78"/>
        <v>5658200000</v>
      </c>
      <c r="D1554" s="76">
        <f t="shared" si="79"/>
        <v>870011452.81015682</v>
      </c>
    </row>
    <row r="1555" spans="1:4" x14ac:dyDescent="0.3">
      <c r="A1555">
        <v>745000</v>
      </c>
      <c r="B1555" s="29">
        <f t="shared" si="77"/>
        <v>4791383054.8805037</v>
      </c>
      <c r="C1555" s="39">
        <f t="shared" si="78"/>
        <v>5662000000</v>
      </c>
      <c r="D1555" s="76">
        <f t="shared" si="79"/>
        <v>870616945.11949635</v>
      </c>
    </row>
    <row r="1556" spans="1:4" x14ac:dyDescent="0.3">
      <c r="A1556">
        <v>745500</v>
      </c>
      <c r="B1556" s="29">
        <f t="shared" si="77"/>
        <v>4794577562.5711632</v>
      </c>
      <c r="C1556" s="39">
        <f t="shared" si="78"/>
        <v>5665800000</v>
      </c>
      <c r="D1556" s="76">
        <f t="shared" si="79"/>
        <v>871222437.42883682</v>
      </c>
    </row>
    <row r="1557" spans="1:4" x14ac:dyDescent="0.3">
      <c r="A1557">
        <v>746000</v>
      </c>
      <c r="B1557" s="29">
        <f t="shared" si="77"/>
        <v>4797772070.2618237</v>
      </c>
      <c r="C1557" s="39">
        <f t="shared" si="78"/>
        <v>5669600000</v>
      </c>
      <c r="D1557" s="76">
        <f t="shared" si="79"/>
        <v>871827929.73817635</v>
      </c>
    </row>
    <row r="1558" spans="1:4" x14ac:dyDescent="0.3">
      <c r="A1558">
        <v>746500</v>
      </c>
      <c r="B1558" s="29">
        <f t="shared" si="77"/>
        <v>4800966577.9524832</v>
      </c>
      <c r="C1558" s="39">
        <f t="shared" si="78"/>
        <v>5673400000</v>
      </c>
      <c r="D1558" s="76">
        <f t="shared" si="79"/>
        <v>872433422.04751682</v>
      </c>
    </row>
    <row r="1559" spans="1:4" x14ac:dyDescent="0.3">
      <c r="A1559">
        <v>747000</v>
      </c>
      <c r="B1559" s="29">
        <f t="shared" si="77"/>
        <v>4804161085.6431437</v>
      </c>
      <c r="C1559" s="39">
        <f t="shared" si="78"/>
        <v>5677200000</v>
      </c>
      <c r="D1559" s="76">
        <f t="shared" si="79"/>
        <v>873038914.35685635</v>
      </c>
    </row>
    <row r="1560" spans="1:4" x14ac:dyDescent="0.3">
      <c r="A1560">
        <v>747500</v>
      </c>
      <c r="B1560" s="29">
        <f t="shared" si="77"/>
        <v>4807355593.3338032</v>
      </c>
      <c r="C1560" s="39">
        <f t="shared" si="78"/>
        <v>5681000000</v>
      </c>
      <c r="D1560" s="76">
        <f t="shared" si="79"/>
        <v>873644406.66619682</v>
      </c>
    </row>
    <row r="1561" spans="1:4" x14ac:dyDescent="0.3">
      <c r="A1561">
        <v>748000</v>
      </c>
      <c r="B1561" s="29">
        <f t="shared" si="77"/>
        <v>4810550101.0244637</v>
      </c>
      <c r="C1561" s="39">
        <f t="shared" si="78"/>
        <v>5684800000</v>
      </c>
      <c r="D1561" s="76">
        <f t="shared" si="79"/>
        <v>874249898.97553635</v>
      </c>
    </row>
    <row r="1562" spans="1:4" x14ac:dyDescent="0.3">
      <c r="A1562">
        <v>748500</v>
      </c>
      <c r="B1562" s="29">
        <f t="shared" si="77"/>
        <v>4813744608.7151232</v>
      </c>
      <c r="C1562" s="39">
        <f t="shared" si="78"/>
        <v>5688600000</v>
      </c>
      <c r="D1562" s="76">
        <f t="shared" si="79"/>
        <v>874855391.28487682</v>
      </c>
    </row>
    <row r="1563" spans="1:4" x14ac:dyDescent="0.3">
      <c r="A1563">
        <v>749000</v>
      </c>
      <c r="B1563" s="29">
        <f t="shared" si="77"/>
        <v>4816939116.4057837</v>
      </c>
      <c r="C1563" s="39">
        <f t="shared" si="78"/>
        <v>5692400000</v>
      </c>
      <c r="D1563" s="76">
        <f t="shared" si="79"/>
        <v>875460883.59421635</v>
      </c>
    </row>
    <row r="1564" spans="1:4" x14ac:dyDescent="0.3">
      <c r="A1564">
        <v>749500</v>
      </c>
      <c r="B1564" s="29">
        <f t="shared" si="77"/>
        <v>4820133624.0964432</v>
      </c>
      <c r="C1564" s="39">
        <f t="shared" si="78"/>
        <v>5696200000</v>
      </c>
      <c r="D1564" s="76">
        <f t="shared" si="79"/>
        <v>876066375.90355682</v>
      </c>
    </row>
    <row r="1565" spans="1:4" x14ac:dyDescent="0.3">
      <c r="A1565">
        <v>750000</v>
      </c>
      <c r="B1565" s="29">
        <f t="shared" si="77"/>
        <v>4823328131.7871037</v>
      </c>
      <c r="C1565" s="39">
        <f t="shared" si="78"/>
        <v>5700000000</v>
      </c>
      <c r="D1565" s="76">
        <f t="shared" si="79"/>
        <v>876671868.21289635</v>
      </c>
    </row>
    <row r="1566" spans="1:4" x14ac:dyDescent="0.3">
      <c r="A1566">
        <v>750500</v>
      </c>
      <c r="B1566" s="29">
        <f t="shared" si="77"/>
        <v>4826522639.4777632</v>
      </c>
      <c r="C1566" s="39">
        <f t="shared" si="78"/>
        <v>5703800000</v>
      </c>
      <c r="D1566" s="76">
        <f t="shared" si="79"/>
        <v>877277360.52223682</v>
      </c>
    </row>
    <row r="1567" spans="1:4" x14ac:dyDescent="0.3">
      <c r="A1567">
        <v>751000</v>
      </c>
      <c r="B1567" s="29">
        <f t="shared" si="77"/>
        <v>4829717147.1684237</v>
      </c>
      <c r="C1567" s="39">
        <f t="shared" si="78"/>
        <v>5707600000</v>
      </c>
      <c r="D1567" s="76">
        <f t="shared" si="79"/>
        <v>877882852.83157635</v>
      </c>
    </row>
    <row r="1568" spans="1:4" x14ac:dyDescent="0.3">
      <c r="A1568">
        <v>751500</v>
      </c>
      <c r="B1568" s="29">
        <f t="shared" si="77"/>
        <v>4832911654.8590832</v>
      </c>
      <c r="C1568" s="39">
        <f t="shared" si="78"/>
        <v>5711400000</v>
      </c>
      <c r="D1568" s="76">
        <f t="shared" si="79"/>
        <v>878488345.14091682</v>
      </c>
    </row>
    <row r="1569" spans="1:4" x14ac:dyDescent="0.3">
      <c r="A1569">
        <v>752000</v>
      </c>
      <c r="B1569" s="29">
        <f t="shared" si="77"/>
        <v>4836106162.5497437</v>
      </c>
      <c r="C1569" s="39">
        <f t="shared" si="78"/>
        <v>5715200000</v>
      </c>
      <c r="D1569" s="76">
        <f t="shared" si="79"/>
        <v>879093837.45025635</v>
      </c>
    </row>
    <row r="1570" spans="1:4" x14ac:dyDescent="0.3">
      <c r="A1570">
        <v>752500</v>
      </c>
      <c r="B1570" s="29">
        <f t="shared" si="77"/>
        <v>4839300670.2404032</v>
      </c>
      <c r="C1570" s="39">
        <f t="shared" si="78"/>
        <v>5719000000</v>
      </c>
      <c r="D1570" s="76">
        <f t="shared" si="79"/>
        <v>879699329.75959682</v>
      </c>
    </row>
    <row r="1571" spans="1:4" x14ac:dyDescent="0.3">
      <c r="A1571">
        <v>753000</v>
      </c>
      <c r="B1571" s="29">
        <f t="shared" si="77"/>
        <v>4842495177.9310637</v>
      </c>
      <c r="C1571" s="39">
        <f t="shared" si="78"/>
        <v>5722800000</v>
      </c>
      <c r="D1571" s="76">
        <f t="shared" si="79"/>
        <v>880304822.06893635</v>
      </c>
    </row>
    <row r="1572" spans="1:4" x14ac:dyDescent="0.3">
      <c r="A1572">
        <v>753500</v>
      </c>
      <c r="B1572" s="29">
        <f t="shared" si="77"/>
        <v>4845689685.6217232</v>
      </c>
      <c r="C1572" s="39">
        <f t="shared" si="78"/>
        <v>5726600000</v>
      </c>
      <c r="D1572" s="76">
        <f t="shared" si="79"/>
        <v>880910314.37827682</v>
      </c>
    </row>
    <row r="1573" spans="1:4" x14ac:dyDescent="0.3">
      <c r="A1573">
        <v>754000</v>
      </c>
      <c r="B1573" s="29">
        <f t="shared" si="77"/>
        <v>4848884193.3123837</v>
      </c>
      <c r="C1573" s="39">
        <f t="shared" si="78"/>
        <v>5730400000</v>
      </c>
      <c r="D1573" s="76">
        <f t="shared" si="79"/>
        <v>881515806.68761635</v>
      </c>
    </row>
    <row r="1574" spans="1:4" x14ac:dyDescent="0.3">
      <c r="A1574">
        <v>754500</v>
      </c>
      <c r="B1574" s="29">
        <f t="shared" si="77"/>
        <v>4852078701.0030432</v>
      </c>
      <c r="C1574" s="39">
        <f t="shared" si="78"/>
        <v>5734200000</v>
      </c>
      <c r="D1574" s="76">
        <f t="shared" si="79"/>
        <v>882121298.99695683</v>
      </c>
    </row>
    <row r="1575" spans="1:4" x14ac:dyDescent="0.3">
      <c r="A1575">
        <v>755000</v>
      </c>
      <c r="B1575" s="29">
        <f t="shared" si="77"/>
        <v>4855273208.6937037</v>
      </c>
      <c r="C1575" s="39">
        <f t="shared" si="78"/>
        <v>5738000000</v>
      </c>
      <c r="D1575" s="76">
        <f t="shared" si="79"/>
        <v>882726791.30629635</v>
      </c>
    </row>
    <row r="1576" spans="1:4" x14ac:dyDescent="0.3">
      <c r="A1576">
        <v>755500</v>
      </c>
      <c r="B1576" s="29">
        <f t="shared" si="77"/>
        <v>4858467716.3843632</v>
      </c>
      <c r="C1576" s="39">
        <f t="shared" si="78"/>
        <v>5741800000</v>
      </c>
      <c r="D1576" s="76">
        <f t="shared" si="79"/>
        <v>883332283.61563683</v>
      </c>
    </row>
    <row r="1577" spans="1:4" x14ac:dyDescent="0.3">
      <c r="A1577">
        <v>756000</v>
      </c>
      <c r="B1577" s="29">
        <f t="shared" si="77"/>
        <v>4861662224.0750237</v>
      </c>
      <c r="C1577" s="39">
        <f t="shared" si="78"/>
        <v>5745600000</v>
      </c>
      <c r="D1577" s="76">
        <f t="shared" si="79"/>
        <v>883937775.92497635</v>
      </c>
    </row>
    <row r="1578" spans="1:4" x14ac:dyDescent="0.3">
      <c r="A1578">
        <v>756500</v>
      </c>
      <c r="B1578" s="29">
        <f t="shared" si="77"/>
        <v>4864856731.7656832</v>
      </c>
      <c r="C1578" s="39">
        <f t="shared" si="78"/>
        <v>5749400000</v>
      </c>
      <c r="D1578" s="76">
        <f t="shared" si="79"/>
        <v>884543268.23431683</v>
      </c>
    </row>
    <row r="1579" spans="1:4" x14ac:dyDescent="0.3">
      <c r="A1579">
        <v>757000</v>
      </c>
      <c r="B1579" s="29">
        <f t="shared" si="77"/>
        <v>4868051239.4563437</v>
      </c>
      <c r="C1579" s="39">
        <f t="shared" si="78"/>
        <v>5753200000</v>
      </c>
      <c r="D1579" s="76">
        <f t="shared" si="79"/>
        <v>885148760.54365635</v>
      </c>
    </row>
    <row r="1580" spans="1:4" x14ac:dyDescent="0.3">
      <c r="A1580">
        <v>757500</v>
      </c>
      <c r="B1580" s="29">
        <f t="shared" si="77"/>
        <v>4871245747.1470032</v>
      </c>
      <c r="C1580" s="39">
        <f t="shared" si="78"/>
        <v>5757000000</v>
      </c>
      <c r="D1580" s="76">
        <f t="shared" si="79"/>
        <v>885754252.85299683</v>
      </c>
    </row>
    <row r="1581" spans="1:4" x14ac:dyDescent="0.3">
      <c r="A1581">
        <v>758000</v>
      </c>
      <c r="B1581" s="29">
        <f t="shared" si="77"/>
        <v>4874440254.8376637</v>
      </c>
      <c r="C1581" s="39">
        <f t="shared" si="78"/>
        <v>5760800000</v>
      </c>
      <c r="D1581" s="76">
        <f t="shared" si="79"/>
        <v>886359745.16233635</v>
      </c>
    </row>
    <row r="1582" spans="1:4" x14ac:dyDescent="0.3">
      <c r="A1582">
        <v>758500</v>
      </c>
      <c r="B1582" s="29">
        <f t="shared" si="77"/>
        <v>4877634762.5283232</v>
      </c>
      <c r="C1582" s="39">
        <f t="shared" si="78"/>
        <v>5764600000</v>
      </c>
      <c r="D1582" s="76">
        <f t="shared" si="79"/>
        <v>886965237.47167683</v>
      </c>
    </row>
    <row r="1583" spans="1:4" x14ac:dyDescent="0.3">
      <c r="A1583">
        <v>759000</v>
      </c>
      <c r="B1583" s="29">
        <f t="shared" si="77"/>
        <v>4880829270.2189837</v>
      </c>
      <c r="C1583" s="39">
        <f t="shared" si="78"/>
        <v>5768400000</v>
      </c>
      <c r="D1583" s="76">
        <f t="shared" si="79"/>
        <v>887570729.78101635</v>
      </c>
    </row>
    <row r="1584" spans="1:4" x14ac:dyDescent="0.3">
      <c r="A1584">
        <v>759500</v>
      </c>
      <c r="B1584" s="29">
        <f t="shared" si="77"/>
        <v>4884023777.9096432</v>
      </c>
      <c r="C1584" s="39">
        <f t="shared" si="78"/>
        <v>5772200000</v>
      </c>
      <c r="D1584" s="76">
        <f t="shared" si="79"/>
        <v>888176222.09035683</v>
      </c>
    </row>
    <row r="1585" spans="1:4" x14ac:dyDescent="0.3">
      <c r="A1585">
        <v>760000</v>
      </c>
      <c r="B1585" s="29">
        <f t="shared" si="77"/>
        <v>4887218285.6003036</v>
      </c>
      <c r="C1585" s="39">
        <f t="shared" si="78"/>
        <v>5776000000</v>
      </c>
      <c r="D1585" s="76">
        <f t="shared" si="79"/>
        <v>888781714.39969635</v>
      </c>
    </row>
    <row r="1586" spans="1:4" x14ac:dyDescent="0.3">
      <c r="A1586">
        <v>760500</v>
      </c>
      <c r="B1586" s="29">
        <f t="shared" si="77"/>
        <v>4890412793.2909632</v>
      </c>
      <c r="C1586" s="39">
        <f t="shared" si="78"/>
        <v>5779800000</v>
      </c>
      <c r="D1586" s="76">
        <f t="shared" si="79"/>
        <v>889387206.70903683</v>
      </c>
    </row>
    <row r="1587" spans="1:4" x14ac:dyDescent="0.3">
      <c r="A1587">
        <v>761000</v>
      </c>
      <c r="B1587" s="29">
        <f t="shared" si="77"/>
        <v>4893607300.9816236</v>
      </c>
      <c r="C1587" s="39">
        <f t="shared" si="78"/>
        <v>5783600000</v>
      </c>
      <c r="D1587" s="76">
        <f t="shared" si="79"/>
        <v>889992699.01837635</v>
      </c>
    </row>
    <row r="1588" spans="1:4" x14ac:dyDescent="0.3">
      <c r="A1588">
        <v>761500</v>
      </c>
      <c r="B1588" s="29">
        <f t="shared" si="77"/>
        <v>4896801808.6722832</v>
      </c>
      <c r="C1588" s="39">
        <f t="shared" si="78"/>
        <v>5787400000</v>
      </c>
      <c r="D1588" s="76">
        <f t="shared" si="79"/>
        <v>890598191.32771683</v>
      </c>
    </row>
    <row r="1589" spans="1:4" x14ac:dyDescent="0.3">
      <c r="A1589">
        <v>762000</v>
      </c>
      <c r="B1589" s="29">
        <f t="shared" si="77"/>
        <v>4899996316.3629436</v>
      </c>
      <c r="C1589" s="39">
        <f t="shared" si="78"/>
        <v>5791200000</v>
      </c>
      <c r="D1589" s="76">
        <f t="shared" si="79"/>
        <v>891203683.63705635</v>
      </c>
    </row>
    <row r="1590" spans="1:4" x14ac:dyDescent="0.3">
      <c r="A1590">
        <v>762500</v>
      </c>
      <c r="B1590" s="29">
        <f t="shared" si="77"/>
        <v>4903190824.0536032</v>
      </c>
      <c r="C1590" s="39">
        <f t="shared" si="78"/>
        <v>5795000000</v>
      </c>
      <c r="D1590" s="76">
        <f t="shared" si="79"/>
        <v>891809175.94639683</v>
      </c>
    </row>
    <row r="1591" spans="1:4" x14ac:dyDescent="0.3">
      <c r="A1591">
        <v>763000</v>
      </c>
      <c r="B1591" s="29">
        <f t="shared" si="77"/>
        <v>4906385331.7442636</v>
      </c>
      <c r="C1591" s="39">
        <f t="shared" si="78"/>
        <v>5798800000</v>
      </c>
      <c r="D1591" s="76">
        <f t="shared" si="79"/>
        <v>892414668.25573635</v>
      </c>
    </row>
    <row r="1592" spans="1:4" x14ac:dyDescent="0.3">
      <c r="A1592">
        <v>763500</v>
      </c>
      <c r="B1592" s="29">
        <f t="shared" si="77"/>
        <v>4909579839.4349232</v>
      </c>
      <c r="C1592" s="39">
        <f t="shared" si="78"/>
        <v>5802600000</v>
      </c>
      <c r="D1592" s="76">
        <f t="shared" si="79"/>
        <v>893020160.56507683</v>
      </c>
    </row>
    <row r="1593" spans="1:4" x14ac:dyDescent="0.3">
      <c r="A1593">
        <v>764000</v>
      </c>
      <c r="B1593" s="29">
        <f t="shared" si="77"/>
        <v>4912774347.1255836</v>
      </c>
      <c r="C1593" s="39">
        <f t="shared" si="78"/>
        <v>5806400000</v>
      </c>
      <c r="D1593" s="76">
        <f t="shared" si="79"/>
        <v>893625652.87441635</v>
      </c>
    </row>
    <row r="1594" spans="1:4" x14ac:dyDescent="0.3">
      <c r="A1594">
        <v>764500</v>
      </c>
      <c r="B1594" s="29">
        <f t="shared" si="77"/>
        <v>4915968854.8162432</v>
      </c>
      <c r="C1594" s="39">
        <f t="shared" si="78"/>
        <v>5810200000</v>
      </c>
      <c r="D1594" s="76">
        <f t="shared" si="79"/>
        <v>894231145.18375683</v>
      </c>
    </row>
    <row r="1595" spans="1:4" x14ac:dyDescent="0.3">
      <c r="A1595">
        <v>765000</v>
      </c>
      <c r="B1595" s="29">
        <f t="shared" si="77"/>
        <v>4919163362.5069036</v>
      </c>
      <c r="C1595" s="39">
        <f t="shared" si="78"/>
        <v>5814000000</v>
      </c>
      <c r="D1595" s="76">
        <f t="shared" si="79"/>
        <v>894836637.49309635</v>
      </c>
    </row>
    <row r="1596" spans="1:4" x14ac:dyDescent="0.3">
      <c r="A1596">
        <v>765500</v>
      </c>
      <c r="B1596" s="29">
        <f t="shared" si="77"/>
        <v>4922357870.1975632</v>
      </c>
      <c r="C1596" s="39">
        <f t="shared" si="78"/>
        <v>5817800000</v>
      </c>
      <c r="D1596" s="76">
        <f t="shared" si="79"/>
        <v>895442129.80243683</v>
      </c>
    </row>
    <row r="1597" spans="1:4" x14ac:dyDescent="0.3">
      <c r="A1597">
        <v>766000</v>
      </c>
      <c r="B1597" s="29">
        <f t="shared" si="77"/>
        <v>4925552377.8882236</v>
      </c>
      <c r="C1597" s="39">
        <f t="shared" si="78"/>
        <v>5821600000</v>
      </c>
      <c r="D1597" s="76">
        <f t="shared" si="79"/>
        <v>896047622.11177635</v>
      </c>
    </row>
    <row r="1598" spans="1:4" x14ac:dyDescent="0.3">
      <c r="A1598">
        <v>766500</v>
      </c>
      <c r="B1598" s="29">
        <f t="shared" si="77"/>
        <v>4928746885.5788832</v>
      </c>
      <c r="C1598" s="39">
        <f t="shared" si="78"/>
        <v>5825400000</v>
      </c>
      <c r="D1598" s="76">
        <f t="shared" si="79"/>
        <v>896653114.42111683</v>
      </c>
    </row>
    <row r="1599" spans="1:4" x14ac:dyDescent="0.3">
      <c r="A1599">
        <v>767000</v>
      </c>
      <c r="B1599" s="29">
        <f t="shared" si="77"/>
        <v>4931941393.2695436</v>
      </c>
      <c r="C1599" s="39">
        <f t="shared" si="78"/>
        <v>5829200000</v>
      </c>
      <c r="D1599" s="76">
        <f t="shared" si="79"/>
        <v>897258606.73045635</v>
      </c>
    </row>
    <row r="1600" spans="1:4" x14ac:dyDescent="0.3">
      <c r="A1600">
        <v>767500</v>
      </c>
      <c r="B1600" s="29">
        <f t="shared" si="77"/>
        <v>4935135900.9602032</v>
      </c>
      <c r="C1600" s="39">
        <f t="shared" si="78"/>
        <v>5833000000</v>
      </c>
      <c r="D1600" s="76">
        <f t="shared" si="79"/>
        <v>897864099.03979683</v>
      </c>
    </row>
    <row r="1601" spans="1:4" x14ac:dyDescent="0.3">
      <c r="A1601">
        <v>768000</v>
      </c>
      <c r="B1601" s="29">
        <f t="shared" si="77"/>
        <v>4938330408.6508636</v>
      </c>
      <c r="C1601" s="39">
        <f t="shared" si="78"/>
        <v>5836800000</v>
      </c>
      <c r="D1601" s="76">
        <f t="shared" si="79"/>
        <v>898469591.34913635</v>
      </c>
    </row>
    <row r="1602" spans="1:4" x14ac:dyDescent="0.3">
      <c r="A1602">
        <v>768500</v>
      </c>
      <c r="B1602" s="29">
        <f t="shared" ref="B1602:B1665" si="80">$B$54+($B$60*A1602)</f>
        <v>4941524916.3415232</v>
      </c>
      <c r="C1602" s="39">
        <f t="shared" ref="C1602:C1665" si="81">$E$50*A1602</f>
        <v>5840600000</v>
      </c>
      <c r="D1602" s="76">
        <f t="shared" ref="D1602:D1665" si="82">C1602-B1602</f>
        <v>899075083.65847683</v>
      </c>
    </row>
    <row r="1603" spans="1:4" x14ac:dyDescent="0.3">
      <c r="A1603">
        <v>769000</v>
      </c>
      <c r="B1603" s="29">
        <f t="shared" si="80"/>
        <v>4944719424.0321836</v>
      </c>
      <c r="C1603" s="39">
        <f t="shared" si="81"/>
        <v>5844400000</v>
      </c>
      <c r="D1603" s="76">
        <f t="shared" si="82"/>
        <v>899680575.96781635</v>
      </c>
    </row>
    <row r="1604" spans="1:4" x14ac:dyDescent="0.3">
      <c r="A1604">
        <v>769500</v>
      </c>
      <c r="B1604" s="29">
        <f t="shared" si="80"/>
        <v>4947913931.7228432</v>
      </c>
      <c r="C1604" s="39">
        <f t="shared" si="81"/>
        <v>5848200000</v>
      </c>
      <c r="D1604" s="76">
        <f t="shared" si="82"/>
        <v>900286068.27715683</v>
      </c>
    </row>
    <row r="1605" spans="1:4" x14ac:dyDescent="0.3">
      <c r="A1605">
        <v>770000</v>
      </c>
      <c r="B1605" s="29">
        <f t="shared" si="80"/>
        <v>4951108439.4135036</v>
      </c>
      <c r="C1605" s="39">
        <f t="shared" si="81"/>
        <v>5852000000</v>
      </c>
      <c r="D1605" s="76">
        <f t="shared" si="82"/>
        <v>900891560.58649635</v>
      </c>
    </row>
    <row r="1606" spans="1:4" x14ac:dyDescent="0.3">
      <c r="A1606">
        <v>770500</v>
      </c>
      <c r="B1606" s="29">
        <f t="shared" si="80"/>
        <v>4954302947.1041632</v>
      </c>
      <c r="C1606" s="39">
        <f t="shared" si="81"/>
        <v>5855800000</v>
      </c>
      <c r="D1606" s="76">
        <f t="shared" si="82"/>
        <v>901497052.89583683</v>
      </c>
    </row>
    <row r="1607" spans="1:4" x14ac:dyDescent="0.3">
      <c r="A1607">
        <v>771000</v>
      </c>
      <c r="B1607" s="29">
        <f t="shared" si="80"/>
        <v>4957497454.7948236</v>
      </c>
      <c r="C1607" s="39">
        <f t="shared" si="81"/>
        <v>5859600000</v>
      </c>
      <c r="D1607" s="76">
        <f t="shared" si="82"/>
        <v>902102545.20517635</v>
      </c>
    </row>
    <row r="1608" spans="1:4" x14ac:dyDescent="0.3">
      <c r="A1608">
        <v>771500</v>
      </c>
      <c r="B1608" s="29">
        <f t="shared" si="80"/>
        <v>4960691962.4854832</v>
      </c>
      <c r="C1608" s="39">
        <f t="shared" si="81"/>
        <v>5863400000</v>
      </c>
      <c r="D1608" s="76">
        <f t="shared" si="82"/>
        <v>902708037.51451683</v>
      </c>
    </row>
    <row r="1609" spans="1:4" x14ac:dyDescent="0.3">
      <c r="A1609">
        <v>772000</v>
      </c>
      <c r="B1609" s="29">
        <f t="shared" si="80"/>
        <v>4963886470.1761436</v>
      </c>
      <c r="C1609" s="39">
        <f t="shared" si="81"/>
        <v>5867200000</v>
      </c>
      <c r="D1609" s="76">
        <f t="shared" si="82"/>
        <v>903313529.82385635</v>
      </c>
    </row>
    <row r="1610" spans="1:4" x14ac:dyDescent="0.3">
      <c r="A1610">
        <v>772500</v>
      </c>
      <c r="B1610" s="29">
        <f t="shared" si="80"/>
        <v>4967080977.8668032</v>
      </c>
      <c r="C1610" s="39">
        <f t="shared" si="81"/>
        <v>5871000000</v>
      </c>
      <c r="D1610" s="76">
        <f t="shared" si="82"/>
        <v>903919022.13319683</v>
      </c>
    </row>
    <row r="1611" spans="1:4" x14ac:dyDescent="0.3">
      <c r="A1611">
        <v>773000</v>
      </c>
      <c r="B1611" s="29">
        <f t="shared" si="80"/>
        <v>4970275485.5574636</v>
      </c>
      <c r="C1611" s="39">
        <f t="shared" si="81"/>
        <v>5874800000</v>
      </c>
      <c r="D1611" s="76">
        <f t="shared" si="82"/>
        <v>904524514.44253635</v>
      </c>
    </row>
    <row r="1612" spans="1:4" x14ac:dyDescent="0.3">
      <c r="A1612">
        <v>773500</v>
      </c>
      <c r="B1612" s="29">
        <f t="shared" si="80"/>
        <v>4973469993.2481232</v>
      </c>
      <c r="C1612" s="39">
        <f t="shared" si="81"/>
        <v>5878600000</v>
      </c>
      <c r="D1612" s="76">
        <f t="shared" si="82"/>
        <v>905130006.75187683</v>
      </c>
    </row>
    <row r="1613" spans="1:4" x14ac:dyDescent="0.3">
      <c r="A1613">
        <v>774000</v>
      </c>
      <c r="B1613" s="29">
        <f t="shared" si="80"/>
        <v>4976664500.9387836</v>
      </c>
      <c r="C1613" s="39">
        <f t="shared" si="81"/>
        <v>5882400000</v>
      </c>
      <c r="D1613" s="76">
        <f t="shared" si="82"/>
        <v>905735499.06121635</v>
      </c>
    </row>
    <row r="1614" spans="1:4" x14ac:dyDescent="0.3">
      <c r="A1614">
        <v>774500</v>
      </c>
      <c r="B1614" s="29">
        <f t="shared" si="80"/>
        <v>4979859008.6294432</v>
      </c>
      <c r="C1614" s="39">
        <f t="shared" si="81"/>
        <v>5886200000</v>
      </c>
      <c r="D1614" s="76">
        <f t="shared" si="82"/>
        <v>906340991.37055683</v>
      </c>
    </row>
    <row r="1615" spans="1:4" x14ac:dyDescent="0.3">
      <c r="A1615">
        <v>775000</v>
      </c>
      <c r="B1615" s="29">
        <f t="shared" si="80"/>
        <v>4983053516.3201036</v>
      </c>
      <c r="C1615" s="39">
        <f t="shared" si="81"/>
        <v>5890000000</v>
      </c>
      <c r="D1615" s="76">
        <f t="shared" si="82"/>
        <v>906946483.67989635</v>
      </c>
    </row>
    <row r="1616" spans="1:4" x14ac:dyDescent="0.3">
      <c r="A1616">
        <v>775500</v>
      </c>
      <c r="B1616" s="29">
        <f t="shared" si="80"/>
        <v>4986248024.0107632</v>
      </c>
      <c r="C1616" s="39">
        <f t="shared" si="81"/>
        <v>5893800000</v>
      </c>
      <c r="D1616" s="76">
        <f t="shared" si="82"/>
        <v>907551975.98923683</v>
      </c>
    </row>
    <row r="1617" spans="1:4" x14ac:dyDescent="0.3">
      <c r="A1617">
        <v>776000</v>
      </c>
      <c r="B1617" s="29">
        <f t="shared" si="80"/>
        <v>4989442531.7014236</v>
      </c>
      <c r="C1617" s="39">
        <f t="shared" si="81"/>
        <v>5897600000</v>
      </c>
      <c r="D1617" s="76">
        <f t="shared" si="82"/>
        <v>908157468.29857635</v>
      </c>
    </row>
    <row r="1618" spans="1:4" x14ac:dyDescent="0.3">
      <c r="A1618">
        <v>776500</v>
      </c>
      <c r="B1618" s="29">
        <f t="shared" si="80"/>
        <v>4992637039.3920832</v>
      </c>
      <c r="C1618" s="39">
        <f t="shared" si="81"/>
        <v>5901400000</v>
      </c>
      <c r="D1618" s="76">
        <f t="shared" si="82"/>
        <v>908762960.60791683</v>
      </c>
    </row>
    <row r="1619" spans="1:4" x14ac:dyDescent="0.3">
      <c r="A1619">
        <v>777000</v>
      </c>
      <c r="B1619" s="29">
        <f t="shared" si="80"/>
        <v>4995831547.0827436</v>
      </c>
      <c r="C1619" s="39">
        <f t="shared" si="81"/>
        <v>5905200000</v>
      </c>
      <c r="D1619" s="76">
        <f t="shared" si="82"/>
        <v>909368452.91725636</v>
      </c>
    </row>
    <row r="1620" spans="1:4" x14ac:dyDescent="0.3">
      <c r="A1620">
        <v>777500</v>
      </c>
      <c r="B1620" s="29">
        <f t="shared" si="80"/>
        <v>4999026054.7734032</v>
      </c>
      <c r="C1620" s="39">
        <f t="shared" si="81"/>
        <v>5909000000</v>
      </c>
      <c r="D1620" s="76">
        <f t="shared" si="82"/>
        <v>909973945.22659683</v>
      </c>
    </row>
    <row r="1621" spans="1:4" x14ac:dyDescent="0.3">
      <c r="A1621">
        <v>778000</v>
      </c>
      <c r="B1621" s="29">
        <f t="shared" si="80"/>
        <v>5002220562.4640636</v>
      </c>
      <c r="C1621" s="39">
        <f t="shared" si="81"/>
        <v>5912800000</v>
      </c>
      <c r="D1621" s="76">
        <f t="shared" si="82"/>
        <v>910579437.53593636</v>
      </c>
    </row>
    <row r="1622" spans="1:4" x14ac:dyDescent="0.3">
      <c r="A1622">
        <v>778500</v>
      </c>
      <c r="B1622" s="29">
        <f t="shared" si="80"/>
        <v>5005415070.1547232</v>
      </c>
      <c r="C1622" s="39">
        <f t="shared" si="81"/>
        <v>5916600000</v>
      </c>
      <c r="D1622" s="76">
        <f t="shared" si="82"/>
        <v>911184929.84527683</v>
      </c>
    </row>
    <row r="1623" spans="1:4" x14ac:dyDescent="0.3">
      <c r="A1623">
        <v>779000</v>
      </c>
      <c r="B1623" s="29">
        <f t="shared" si="80"/>
        <v>5008609577.8453836</v>
      </c>
      <c r="C1623" s="39">
        <f t="shared" si="81"/>
        <v>5920400000</v>
      </c>
      <c r="D1623" s="76">
        <f t="shared" si="82"/>
        <v>911790422.15461636</v>
      </c>
    </row>
    <row r="1624" spans="1:4" x14ac:dyDescent="0.3">
      <c r="A1624">
        <v>779500</v>
      </c>
      <c r="B1624" s="29">
        <f t="shared" si="80"/>
        <v>5011804085.5360432</v>
      </c>
      <c r="C1624" s="39">
        <f t="shared" si="81"/>
        <v>5924200000</v>
      </c>
      <c r="D1624" s="76">
        <f t="shared" si="82"/>
        <v>912395914.46395683</v>
      </c>
    </row>
    <row r="1625" spans="1:4" x14ac:dyDescent="0.3">
      <c r="A1625">
        <v>780000</v>
      </c>
      <c r="B1625" s="29">
        <f t="shared" si="80"/>
        <v>5014998593.2267036</v>
      </c>
      <c r="C1625" s="39">
        <f t="shared" si="81"/>
        <v>5928000000</v>
      </c>
      <c r="D1625" s="76">
        <f t="shared" si="82"/>
        <v>913001406.77329636</v>
      </c>
    </row>
    <row r="1626" spans="1:4" x14ac:dyDescent="0.3">
      <c r="A1626">
        <v>780500</v>
      </c>
      <c r="B1626" s="29">
        <f t="shared" si="80"/>
        <v>5018193100.9173632</v>
      </c>
      <c r="C1626" s="39">
        <f t="shared" si="81"/>
        <v>5931800000</v>
      </c>
      <c r="D1626" s="76">
        <f t="shared" si="82"/>
        <v>913606899.08263683</v>
      </c>
    </row>
    <row r="1627" spans="1:4" x14ac:dyDescent="0.3">
      <c r="A1627">
        <v>781000</v>
      </c>
      <c r="B1627" s="29">
        <f t="shared" si="80"/>
        <v>5021387608.6080236</v>
      </c>
      <c r="C1627" s="39">
        <f t="shared" si="81"/>
        <v>5935600000</v>
      </c>
      <c r="D1627" s="76">
        <f t="shared" si="82"/>
        <v>914212391.39197636</v>
      </c>
    </row>
    <row r="1628" spans="1:4" x14ac:dyDescent="0.3">
      <c r="A1628">
        <v>781500</v>
      </c>
      <c r="B1628" s="29">
        <f t="shared" si="80"/>
        <v>5024582116.2986832</v>
      </c>
      <c r="C1628" s="39">
        <f t="shared" si="81"/>
        <v>5939400000</v>
      </c>
      <c r="D1628" s="76">
        <f t="shared" si="82"/>
        <v>914817883.70131683</v>
      </c>
    </row>
    <row r="1629" spans="1:4" x14ac:dyDescent="0.3">
      <c r="A1629">
        <v>782000</v>
      </c>
      <c r="B1629" s="29">
        <f t="shared" si="80"/>
        <v>5027776623.9893436</v>
      </c>
      <c r="C1629" s="39">
        <f t="shared" si="81"/>
        <v>5943200000</v>
      </c>
      <c r="D1629" s="76">
        <f t="shared" si="82"/>
        <v>915423376.01065636</v>
      </c>
    </row>
    <row r="1630" spans="1:4" x14ac:dyDescent="0.3">
      <c r="A1630">
        <v>782500</v>
      </c>
      <c r="B1630" s="29">
        <f t="shared" si="80"/>
        <v>5030971131.6800032</v>
      </c>
      <c r="C1630" s="39">
        <f t="shared" si="81"/>
        <v>5947000000</v>
      </c>
      <c r="D1630" s="76">
        <f t="shared" si="82"/>
        <v>916028868.31999683</v>
      </c>
    </row>
    <row r="1631" spans="1:4" x14ac:dyDescent="0.3">
      <c r="A1631">
        <v>783000</v>
      </c>
      <c r="B1631" s="29">
        <f t="shared" si="80"/>
        <v>5034165639.3706636</v>
      </c>
      <c r="C1631" s="39">
        <f t="shared" si="81"/>
        <v>5950800000</v>
      </c>
      <c r="D1631" s="76">
        <f t="shared" si="82"/>
        <v>916634360.62933636</v>
      </c>
    </row>
    <row r="1632" spans="1:4" x14ac:dyDescent="0.3">
      <c r="A1632">
        <v>783500</v>
      </c>
      <c r="B1632" s="29">
        <f t="shared" si="80"/>
        <v>5037360147.0613232</v>
      </c>
      <c r="C1632" s="39">
        <f t="shared" si="81"/>
        <v>5954600000</v>
      </c>
      <c r="D1632" s="76">
        <f t="shared" si="82"/>
        <v>917239852.93867683</v>
      </c>
    </row>
    <row r="1633" spans="1:4" x14ac:dyDescent="0.3">
      <c r="A1633">
        <v>784000</v>
      </c>
      <c r="B1633" s="29">
        <f t="shared" si="80"/>
        <v>5040554654.7519836</v>
      </c>
      <c r="C1633" s="39">
        <f t="shared" si="81"/>
        <v>5958400000</v>
      </c>
      <c r="D1633" s="76">
        <f t="shared" si="82"/>
        <v>917845345.24801636</v>
      </c>
    </row>
    <row r="1634" spans="1:4" x14ac:dyDescent="0.3">
      <c r="A1634">
        <v>784500</v>
      </c>
      <c r="B1634" s="29">
        <f t="shared" si="80"/>
        <v>5043749162.4426432</v>
      </c>
      <c r="C1634" s="39">
        <f t="shared" si="81"/>
        <v>5962200000</v>
      </c>
      <c r="D1634" s="76">
        <f t="shared" si="82"/>
        <v>918450837.55735683</v>
      </c>
    </row>
    <row r="1635" spans="1:4" x14ac:dyDescent="0.3">
      <c r="A1635">
        <v>785000</v>
      </c>
      <c r="B1635" s="29">
        <f t="shared" si="80"/>
        <v>5046943670.1333036</v>
      </c>
      <c r="C1635" s="39">
        <f t="shared" si="81"/>
        <v>5966000000</v>
      </c>
      <c r="D1635" s="76">
        <f t="shared" si="82"/>
        <v>919056329.86669636</v>
      </c>
    </row>
    <row r="1636" spans="1:4" x14ac:dyDescent="0.3">
      <c r="A1636">
        <v>785500</v>
      </c>
      <c r="B1636" s="29">
        <f t="shared" si="80"/>
        <v>5050138177.8239632</v>
      </c>
      <c r="C1636" s="39">
        <f t="shared" si="81"/>
        <v>5969800000</v>
      </c>
      <c r="D1636" s="76">
        <f t="shared" si="82"/>
        <v>919661822.17603683</v>
      </c>
    </row>
    <row r="1637" spans="1:4" x14ac:dyDescent="0.3">
      <c r="A1637">
        <v>786000</v>
      </c>
      <c r="B1637" s="29">
        <f t="shared" si="80"/>
        <v>5053332685.5146236</v>
      </c>
      <c r="C1637" s="39">
        <f t="shared" si="81"/>
        <v>5973600000</v>
      </c>
      <c r="D1637" s="76">
        <f t="shared" si="82"/>
        <v>920267314.48537636</v>
      </c>
    </row>
    <row r="1638" spans="1:4" x14ac:dyDescent="0.3">
      <c r="A1638">
        <v>786500</v>
      </c>
      <c r="B1638" s="29">
        <f t="shared" si="80"/>
        <v>5056527193.2052832</v>
      </c>
      <c r="C1638" s="39">
        <f t="shared" si="81"/>
        <v>5977400000</v>
      </c>
      <c r="D1638" s="76">
        <f t="shared" si="82"/>
        <v>920872806.79471684</v>
      </c>
    </row>
    <row r="1639" spans="1:4" x14ac:dyDescent="0.3">
      <c r="A1639">
        <v>787000</v>
      </c>
      <c r="B1639" s="29">
        <f t="shared" si="80"/>
        <v>5059721700.8959436</v>
      </c>
      <c r="C1639" s="39">
        <f t="shared" si="81"/>
        <v>5981200000</v>
      </c>
      <c r="D1639" s="76">
        <f t="shared" si="82"/>
        <v>921478299.10405636</v>
      </c>
    </row>
    <row r="1640" spans="1:4" x14ac:dyDescent="0.3">
      <c r="A1640">
        <v>787500</v>
      </c>
      <c r="B1640" s="29">
        <f t="shared" si="80"/>
        <v>5062916208.5866032</v>
      </c>
      <c r="C1640" s="39">
        <f t="shared" si="81"/>
        <v>5985000000</v>
      </c>
      <c r="D1640" s="76">
        <f t="shared" si="82"/>
        <v>922083791.41339684</v>
      </c>
    </row>
    <row r="1641" spans="1:4" x14ac:dyDescent="0.3">
      <c r="A1641">
        <v>788000</v>
      </c>
      <c r="B1641" s="29">
        <f t="shared" si="80"/>
        <v>5066110716.2772636</v>
      </c>
      <c r="C1641" s="39">
        <f t="shared" si="81"/>
        <v>5988800000</v>
      </c>
      <c r="D1641" s="76">
        <f t="shared" si="82"/>
        <v>922689283.72273636</v>
      </c>
    </row>
    <row r="1642" spans="1:4" x14ac:dyDescent="0.3">
      <c r="A1642">
        <v>788500</v>
      </c>
      <c r="B1642" s="29">
        <f t="shared" si="80"/>
        <v>5069305223.9679232</v>
      </c>
      <c r="C1642" s="39">
        <f t="shared" si="81"/>
        <v>5992600000</v>
      </c>
      <c r="D1642" s="76">
        <f t="shared" si="82"/>
        <v>923294776.03207684</v>
      </c>
    </row>
    <row r="1643" spans="1:4" x14ac:dyDescent="0.3">
      <c r="A1643">
        <v>789000</v>
      </c>
      <c r="B1643" s="29">
        <f t="shared" si="80"/>
        <v>5072499731.6585836</v>
      </c>
      <c r="C1643" s="39">
        <f t="shared" si="81"/>
        <v>5996400000</v>
      </c>
      <c r="D1643" s="76">
        <f t="shared" si="82"/>
        <v>923900268.34141636</v>
      </c>
    </row>
    <row r="1644" spans="1:4" x14ac:dyDescent="0.3">
      <c r="A1644">
        <v>789500</v>
      </c>
      <c r="B1644" s="29">
        <f t="shared" si="80"/>
        <v>5075694239.3492432</v>
      </c>
      <c r="C1644" s="39">
        <f t="shared" si="81"/>
        <v>6000200000</v>
      </c>
      <c r="D1644" s="76">
        <f t="shared" si="82"/>
        <v>924505760.65075684</v>
      </c>
    </row>
    <row r="1645" spans="1:4" x14ac:dyDescent="0.3">
      <c r="A1645">
        <v>790000</v>
      </c>
      <c r="B1645" s="29">
        <f t="shared" si="80"/>
        <v>5078888747.0399036</v>
      </c>
      <c r="C1645" s="39">
        <f t="shared" si="81"/>
        <v>6004000000</v>
      </c>
      <c r="D1645" s="76">
        <f t="shared" si="82"/>
        <v>925111252.96009636</v>
      </c>
    </row>
    <row r="1646" spans="1:4" x14ac:dyDescent="0.3">
      <c r="A1646">
        <v>790500</v>
      </c>
      <c r="B1646" s="29">
        <f t="shared" si="80"/>
        <v>5082083254.7305632</v>
      </c>
      <c r="C1646" s="39">
        <f t="shared" si="81"/>
        <v>6007800000</v>
      </c>
      <c r="D1646" s="76">
        <f t="shared" si="82"/>
        <v>925716745.26943684</v>
      </c>
    </row>
    <row r="1647" spans="1:4" x14ac:dyDescent="0.3">
      <c r="A1647">
        <v>791000</v>
      </c>
      <c r="B1647" s="29">
        <f t="shared" si="80"/>
        <v>5085277762.4212236</v>
      </c>
      <c r="C1647" s="39">
        <f t="shared" si="81"/>
        <v>6011600000</v>
      </c>
      <c r="D1647" s="76">
        <f t="shared" si="82"/>
        <v>926322237.57877636</v>
      </c>
    </row>
    <row r="1648" spans="1:4" x14ac:dyDescent="0.3">
      <c r="A1648">
        <v>791500</v>
      </c>
      <c r="B1648" s="29">
        <f t="shared" si="80"/>
        <v>5088472270.1118832</v>
      </c>
      <c r="C1648" s="39">
        <f t="shared" si="81"/>
        <v>6015400000</v>
      </c>
      <c r="D1648" s="76">
        <f t="shared" si="82"/>
        <v>926927729.88811684</v>
      </c>
    </row>
    <row r="1649" spans="1:4" x14ac:dyDescent="0.3">
      <c r="A1649">
        <v>792000</v>
      </c>
      <c r="B1649" s="29">
        <f t="shared" si="80"/>
        <v>5091666777.8025436</v>
      </c>
      <c r="C1649" s="39">
        <f t="shared" si="81"/>
        <v>6019200000</v>
      </c>
      <c r="D1649" s="76">
        <f t="shared" si="82"/>
        <v>927533222.19745636</v>
      </c>
    </row>
    <row r="1650" spans="1:4" x14ac:dyDescent="0.3">
      <c r="A1650">
        <v>792500</v>
      </c>
      <c r="B1650" s="29">
        <f t="shared" si="80"/>
        <v>5094861285.4932032</v>
      </c>
      <c r="C1650" s="39">
        <f t="shared" si="81"/>
        <v>6023000000</v>
      </c>
      <c r="D1650" s="76">
        <f t="shared" si="82"/>
        <v>928138714.50679684</v>
      </c>
    </row>
    <row r="1651" spans="1:4" x14ac:dyDescent="0.3">
      <c r="A1651">
        <v>793000</v>
      </c>
      <c r="B1651" s="29">
        <f t="shared" si="80"/>
        <v>5098055793.1838636</v>
      </c>
      <c r="C1651" s="39">
        <f t="shared" si="81"/>
        <v>6026800000</v>
      </c>
      <c r="D1651" s="76">
        <f t="shared" si="82"/>
        <v>928744206.81613636</v>
      </c>
    </row>
    <row r="1652" spans="1:4" x14ac:dyDescent="0.3">
      <c r="A1652">
        <v>793500</v>
      </c>
      <c r="B1652" s="29">
        <f t="shared" si="80"/>
        <v>5101250300.8745232</v>
      </c>
      <c r="C1652" s="39">
        <f t="shared" si="81"/>
        <v>6030600000</v>
      </c>
      <c r="D1652" s="76">
        <f t="shared" si="82"/>
        <v>929349699.12547684</v>
      </c>
    </row>
    <row r="1653" spans="1:4" x14ac:dyDescent="0.3">
      <c r="A1653">
        <v>794000</v>
      </c>
      <c r="B1653" s="29">
        <f t="shared" si="80"/>
        <v>5104444808.5651836</v>
      </c>
      <c r="C1653" s="39">
        <f t="shared" si="81"/>
        <v>6034400000</v>
      </c>
      <c r="D1653" s="76">
        <f t="shared" si="82"/>
        <v>929955191.43481636</v>
      </c>
    </row>
    <row r="1654" spans="1:4" x14ac:dyDescent="0.3">
      <c r="A1654">
        <v>794500</v>
      </c>
      <c r="B1654" s="29">
        <f t="shared" si="80"/>
        <v>5107639316.2558432</v>
      </c>
      <c r="C1654" s="39">
        <f t="shared" si="81"/>
        <v>6038200000</v>
      </c>
      <c r="D1654" s="76">
        <f t="shared" si="82"/>
        <v>930560683.74415684</v>
      </c>
    </row>
    <row r="1655" spans="1:4" x14ac:dyDescent="0.3">
      <c r="A1655">
        <v>795000</v>
      </c>
      <c r="B1655" s="29">
        <f t="shared" si="80"/>
        <v>5110833823.9465036</v>
      </c>
      <c r="C1655" s="39">
        <f t="shared" si="81"/>
        <v>6042000000</v>
      </c>
      <c r="D1655" s="76">
        <f t="shared" si="82"/>
        <v>931166176.05349636</v>
      </c>
    </row>
    <row r="1656" spans="1:4" x14ac:dyDescent="0.3">
      <c r="A1656">
        <v>795500</v>
      </c>
      <c r="B1656" s="29">
        <f t="shared" si="80"/>
        <v>5114028331.6371632</v>
      </c>
      <c r="C1656" s="39">
        <f t="shared" si="81"/>
        <v>6045800000</v>
      </c>
      <c r="D1656" s="76">
        <f t="shared" si="82"/>
        <v>931771668.36283684</v>
      </c>
    </row>
    <row r="1657" spans="1:4" x14ac:dyDescent="0.3">
      <c r="A1657">
        <v>796000</v>
      </c>
      <c r="B1657" s="29">
        <f t="shared" si="80"/>
        <v>5117222839.3278236</v>
      </c>
      <c r="C1657" s="39">
        <f t="shared" si="81"/>
        <v>6049600000</v>
      </c>
      <c r="D1657" s="76">
        <f t="shared" si="82"/>
        <v>932377160.67217636</v>
      </c>
    </row>
    <row r="1658" spans="1:4" x14ac:dyDescent="0.3">
      <c r="A1658">
        <v>796500</v>
      </c>
      <c r="B1658" s="29">
        <f t="shared" si="80"/>
        <v>5120417347.0184832</v>
      </c>
      <c r="C1658" s="39">
        <f t="shared" si="81"/>
        <v>6053400000</v>
      </c>
      <c r="D1658" s="76">
        <f t="shared" si="82"/>
        <v>932982652.98151684</v>
      </c>
    </row>
    <row r="1659" spans="1:4" x14ac:dyDescent="0.3">
      <c r="A1659">
        <v>797000</v>
      </c>
      <c r="B1659" s="29">
        <f t="shared" si="80"/>
        <v>5123611854.7091436</v>
      </c>
      <c r="C1659" s="39">
        <f t="shared" si="81"/>
        <v>6057200000</v>
      </c>
      <c r="D1659" s="76">
        <f t="shared" si="82"/>
        <v>933588145.29085636</v>
      </c>
    </row>
    <row r="1660" spans="1:4" x14ac:dyDescent="0.3">
      <c r="A1660">
        <v>797500</v>
      </c>
      <c r="B1660" s="29">
        <f t="shared" si="80"/>
        <v>5126806362.3998032</v>
      </c>
      <c r="C1660" s="39">
        <f t="shared" si="81"/>
        <v>6061000000</v>
      </c>
      <c r="D1660" s="76">
        <f t="shared" si="82"/>
        <v>934193637.60019684</v>
      </c>
    </row>
    <row r="1661" spans="1:4" x14ac:dyDescent="0.3">
      <c r="A1661">
        <v>798000</v>
      </c>
      <c r="B1661" s="29">
        <f t="shared" si="80"/>
        <v>5130000870.0904636</v>
      </c>
      <c r="C1661" s="39">
        <f t="shared" si="81"/>
        <v>6064800000</v>
      </c>
      <c r="D1661" s="76">
        <f t="shared" si="82"/>
        <v>934799129.90953636</v>
      </c>
    </row>
    <row r="1662" spans="1:4" x14ac:dyDescent="0.3">
      <c r="A1662">
        <v>798500</v>
      </c>
      <c r="B1662" s="29">
        <f t="shared" si="80"/>
        <v>5133195377.7811232</v>
      </c>
      <c r="C1662" s="39">
        <f t="shared" si="81"/>
        <v>6068600000</v>
      </c>
      <c r="D1662" s="76">
        <f t="shared" si="82"/>
        <v>935404622.21887684</v>
      </c>
    </row>
    <row r="1663" spans="1:4" x14ac:dyDescent="0.3">
      <c r="A1663">
        <v>799000</v>
      </c>
      <c r="B1663" s="29">
        <f t="shared" si="80"/>
        <v>5136389885.4717836</v>
      </c>
      <c r="C1663" s="39">
        <f t="shared" si="81"/>
        <v>6072400000</v>
      </c>
      <c r="D1663" s="76">
        <f t="shared" si="82"/>
        <v>936010114.52821636</v>
      </c>
    </row>
    <row r="1664" spans="1:4" x14ac:dyDescent="0.3">
      <c r="A1664">
        <v>799500</v>
      </c>
      <c r="B1664" s="29">
        <f t="shared" si="80"/>
        <v>5139584393.1624432</v>
      </c>
      <c r="C1664" s="39">
        <f t="shared" si="81"/>
        <v>6076200000</v>
      </c>
      <c r="D1664" s="76">
        <f t="shared" si="82"/>
        <v>936615606.83755684</v>
      </c>
    </row>
    <row r="1665" spans="1:4" x14ac:dyDescent="0.3">
      <c r="A1665">
        <v>800000</v>
      </c>
      <c r="B1665" s="29">
        <f t="shared" si="80"/>
        <v>5142778900.8531036</v>
      </c>
      <c r="C1665" s="39">
        <f t="shared" si="81"/>
        <v>6080000000</v>
      </c>
      <c r="D1665" s="76">
        <f t="shared" si="82"/>
        <v>937221099.14689636</v>
      </c>
    </row>
    <row r="1666" spans="1:4" x14ac:dyDescent="0.3">
      <c r="A1666">
        <v>800500</v>
      </c>
      <c r="B1666" s="29">
        <f t="shared" ref="B1666:B1729" si="83">$B$54+($B$60*A1666)</f>
        <v>5145973408.5437632</v>
      </c>
      <c r="C1666" s="39">
        <f t="shared" ref="C1666:C1729" si="84">$E$50*A1666</f>
        <v>6083800000</v>
      </c>
      <c r="D1666" s="76">
        <f t="shared" ref="D1666:D1729" si="85">C1666-B1666</f>
        <v>937826591.45623684</v>
      </c>
    </row>
    <row r="1667" spans="1:4" x14ac:dyDescent="0.3">
      <c r="A1667">
        <v>801000</v>
      </c>
      <c r="B1667" s="29">
        <f t="shared" si="83"/>
        <v>5149167916.2344236</v>
      </c>
      <c r="C1667" s="39">
        <f t="shared" si="84"/>
        <v>6087600000</v>
      </c>
      <c r="D1667" s="76">
        <f t="shared" si="85"/>
        <v>938432083.76557636</v>
      </c>
    </row>
    <row r="1668" spans="1:4" x14ac:dyDescent="0.3">
      <c r="A1668">
        <v>801500</v>
      </c>
      <c r="B1668" s="29">
        <f t="shared" si="83"/>
        <v>5152362423.9250832</v>
      </c>
      <c r="C1668" s="39">
        <f t="shared" si="84"/>
        <v>6091400000</v>
      </c>
      <c r="D1668" s="76">
        <f t="shared" si="85"/>
        <v>939037576.07491684</v>
      </c>
    </row>
    <row r="1669" spans="1:4" x14ac:dyDescent="0.3">
      <c r="A1669">
        <v>802000</v>
      </c>
      <c r="B1669" s="29">
        <f t="shared" si="83"/>
        <v>5155556931.6157436</v>
      </c>
      <c r="C1669" s="39">
        <f t="shared" si="84"/>
        <v>6095200000</v>
      </c>
      <c r="D1669" s="76">
        <f t="shared" si="85"/>
        <v>939643068.38425636</v>
      </c>
    </row>
    <row r="1670" spans="1:4" x14ac:dyDescent="0.3">
      <c r="A1670">
        <v>802500</v>
      </c>
      <c r="B1670" s="29">
        <f t="shared" si="83"/>
        <v>5158751439.3064032</v>
      </c>
      <c r="C1670" s="39">
        <f t="shared" si="84"/>
        <v>6099000000</v>
      </c>
      <c r="D1670" s="76">
        <f t="shared" si="85"/>
        <v>940248560.69359684</v>
      </c>
    </row>
    <row r="1671" spans="1:4" x14ac:dyDescent="0.3">
      <c r="A1671">
        <v>803000</v>
      </c>
      <c r="B1671" s="29">
        <f t="shared" si="83"/>
        <v>5161945946.9970636</v>
      </c>
      <c r="C1671" s="39">
        <f t="shared" si="84"/>
        <v>6102800000</v>
      </c>
      <c r="D1671" s="76">
        <f t="shared" si="85"/>
        <v>940854053.00293636</v>
      </c>
    </row>
    <row r="1672" spans="1:4" x14ac:dyDescent="0.3">
      <c r="A1672">
        <v>803500</v>
      </c>
      <c r="B1672" s="29">
        <f t="shared" si="83"/>
        <v>5165140454.6877232</v>
      </c>
      <c r="C1672" s="39">
        <f t="shared" si="84"/>
        <v>6106600000</v>
      </c>
      <c r="D1672" s="76">
        <f t="shared" si="85"/>
        <v>941459545.31227684</v>
      </c>
    </row>
    <row r="1673" spans="1:4" x14ac:dyDescent="0.3">
      <c r="A1673">
        <v>804000</v>
      </c>
      <c r="B1673" s="29">
        <f t="shared" si="83"/>
        <v>5168334962.3783836</v>
      </c>
      <c r="C1673" s="39">
        <f t="shared" si="84"/>
        <v>6110400000</v>
      </c>
      <c r="D1673" s="76">
        <f t="shared" si="85"/>
        <v>942065037.62161636</v>
      </c>
    </row>
    <row r="1674" spans="1:4" x14ac:dyDescent="0.3">
      <c r="A1674">
        <v>804500</v>
      </c>
      <c r="B1674" s="29">
        <f t="shared" si="83"/>
        <v>5171529470.0690432</v>
      </c>
      <c r="C1674" s="39">
        <f t="shared" si="84"/>
        <v>6114200000</v>
      </c>
      <c r="D1674" s="76">
        <f t="shared" si="85"/>
        <v>942670529.93095684</v>
      </c>
    </row>
    <row r="1675" spans="1:4" x14ac:dyDescent="0.3">
      <c r="A1675">
        <v>805000</v>
      </c>
      <c r="B1675" s="29">
        <f t="shared" si="83"/>
        <v>5174723977.7597036</v>
      </c>
      <c r="C1675" s="39">
        <f t="shared" si="84"/>
        <v>6118000000</v>
      </c>
      <c r="D1675" s="76">
        <f t="shared" si="85"/>
        <v>943276022.24029636</v>
      </c>
    </row>
    <row r="1676" spans="1:4" x14ac:dyDescent="0.3">
      <c r="A1676">
        <v>805500</v>
      </c>
      <c r="B1676" s="29">
        <f t="shared" si="83"/>
        <v>5177918485.4503632</v>
      </c>
      <c r="C1676" s="39">
        <f t="shared" si="84"/>
        <v>6121800000</v>
      </c>
      <c r="D1676" s="76">
        <f t="shared" si="85"/>
        <v>943881514.54963684</v>
      </c>
    </row>
    <row r="1677" spans="1:4" x14ac:dyDescent="0.3">
      <c r="A1677">
        <v>806000</v>
      </c>
      <c r="B1677" s="29">
        <f t="shared" si="83"/>
        <v>5181112993.1410236</v>
      </c>
      <c r="C1677" s="39">
        <f t="shared" si="84"/>
        <v>6125600000</v>
      </c>
      <c r="D1677" s="76">
        <f t="shared" si="85"/>
        <v>944487006.85897636</v>
      </c>
    </row>
    <row r="1678" spans="1:4" x14ac:dyDescent="0.3">
      <c r="A1678">
        <v>806500</v>
      </c>
      <c r="B1678" s="29">
        <f t="shared" si="83"/>
        <v>5184307500.8316832</v>
      </c>
      <c r="C1678" s="39">
        <f t="shared" si="84"/>
        <v>6129400000</v>
      </c>
      <c r="D1678" s="76">
        <f t="shared" si="85"/>
        <v>945092499.16831684</v>
      </c>
    </row>
    <row r="1679" spans="1:4" x14ac:dyDescent="0.3">
      <c r="A1679">
        <v>807000</v>
      </c>
      <c r="B1679" s="29">
        <f t="shared" si="83"/>
        <v>5187502008.5223436</v>
      </c>
      <c r="C1679" s="39">
        <f t="shared" si="84"/>
        <v>6133200000</v>
      </c>
      <c r="D1679" s="76">
        <f t="shared" si="85"/>
        <v>945697991.47765636</v>
      </c>
    </row>
    <row r="1680" spans="1:4" x14ac:dyDescent="0.3">
      <c r="A1680">
        <v>807500</v>
      </c>
      <c r="B1680" s="29">
        <f t="shared" si="83"/>
        <v>5190696516.2130032</v>
      </c>
      <c r="C1680" s="39">
        <f t="shared" si="84"/>
        <v>6137000000</v>
      </c>
      <c r="D1680" s="76">
        <f t="shared" si="85"/>
        <v>946303483.78699684</v>
      </c>
    </row>
    <row r="1681" spans="1:4" x14ac:dyDescent="0.3">
      <c r="A1681">
        <v>808000</v>
      </c>
      <c r="B1681" s="29">
        <f t="shared" si="83"/>
        <v>5193891023.9036636</v>
      </c>
      <c r="C1681" s="39">
        <f t="shared" si="84"/>
        <v>6140800000</v>
      </c>
      <c r="D1681" s="76">
        <f t="shared" si="85"/>
        <v>946908976.09633636</v>
      </c>
    </row>
    <row r="1682" spans="1:4" x14ac:dyDescent="0.3">
      <c r="A1682">
        <v>808500</v>
      </c>
      <c r="B1682" s="29">
        <f t="shared" si="83"/>
        <v>5197085531.5943232</v>
      </c>
      <c r="C1682" s="39">
        <f t="shared" si="84"/>
        <v>6144600000</v>
      </c>
      <c r="D1682" s="76">
        <f t="shared" si="85"/>
        <v>947514468.40567684</v>
      </c>
    </row>
    <row r="1683" spans="1:4" x14ac:dyDescent="0.3">
      <c r="A1683">
        <v>809000</v>
      </c>
      <c r="B1683" s="29">
        <f t="shared" si="83"/>
        <v>5200280039.2849836</v>
      </c>
      <c r="C1683" s="39">
        <f t="shared" si="84"/>
        <v>6148400000</v>
      </c>
      <c r="D1683" s="76">
        <f t="shared" si="85"/>
        <v>948119960.71501637</v>
      </c>
    </row>
    <row r="1684" spans="1:4" x14ac:dyDescent="0.3">
      <c r="A1684">
        <v>809500</v>
      </c>
      <c r="B1684" s="29">
        <f t="shared" si="83"/>
        <v>5203474546.9756432</v>
      </c>
      <c r="C1684" s="39">
        <f t="shared" si="84"/>
        <v>6152200000</v>
      </c>
      <c r="D1684" s="76">
        <f t="shared" si="85"/>
        <v>948725453.02435684</v>
      </c>
    </row>
    <row r="1685" spans="1:4" x14ac:dyDescent="0.3">
      <c r="A1685">
        <v>810000</v>
      </c>
      <c r="B1685" s="29">
        <f t="shared" si="83"/>
        <v>5206669054.6663036</v>
      </c>
      <c r="C1685" s="39">
        <f t="shared" si="84"/>
        <v>6156000000</v>
      </c>
      <c r="D1685" s="76">
        <f t="shared" si="85"/>
        <v>949330945.33369637</v>
      </c>
    </row>
    <row r="1686" spans="1:4" x14ac:dyDescent="0.3">
      <c r="A1686">
        <v>810500</v>
      </c>
      <c r="B1686" s="29">
        <f t="shared" si="83"/>
        <v>5209863562.3569632</v>
      </c>
      <c r="C1686" s="39">
        <f t="shared" si="84"/>
        <v>6159800000</v>
      </c>
      <c r="D1686" s="76">
        <f t="shared" si="85"/>
        <v>949936437.64303684</v>
      </c>
    </row>
    <row r="1687" spans="1:4" x14ac:dyDescent="0.3">
      <c r="A1687">
        <v>811000</v>
      </c>
      <c r="B1687" s="29">
        <f t="shared" si="83"/>
        <v>5213058070.0476236</v>
      </c>
      <c r="C1687" s="39">
        <f t="shared" si="84"/>
        <v>6163600000</v>
      </c>
      <c r="D1687" s="76">
        <f t="shared" si="85"/>
        <v>950541929.95237637</v>
      </c>
    </row>
    <row r="1688" spans="1:4" x14ac:dyDescent="0.3">
      <c r="A1688">
        <v>811500</v>
      </c>
      <c r="B1688" s="29">
        <f t="shared" si="83"/>
        <v>5216252577.7382832</v>
      </c>
      <c r="C1688" s="39">
        <f t="shared" si="84"/>
        <v>6167400000</v>
      </c>
      <c r="D1688" s="76">
        <f t="shared" si="85"/>
        <v>951147422.26171684</v>
      </c>
    </row>
    <row r="1689" spans="1:4" x14ac:dyDescent="0.3">
      <c r="A1689">
        <v>812000</v>
      </c>
      <c r="B1689" s="29">
        <f t="shared" si="83"/>
        <v>5219447085.4289436</v>
      </c>
      <c r="C1689" s="39">
        <f t="shared" si="84"/>
        <v>6171200000</v>
      </c>
      <c r="D1689" s="76">
        <f t="shared" si="85"/>
        <v>951752914.57105637</v>
      </c>
    </row>
    <row r="1690" spans="1:4" x14ac:dyDescent="0.3">
      <c r="A1690">
        <v>812500</v>
      </c>
      <c r="B1690" s="29">
        <f t="shared" si="83"/>
        <v>5222641593.1196032</v>
      </c>
      <c r="C1690" s="39">
        <f t="shared" si="84"/>
        <v>6175000000</v>
      </c>
      <c r="D1690" s="76">
        <f t="shared" si="85"/>
        <v>952358406.88039684</v>
      </c>
    </row>
    <row r="1691" spans="1:4" x14ac:dyDescent="0.3">
      <c r="A1691">
        <v>813000</v>
      </c>
      <c r="B1691" s="29">
        <f t="shared" si="83"/>
        <v>5225836100.8102636</v>
      </c>
      <c r="C1691" s="39">
        <f t="shared" si="84"/>
        <v>6178800000</v>
      </c>
      <c r="D1691" s="76">
        <f t="shared" si="85"/>
        <v>952963899.18973637</v>
      </c>
    </row>
    <row r="1692" spans="1:4" x14ac:dyDescent="0.3">
      <c r="A1692">
        <v>813500</v>
      </c>
      <c r="B1692" s="29">
        <f t="shared" si="83"/>
        <v>5229030608.5009232</v>
      </c>
      <c r="C1692" s="39">
        <f t="shared" si="84"/>
        <v>6182600000</v>
      </c>
      <c r="D1692" s="76">
        <f t="shared" si="85"/>
        <v>953569391.49907684</v>
      </c>
    </row>
    <row r="1693" spans="1:4" x14ac:dyDescent="0.3">
      <c r="A1693">
        <v>814000</v>
      </c>
      <c r="B1693" s="29">
        <f t="shared" si="83"/>
        <v>5232225116.1915836</v>
      </c>
      <c r="C1693" s="39">
        <f t="shared" si="84"/>
        <v>6186400000</v>
      </c>
      <c r="D1693" s="76">
        <f t="shared" si="85"/>
        <v>954174883.80841637</v>
      </c>
    </row>
    <row r="1694" spans="1:4" x14ac:dyDescent="0.3">
      <c r="A1694">
        <v>814500</v>
      </c>
      <c r="B1694" s="29">
        <f t="shared" si="83"/>
        <v>5235419623.8822432</v>
      </c>
      <c r="C1694" s="39">
        <f t="shared" si="84"/>
        <v>6190200000</v>
      </c>
      <c r="D1694" s="76">
        <f t="shared" si="85"/>
        <v>954780376.11775684</v>
      </c>
    </row>
    <row r="1695" spans="1:4" x14ac:dyDescent="0.3">
      <c r="A1695">
        <v>815000</v>
      </c>
      <c r="B1695" s="29">
        <f t="shared" si="83"/>
        <v>5238614131.5729036</v>
      </c>
      <c r="C1695" s="39">
        <f t="shared" si="84"/>
        <v>6194000000</v>
      </c>
      <c r="D1695" s="76">
        <f t="shared" si="85"/>
        <v>955385868.42709637</v>
      </c>
    </row>
    <row r="1696" spans="1:4" x14ac:dyDescent="0.3">
      <c r="A1696">
        <v>815500</v>
      </c>
      <c r="B1696" s="29">
        <f t="shared" si="83"/>
        <v>5241808639.2635632</v>
      </c>
      <c r="C1696" s="39">
        <f t="shared" si="84"/>
        <v>6197800000</v>
      </c>
      <c r="D1696" s="76">
        <f t="shared" si="85"/>
        <v>955991360.73643684</v>
      </c>
    </row>
    <row r="1697" spans="1:4" x14ac:dyDescent="0.3">
      <c r="A1697">
        <v>816000</v>
      </c>
      <c r="B1697" s="29">
        <f t="shared" si="83"/>
        <v>5245003146.9542236</v>
      </c>
      <c r="C1697" s="39">
        <f t="shared" si="84"/>
        <v>6201600000</v>
      </c>
      <c r="D1697" s="76">
        <f t="shared" si="85"/>
        <v>956596853.04577637</v>
      </c>
    </row>
    <row r="1698" spans="1:4" x14ac:dyDescent="0.3">
      <c r="A1698">
        <v>816500</v>
      </c>
      <c r="B1698" s="29">
        <f t="shared" si="83"/>
        <v>5248197654.6448832</v>
      </c>
      <c r="C1698" s="39">
        <f t="shared" si="84"/>
        <v>6205400000</v>
      </c>
      <c r="D1698" s="76">
        <f t="shared" si="85"/>
        <v>957202345.35511684</v>
      </c>
    </row>
    <row r="1699" spans="1:4" x14ac:dyDescent="0.3">
      <c r="A1699">
        <v>817000</v>
      </c>
      <c r="B1699" s="29">
        <f t="shared" si="83"/>
        <v>5251392162.3355436</v>
      </c>
      <c r="C1699" s="39">
        <f t="shared" si="84"/>
        <v>6209200000</v>
      </c>
      <c r="D1699" s="76">
        <f t="shared" si="85"/>
        <v>957807837.66445637</v>
      </c>
    </row>
    <row r="1700" spans="1:4" x14ac:dyDescent="0.3">
      <c r="A1700">
        <v>817500</v>
      </c>
      <c r="B1700" s="29">
        <f t="shared" si="83"/>
        <v>5254586670.0262032</v>
      </c>
      <c r="C1700" s="39">
        <f t="shared" si="84"/>
        <v>6213000000</v>
      </c>
      <c r="D1700" s="76">
        <f t="shared" si="85"/>
        <v>958413329.97379684</v>
      </c>
    </row>
    <row r="1701" spans="1:4" x14ac:dyDescent="0.3">
      <c r="A1701">
        <v>818000</v>
      </c>
      <c r="B1701" s="29">
        <f t="shared" si="83"/>
        <v>5257781177.7168636</v>
      </c>
      <c r="C1701" s="39">
        <f t="shared" si="84"/>
        <v>6216800000</v>
      </c>
      <c r="D1701" s="76">
        <f t="shared" si="85"/>
        <v>959018822.28313637</v>
      </c>
    </row>
    <row r="1702" spans="1:4" x14ac:dyDescent="0.3">
      <c r="A1702">
        <v>818500</v>
      </c>
      <c r="B1702" s="29">
        <f t="shared" si="83"/>
        <v>5260975685.4075232</v>
      </c>
      <c r="C1702" s="39">
        <f t="shared" si="84"/>
        <v>6220600000</v>
      </c>
      <c r="D1702" s="76">
        <f t="shared" si="85"/>
        <v>959624314.59247684</v>
      </c>
    </row>
    <row r="1703" spans="1:4" x14ac:dyDescent="0.3">
      <c r="A1703">
        <v>819000</v>
      </c>
      <c r="B1703" s="29">
        <f t="shared" si="83"/>
        <v>5264170193.0981836</v>
      </c>
      <c r="C1703" s="39">
        <f t="shared" si="84"/>
        <v>6224400000</v>
      </c>
      <c r="D1703" s="76">
        <f t="shared" si="85"/>
        <v>960229806.90181637</v>
      </c>
    </row>
    <row r="1704" spans="1:4" x14ac:dyDescent="0.3">
      <c r="A1704">
        <v>819500</v>
      </c>
      <c r="B1704" s="29">
        <f t="shared" si="83"/>
        <v>5267364700.7888432</v>
      </c>
      <c r="C1704" s="39">
        <f t="shared" si="84"/>
        <v>6228200000</v>
      </c>
      <c r="D1704" s="76">
        <f t="shared" si="85"/>
        <v>960835299.21115685</v>
      </c>
    </row>
    <row r="1705" spans="1:4" x14ac:dyDescent="0.3">
      <c r="A1705">
        <v>820000</v>
      </c>
      <c r="B1705" s="29">
        <f t="shared" si="83"/>
        <v>5270559208.4795036</v>
      </c>
      <c r="C1705" s="39">
        <f t="shared" si="84"/>
        <v>6232000000</v>
      </c>
      <c r="D1705" s="76">
        <f t="shared" si="85"/>
        <v>961440791.52049637</v>
      </c>
    </row>
    <row r="1706" spans="1:4" x14ac:dyDescent="0.3">
      <c r="A1706">
        <v>820500</v>
      </c>
      <c r="B1706" s="29">
        <f t="shared" si="83"/>
        <v>5273753716.1701632</v>
      </c>
      <c r="C1706" s="39">
        <f t="shared" si="84"/>
        <v>6235800000</v>
      </c>
      <c r="D1706" s="76">
        <f t="shared" si="85"/>
        <v>962046283.82983685</v>
      </c>
    </row>
    <row r="1707" spans="1:4" x14ac:dyDescent="0.3">
      <c r="A1707">
        <v>821000</v>
      </c>
      <c r="B1707" s="29">
        <f t="shared" si="83"/>
        <v>5276948223.8608236</v>
      </c>
      <c r="C1707" s="39">
        <f t="shared" si="84"/>
        <v>6239600000</v>
      </c>
      <c r="D1707" s="76">
        <f t="shared" si="85"/>
        <v>962651776.13917637</v>
      </c>
    </row>
    <row r="1708" spans="1:4" x14ac:dyDescent="0.3">
      <c r="A1708">
        <v>821500</v>
      </c>
      <c r="B1708" s="29">
        <f t="shared" si="83"/>
        <v>5280142731.5514832</v>
      </c>
      <c r="C1708" s="39">
        <f t="shared" si="84"/>
        <v>6243400000</v>
      </c>
      <c r="D1708" s="76">
        <f t="shared" si="85"/>
        <v>963257268.44851685</v>
      </c>
    </row>
    <row r="1709" spans="1:4" x14ac:dyDescent="0.3">
      <c r="A1709">
        <v>822000</v>
      </c>
      <c r="B1709" s="29">
        <f t="shared" si="83"/>
        <v>5283337239.2421436</v>
      </c>
      <c r="C1709" s="39">
        <f t="shared" si="84"/>
        <v>6247200000</v>
      </c>
      <c r="D1709" s="76">
        <f t="shared" si="85"/>
        <v>963862760.75785637</v>
      </c>
    </row>
    <row r="1710" spans="1:4" x14ac:dyDescent="0.3">
      <c r="A1710">
        <v>822500</v>
      </c>
      <c r="B1710" s="29">
        <f t="shared" si="83"/>
        <v>5286531746.9328032</v>
      </c>
      <c r="C1710" s="39">
        <f t="shared" si="84"/>
        <v>6251000000</v>
      </c>
      <c r="D1710" s="76">
        <f t="shared" si="85"/>
        <v>964468253.06719685</v>
      </c>
    </row>
    <row r="1711" spans="1:4" x14ac:dyDescent="0.3">
      <c r="A1711">
        <v>823000</v>
      </c>
      <c r="B1711" s="29">
        <f t="shared" si="83"/>
        <v>5289726254.6234636</v>
      </c>
      <c r="C1711" s="39">
        <f t="shared" si="84"/>
        <v>6254800000</v>
      </c>
      <c r="D1711" s="76">
        <f t="shared" si="85"/>
        <v>965073745.37653637</v>
      </c>
    </row>
    <row r="1712" spans="1:4" x14ac:dyDescent="0.3">
      <c r="A1712">
        <v>823500</v>
      </c>
      <c r="B1712" s="29">
        <f t="shared" si="83"/>
        <v>5292920762.3141232</v>
      </c>
      <c r="C1712" s="39">
        <f t="shared" si="84"/>
        <v>6258600000</v>
      </c>
      <c r="D1712" s="76">
        <f t="shared" si="85"/>
        <v>965679237.68587685</v>
      </c>
    </row>
    <row r="1713" spans="1:4" x14ac:dyDescent="0.3">
      <c r="A1713">
        <v>824000</v>
      </c>
      <c r="B1713" s="29">
        <f t="shared" si="83"/>
        <v>5296115270.0047836</v>
      </c>
      <c r="C1713" s="39">
        <f t="shared" si="84"/>
        <v>6262400000</v>
      </c>
      <c r="D1713" s="76">
        <f t="shared" si="85"/>
        <v>966284729.99521637</v>
      </c>
    </row>
    <row r="1714" spans="1:4" x14ac:dyDescent="0.3">
      <c r="A1714">
        <v>824500</v>
      </c>
      <c r="B1714" s="29">
        <f t="shared" si="83"/>
        <v>5299309777.6954432</v>
      </c>
      <c r="C1714" s="39">
        <f t="shared" si="84"/>
        <v>6266200000</v>
      </c>
      <c r="D1714" s="76">
        <f t="shared" si="85"/>
        <v>966890222.30455685</v>
      </c>
    </row>
    <row r="1715" spans="1:4" x14ac:dyDescent="0.3">
      <c r="A1715">
        <v>825000</v>
      </c>
      <c r="B1715" s="29">
        <f t="shared" si="83"/>
        <v>5302504285.3861036</v>
      </c>
      <c r="C1715" s="39">
        <f t="shared" si="84"/>
        <v>6270000000</v>
      </c>
      <c r="D1715" s="76">
        <f t="shared" si="85"/>
        <v>967495714.61389637</v>
      </c>
    </row>
    <row r="1716" spans="1:4" x14ac:dyDescent="0.3">
      <c r="A1716">
        <v>825500</v>
      </c>
      <c r="B1716" s="29">
        <f t="shared" si="83"/>
        <v>5305698793.0767632</v>
      </c>
      <c r="C1716" s="39">
        <f t="shared" si="84"/>
        <v>6273800000</v>
      </c>
      <c r="D1716" s="76">
        <f t="shared" si="85"/>
        <v>968101206.92323685</v>
      </c>
    </row>
    <row r="1717" spans="1:4" x14ac:dyDescent="0.3">
      <c r="A1717">
        <v>826000</v>
      </c>
      <c r="B1717" s="29">
        <f t="shared" si="83"/>
        <v>5308893300.7674236</v>
      </c>
      <c r="C1717" s="39">
        <f t="shared" si="84"/>
        <v>6277600000</v>
      </c>
      <c r="D1717" s="76">
        <f t="shared" si="85"/>
        <v>968706699.23257637</v>
      </c>
    </row>
    <row r="1718" spans="1:4" x14ac:dyDescent="0.3">
      <c r="A1718">
        <v>826500</v>
      </c>
      <c r="B1718" s="29">
        <f t="shared" si="83"/>
        <v>5312087808.4580832</v>
      </c>
      <c r="C1718" s="39">
        <f t="shared" si="84"/>
        <v>6281400000</v>
      </c>
      <c r="D1718" s="76">
        <f t="shared" si="85"/>
        <v>969312191.54191685</v>
      </c>
    </row>
    <row r="1719" spans="1:4" x14ac:dyDescent="0.3">
      <c r="A1719">
        <v>827000</v>
      </c>
      <c r="B1719" s="29">
        <f t="shared" si="83"/>
        <v>5315282316.1487436</v>
      </c>
      <c r="C1719" s="39">
        <f t="shared" si="84"/>
        <v>6285200000</v>
      </c>
      <c r="D1719" s="76">
        <f t="shared" si="85"/>
        <v>969917683.85125637</v>
      </c>
    </row>
    <row r="1720" spans="1:4" x14ac:dyDescent="0.3">
      <c r="A1720">
        <v>827500</v>
      </c>
      <c r="B1720" s="29">
        <f t="shared" si="83"/>
        <v>5318476823.8394032</v>
      </c>
      <c r="C1720" s="39">
        <f t="shared" si="84"/>
        <v>6289000000</v>
      </c>
      <c r="D1720" s="76">
        <f t="shared" si="85"/>
        <v>970523176.16059685</v>
      </c>
    </row>
    <row r="1721" spans="1:4" x14ac:dyDescent="0.3">
      <c r="A1721">
        <v>828000</v>
      </c>
      <c r="B1721" s="29">
        <f t="shared" si="83"/>
        <v>5321671331.5300636</v>
      </c>
      <c r="C1721" s="39">
        <f t="shared" si="84"/>
        <v>6292800000</v>
      </c>
      <c r="D1721" s="76">
        <f t="shared" si="85"/>
        <v>971128668.46993637</v>
      </c>
    </row>
    <row r="1722" spans="1:4" x14ac:dyDescent="0.3">
      <c r="A1722">
        <v>828500</v>
      </c>
      <c r="B1722" s="29">
        <f t="shared" si="83"/>
        <v>5324865839.2207232</v>
      </c>
      <c r="C1722" s="39">
        <f t="shared" si="84"/>
        <v>6296600000</v>
      </c>
      <c r="D1722" s="76">
        <f t="shared" si="85"/>
        <v>971734160.77927685</v>
      </c>
    </row>
    <row r="1723" spans="1:4" x14ac:dyDescent="0.3">
      <c r="A1723">
        <v>829000</v>
      </c>
      <c r="B1723" s="29">
        <f t="shared" si="83"/>
        <v>5328060346.9113836</v>
      </c>
      <c r="C1723" s="39">
        <f t="shared" si="84"/>
        <v>6300400000</v>
      </c>
      <c r="D1723" s="76">
        <f t="shared" si="85"/>
        <v>972339653.08861637</v>
      </c>
    </row>
    <row r="1724" spans="1:4" x14ac:dyDescent="0.3">
      <c r="A1724">
        <v>829500</v>
      </c>
      <c r="B1724" s="29">
        <f t="shared" si="83"/>
        <v>5331254854.6020432</v>
      </c>
      <c r="C1724" s="39">
        <f t="shared" si="84"/>
        <v>6304200000</v>
      </c>
      <c r="D1724" s="76">
        <f t="shared" si="85"/>
        <v>972945145.39795685</v>
      </c>
    </row>
    <row r="1725" spans="1:4" x14ac:dyDescent="0.3">
      <c r="A1725">
        <v>830000</v>
      </c>
      <c r="B1725" s="29">
        <f t="shared" si="83"/>
        <v>5334449362.2927036</v>
      </c>
      <c r="C1725" s="39">
        <f t="shared" si="84"/>
        <v>6308000000</v>
      </c>
      <c r="D1725" s="76">
        <f t="shared" si="85"/>
        <v>973550637.70729637</v>
      </c>
    </row>
    <row r="1726" spans="1:4" x14ac:dyDescent="0.3">
      <c r="A1726">
        <v>830500</v>
      </c>
      <c r="B1726" s="29">
        <f t="shared" si="83"/>
        <v>5337643869.9833632</v>
      </c>
      <c r="C1726" s="39">
        <f t="shared" si="84"/>
        <v>6311800000</v>
      </c>
      <c r="D1726" s="76">
        <f t="shared" si="85"/>
        <v>974156130.01663685</v>
      </c>
    </row>
    <row r="1727" spans="1:4" x14ac:dyDescent="0.3">
      <c r="A1727">
        <v>831000</v>
      </c>
      <c r="B1727" s="29">
        <f t="shared" si="83"/>
        <v>5340838377.6740236</v>
      </c>
      <c r="C1727" s="39">
        <f t="shared" si="84"/>
        <v>6315600000</v>
      </c>
      <c r="D1727" s="76">
        <f t="shared" si="85"/>
        <v>974761622.32597637</v>
      </c>
    </row>
    <row r="1728" spans="1:4" x14ac:dyDescent="0.3">
      <c r="A1728">
        <v>831500</v>
      </c>
      <c r="B1728" s="29">
        <f t="shared" si="83"/>
        <v>5344032885.3646832</v>
      </c>
      <c r="C1728" s="39">
        <f t="shared" si="84"/>
        <v>6319400000</v>
      </c>
      <c r="D1728" s="76">
        <f t="shared" si="85"/>
        <v>975367114.63531685</v>
      </c>
    </row>
    <row r="1729" spans="1:4" x14ac:dyDescent="0.3">
      <c r="A1729">
        <v>832000</v>
      </c>
      <c r="B1729" s="29">
        <f t="shared" si="83"/>
        <v>5347227393.0553436</v>
      </c>
      <c r="C1729" s="39">
        <f t="shared" si="84"/>
        <v>6323200000</v>
      </c>
      <c r="D1729" s="76">
        <f t="shared" si="85"/>
        <v>975972606.94465637</v>
      </c>
    </row>
    <row r="1730" spans="1:4" x14ac:dyDescent="0.3">
      <c r="A1730">
        <v>832500</v>
      </c>
      <c r="B1730" s="29">
        <f t="shared" ref="B1730:B1793" si="86">$B$54+($B$60*A1730)</f>
        <v>5350421900.7460032</v>
      </c>
      <c r="C1730" s="39">
        <f t="shared" ref="C1730:C1793" si="87">$E$50*A1730</f>
        <v>6327000000</v>
      </c>
      <c r="D1730" s="76">
        <f t="shared" ref="D1730:D1793" si="88">C1730-B1730</f>
        <v>976578099.25399685</v>
      </c>
    </row>
    <row r="1731" spans="1:4" x14ac:dyDescent="0.3">
      <c r="A1731">
        <v>833000</v>
      </c>
      <c r="B1731" s="29">
        <f t="shared" si="86"/>
        <v>5353616408.4366636</v>
      </c>
      <c r="C1731" s="39">
        <f t="shared" si="87"/>
        <v>6330800000</v>
      </c>
      <c r="D1731" s="76">
        <f t="shared" si="88"/>
        <v>977183591.56333637</v>
      </c>
    </row>
    <row r="1732" spans="1:4" x14ac:dyDescent="0.3">
      <c r="A1732">
        <v>833500</v>
      </c>
      <c r="B1732" s="29">
        <f t="shared" si="86"/>
        <v>5356810916.1273232</v>
      </c>
      <c r="C1732" s="39">
        <f t="shared" si="87"/>
        <v>6334600000</v>
      </c>
      <c r="D1732" s="76">
        <f t="shared" si="88"/>
        <v>977789083.87267685</v>
      </c>
    </row>
    <row r="1733" spans="1:4" x14ac:dyDescent="0.3">
      <c r="A1733">
        <v>834000</v>
      </c>
      <c r="B1733" s="29">
        <f t="shared" si="86"/>
        <v>5360005423.8179836</v>
      </c>
      <c r="C1733" s="39">
        <f t="shared" si="87"/>
        <v>6338400000</v>
      </c>
      <c r="D1733" s="76">
        <f t="shared" si="88"/>
        <v>978394576.18201637</v>
      </c>
    </row>
    <row r="1734" spans="1:4" x14ac:dyDescent="0.3">
      <c r="A1734">
        <v>834500</v>
      </c>
      <c r="B1734" s="29">
        <f t="shared" si="86"/>
        <v>5363199931.5086432</v>
      </c>
      <c r="C1734" s="39">
        <f t="shared" si="87"/>
        <v>6342200000</v>
      </c>
      <c r="D1734" s="76">
        <f t="shared" si="88"/>
        <v>979000068.49135685</v>
      </c>
    </row>
    <row r="1735" spans="1:4" x14ac:dyDescent="0.3">
      <c r="A1735">
        <v>835000</v>
      </c>
      <c r="B1735" s="29">
        <f t="shared" si="86"/>
        <v>5366394439.1993036</v>
      </c>
      <c r="C1735" s="39">
        <f t="shared" si="87"/>
        <v>6346000000</v>
      </c>
      <c r="D1735" s="76">
        <f t="shared" si="88"/>
        <v>979605560.80069637</v>
      </c>
    </row>
    <row r="1736" spans="1:4" x14ac:dyDescent="0.3">
      <c r="A1736">
        <v>835500</v>
      </c>
      <c r="B1736" s="29">
        <f t="shared" si="86"/>
        <v>5369588946.8899632</v>
      </c>
      <c r="C1736" s="39">
        <f t="shared" si="87"/>
        <v>6349800000</v>
      </c>
      <c r="D1736" s="76">
        <f t="shared" si="88"/>
        <v>980211053.11003685</v>
      </c>
    </row>
    <row r="1737" spans="1:4" x14ac:dyDescent="0.3">
      <c r="A1737">
        <v>836000</v>
      </c>
      <c r="B1737" s="29">
        <f t="shared" si="86"/>
        <v>5372783454.5806236</v>
      </c>
      <c r="C1737" s="39">
        <f t="shared" si="87"/>
        <v>6353600000</v>
      </c>
      <c r="D1737" s="76">
        <f t="shared" si="88"/>
        <v>980816545.41937637</v>
      </c>
    </row>
    <row r="1738" spans="1:4" x14ac:dyDescent="0.3">
      <c r="A1738">
        <v>836500</v>
      </c>
      <c r="B1738" s="29">
        <f t="shared" si="86"/>
        <v>5375977962.2712831</v>
      </c>
      <c r="C1738" s="39">
        <f t="shared" si="87"/>
        <v>6357400000</v>
      </c>
      <c r="D1738" s="76">
        <f t="shared" si="88"/>
        <v>981422037.72871685</v>
      </c>
    </row>
    <row r="1739" spans="1:4" x14ac:dyDescent="0.3">
      <c r="A1739">
        <v>837000</v>
      </c>
      <c r="B1739" s="29">
        <f t="shared" si="86"/>
        <v>5379172469.9619436</v>
      </c>
      <c r="C1739" s="39">
        <f t="shared" si="87"/>
        <v>6361200000</v>
      </c>
      <c r="D1739" s="76">
        <f t="shared" si="88"/>
        <v>982027530.03805637</v>
      </c>
    </row>
    <row r="1740" spans="1:4" x14ac:dyDescent="0.3">
      <c r="A1740">
        <v>837500</v>
      </c>
      <c r="B1740" s="29">
        <f t="shared" si="86"/>
        <v>5382366977.6526031</v>
      </c>
      <c r="C1740" s="39">
        <f t="shared" si="87"/>
        <v>6365000000</v>
      </c>
      <c r="D1740" s="76">
        <f t="shared" si="88"/>
        <v>982633022.34739685</v>
      </c>
    </row>
    <row r="1741" spans="1:4" x14ac:dyDescent="0.3">
      <c r="A1741">
        <v>838000</v>
      </c>
      <c r="B1741" s="29">
        <f t="shared" si="86"/>
        <v>5385561485.3432636</v>
      </c>
      <c r="C1741" s="39">
        <f t="shared" si="87"/>
        <v>6368800000</v>
      </c>
      <c r="D1741" s="76">
        <f t="shared" si="88"/>
        <v>983238514.65673637</v>
      </c>
    </row>
    <row r="1742" spans="1:4" x14ac:dyDescent="0.3">
      <c r="A1742">
        <v>838500</v>
      </c>
      <c r="B1742" s="29">
        <f t="shared" si="86"/>
        <v>5388755993.0339231</v>
      </c>
      <c r="C1742" s="39">
        <f t="shared" si="87"/>
        <v>6372600000</v>
      </c>
      <c r="D1742" s="76">
        <f t="shared" si="88"/>
        <v>983844006.96607685</v>
      </c>
    </row>
    <row r="1743" spans="1:4" x14ac:dyDescent="0.3">
      <c r="A1743">
        <v>839000</v>
      </c>
      <c r="B1743" s="29">
        <f t="shared" si="86"/>
        <v>5391950500.7245836</v>
      </c>
      <c r="C1743" s="39">
        <f t="shared" si="87"/>
        <v>6376400000</v>
      </c>
      <c r="D1743" s="76">
        <f t="shared" si="88"/>
        <v>984449499.27541637</v>
      </c>
    </row>
    <row r="1744" spans="1:4" x14ac:dyDescent="0.3">
      <c r="A1744">
        <v>839500</v>
      </c>
      <c r="B1744" s="29">
        <f t="shared" si="86"/>
        <v>5395145008.4152431</v>
      </c>
      <c r="C1744" s="39">
        <f t="shared" si="87"/>
        <v>6380200000</v>
      </c>
      <c r="D1744" s="76">
        <f t="shared" si="88"/>
        <v>985054991.58475685</v>
      </c>
    </row>
    <row r="1745" spans="1:4" x14ac:dyDescent="0.3">
      <c r="A1745">
        <v>840000</v>
      </c>
      <c r="B1745" s="29">
        <f t="shared" si="86"/>
        <v>5398339516.1059036</v>
      </c>
      <c r="C1745" s="39">
        <f t="shared" si="87"/>
        <v>6384000000</v>
      </c>
      <c r="D1745" s="76">
        <f t="shared" si="88"/>
        <v>985660483.89409637</v>
      </c>
    </row>
    <row r="1746" spans="1:4" x14ac:dyDescent="0.3">
      <c r="A1746">
        <v>840500</v>
      </c>
      <c r="B1746" s="29">
        <f t="shared" si="86"/>
        <v>5401534023.7965631</v>
      </c>
      <c r="C1746" s="39">
        <f t="shared" si="87"/>
        <v>6387800000</v>
      </c>
      <c r="D1746" s="76">
        <f t="shared" si="88"/>
        <v>986265976.20343685</v>
      </c>
    </row>
    <row r="1747" spans="1:4" x14ac:dyDescent="0.3">
      <c r="A1747">
        <v>841000</v>
      </c>
      <c r="B1747" s="29">
        <f t="shared" si="86"/>
        <v>5404728531.4872236</v>
      </c>
      <c r="C1747" s="39">
        <f t="shared" si="87"/>
        <v>6391600000</v>
      </c>
      <c r="D1747" s="76">
        <f t="shared" si="88"/>
        <v>986871468.51277637</v>
      </c>
    </row>
    <row r="1748" spans="1:4" x14ac:dyDescent="0.3">
      <c r="A1748">
        <v>841500</v>
      </c>
      <c r="B1748" s="29">
        <f t="shared" si="86"/>
        <v>5407923039.1778831</v>
      </c>
      <c r="C1748" s="39">
        <f t="shared" si="87"/>
        <v>6395400000</v>
      </c>
      <c r="D1748" s="76">
        <f t="shared" si="88"/>
        <v>987476960.82211685</v>
      </c>
    </row>
    <row r="1749" spans="1:4" x14ac:dyDescent="0.3">
      <c r="A1749">
        <v>842000</v>
      </c>
      <c r="B1749" s="29">
        <f t="shared" si="86"/>
        <v>5411117546.8685436</v>
      </c>
      <c r="C1749" s="39">
        <f t="shared" si="87"/>
        <v>6399200000</v>
      </c>
      <c r="D1749" s="76">
        <f t="shared" si="88"/>
        <v>988082453.13145638</v>
      </c>
    </row>
    <row r="1750" spans="1:4" x14ac:dyDescent="0.3">
      <c r="A1750">
        <v>842500</v>
      </c>
      <c r="B1750" s="29">
        <f t="shared" si="86"/>
        <v>5414312054.5592031</v>
      </c>
      <c r="C1750" s="39">
        <f t="shared" si="87"/>
        <v>6403000000</v>
      </c>
      <c r="D1750" s="76">
        <f t="shared" si="88"/>
        <v>988687945.44079685</v>
      </c>
    </row>
    <row r="1751" spans="1:4" x14ac:dyDescent="0.3">
      <c r="A1751">
        <v>843000</v>
      </c>
      <c r="B1751" s="29">
        <f t="shared" si="86"/>
        <v>5417506562.2498636</v>
      </c>
      <c r="C1751" s="39">
        <f t="shared" si="87"/>
        <v>6406800000</v>
      </c>
      <c r="D1751" s="76">
        <f t="shared" si="88"/>
        <v>989293437.75013638</v>
      </c>
    </row>
    <row r="1752" spans="1:4" x14ac:dyDescent="0.3">
      <c r="A1752">
        <v>843500</v>
      </c>
      <c r="B1752" s="29">
        <f t="shared" si="86"/>
        <v>5420701069.9405231</v>
      </c>
      <c r="C1752" s="39">
        <f t="shared" si="87"/>
        <v>6410600000</v>
      </c>
      <c r="D1752" s="76">
        <f t="shared" si="88"/>
        <v>989898930.05947685</v>
      </c>
    </row>
    <row r="1753" spans="1:4" x14ac:dyDescent="0.3">
      <c r="A1753">
        <v>844000</v>
      </c>
      <c r="B1753" s="29">
        <f t="shared" si="86"/>
        <v>5423895577.6311836</v>
      </c>
      <c r="C1753" s="39">
        <f t="shared" si="87"/>
        <v>6414400000</v>
      </c>
      <c r="D1753" s="76">
        <f t="shared" si="88"/>
        <v>990504422.36881638</v>
      </c>
    </row>
    <row r="1754" spans="1:4" x14ac:dyDescent="0.3">
      <c r="A1754">
        <v>844500</v>
      </c>
      <c r="B1754" s="29">
        <f t="shared" si="86"/>
        <v>5427090085.3218431</v>
      </c>
      <c r="C1754" s="39">
        <f t="shared" si="87"/>
        <v>6418200000</v>
      </c>
      <c r="D1754" s="76">
        <f t="shared" si="88"/>
        <v>991109914.67815685</v>
      </c>
    </row>
    <row r="1755" spans="1:4" x14ac:dyDescent="0.3">
      <c r="A1755">
        <v>845000</v>
      </c>
      <c r="B1755" s="29">
        <f t="shared" si="86"/>
        <v>5430284593.0125036</v>
      </c>
      <c r="C1755" s="39">
        <f t="shared" si="87"/>
        <v>6422000000</v>
      </c>
      <c r="D1755" s="76">
        <f t="shared" si="88"/>
        <v>991715406.98749638</v>
      </c>
    </row>
    <row r="1756" spans="1:4" x14ac:dyDescent="0.3">
      <c r="A1756">
        <v>845500</v>
      </c>
      <c r="B1756" s="29">
        <f t="shared" si="86"/>
        <v>5433479100.7031631</v>
      </c>
      <c r="C1756" s="39">
        <f t="shared" si="87"/>
        <v>6425800000</v>
      </c>
      <c r="D1756" s="76">
        <f t="shared" si="88"/>
        <v>992320899.29683685</v>
      </c>
    </row>
    <row r="1757" spans="1:4" x14ac:dyDescent="0.3">
      <c r="A1757">
        <v>846000</v>
      </c>
      <c r="B1757" s="29">
        <f t="shared" si="86"/>
        <v>5436673608.3938236</v>
      </c>
      <c r="C1757" s="39">
        <f t="shared" si="87"/>
        <v>6429600000</v>
      </c>
      <c r="D1757" s="76">
        <f t="shared" si="88"/>
        <v>992926391.60617638</v>
      </c>
    </row>
    <row r="1758" spans="1:4" x14ac:dyDescent="0.3">
      <c r="A1758">
        <v>846500</v>
      </c>
      <c r="B1758" s="29">
        <f t="shared" si="86"/>
        <v>5439868116.0844831</v>
      </c>
      <c r="C1758" s="39">
        <f t="shared" si="87"/>
        <v>6433400000</v>
      </c>
      <c r="D1758" s="76">
        <f t="shared" si="88"/>
        <v>993531883.91551685</v>
      </c>
    </row>
    <row r="1759" spans="1:4" x14ac:dyDescent="0.3">
      <c r="A1759">
        <v>847000</v>
      </c>
      <c r="B1759" s="29">
        <f t="shared" si="86"/>
        <v>5443062623.7751436</v>
      </c>
      <c r="C1759" s="39">
        <f t="shared" si="87"/>
        <v>6437200000</v>
      </c>
      <c r="D1759" s="76">
        <f t="shared" si="88"/>
        <v>994137376.22485638</v>
      </c>
    </row>
    <row r="1760" spans="1:4" x14ac:dyDescent="0.3">
      <c r="A1760">
        <v>847500</v>
      </c>
      <c r="B1760" s="29">
        <f t="shared" si="86"/>
        <v>5446257131.4658031</v>
      </c>
      <c r="C1760" s="39">
        <f t="shared" si="87"/>
        <v>6441000000</v>
      </c>
      <c r="D1760" s="76">
        <f t="shared" si="88"/>
        <v>994742868.53419685</v>
      </c>
    </row>
    <row r="1761" spans="1:4" x14ac:dyDescent="0.3">
      <c r="A1761">
        <v>848000</v>
      </c>
      <c r="B1761" s="29">
        <f t="shared" si="86"/>
        <v>5449451639.1564636</v>
      </c>
      <c r="C1761" s="39">
        <f t="shared" si="87"/>
        <v>6444800000</v>
      </c>
      <c r="D1761" s="76">
        <f t="shared" si="88"/>
        <v>995348360.84353638</v>
      </c>
    </row>
    <row r="1762" spans="1:4" x14ac:dyDescent="0.3">
      <c r="A1762">
        <v>848500</v>
      </c>
      <c r="B1762" s="29">
        <f t="shared" si="86"/>
        <v>5452646146.8471231</v>
      </c>
      <c r="C1762" s="39">
        <f t="shared" si="87"/>
        <v>6448600000</v>
      </c>
      <c r="D1762" s="76">
        <f t="shared" si="88"/>
        <v>995953853.15287685</v>
      </c>
    </row>
    <row r="1763" spans="1:4" x14ac:dyDescent="0.3">
      <c r="A1763">
        <v>849000</v>
      </c>
      <c r="B1763" s="29">
        <f t="shared" si="86"/>
        <v>5455840654.5377836</v>
      </c>
      <c r="C1763" s="39">
        <f t="shared" si="87"/>
        <v>6452400000</v>
      </c>
      <c r="D1763" s="76">
        <f t="shared" si="88"/>
        <v>996559345.46221638</v>
      </c>
    </row>
    <row r="1764" spans="1:4" x14ac:dyDescent="0.3">
      <c r="A1764">
        <v>849500</v>
      </c>
      <c r="B1764" s="29">
        <f t="shared" si="86"/>
        <v>5459035162.2284431</v>
      </c>
      <c r="C1764" s="39">
        <f t="shared" si="87"/>
        <v>6456200000</v>
      </c>
      <c r="D1764" s="76">
        <f t="shared" si="88"/>
        <v>997164837.77155685</v>
      </c>
    </row>
    <row r="1765" spans="1:4" x14ac:dyDescent="0.3">
      <c r="A1765">
        <v>850000</v>
      </c>
      <c r="B1765" s="29">
        <f t="shared" si="86"/>
        <v>5462229669.9191036</v>
      </c>
      <c r="C1765" s="39">
        <f t="shared" si="87"/>
        <v>6460000000</v>
      </c>
      <c r="D1765" s="76">
        <f t="shared" si="88"/>
        <v>997770330.08089638</v>
      </c>
    </row>
    <row r="1766" spans="1:4" x14ac:dyDescent="0.3">
      <c r="A1766">
        <v>850500</v>
      </c>
      <c r="B1766" s="29">
        <f t="shared" si="86"/>
        <v>5465424177.6097631</v>
      </c>
      <c r="C1766" s="39">
        <f t="shared" si="87"/>
        <v>6463800000</v>
      </c>
      <c r="D1766" s="76">
        <f t="shared" si="88"/>
        <v>998375822.39023685</v>
      </c>
    </row>
    <row r="1767" spans="1:4" x14ac:dyDescent="0.3">
      <c r="A1767">
        <v>851000</v>
      </c>
      <c r="B1767" s="29">
        <f t="shared" si="86"/>
        <v>5468618685.3004236</v>
      </c>
      <c r="C1767" s="39">
        <f t="shared" si="87"/>
        <v>6467600000</v>
      </c>
      <c r="D1767" s="76">
        <f t="shared" si="88"/>
        <v>998981314.69957638</v>
      </c>
    </row>
    <row r="1768" spans="1:4" x14ac:dyDescent="0.3">
      <c r="A1768">
        <v>851500</v>
      </c>
      <c r="B1768" s="29">
        <f t="shared" si="86"/>
        <v>5471813192.9910831</v>
      </c>
      <c r="C1768" s="39">
        <f t="shared" si="87"/>
        <v>6471400000</v>
      </c>
      <c r="D1768" s="76">
        <f t="shared" si="88"/>
        <v>999586807.00891685</v>
      </c>
    </row>
    <row r="1769" spans="1:4" x14ac:dyDescent="0.3">
      <c r="A1769">
        <v>852000</v>
      </c>
      <c r="B1769" s="29">
        <f t="shared" si="86"/>
        <v>5475007700.6817436</v>
      </c>
      <c r="C1769" s="39">
        <f t="shared" si="87"/>
        <v>6475200000</v>
      </c>
      <c r="D1769" s="76">
        <f t="shared" si="88"/>
        <v>1000192299.3182564</v>
      </c>
    </row>
    <row r="1770" spans="1:4" x14ac:dyDescent="0.3">
      <c r="A1770">
        <v>852500</v>
      </c>
      <c r="B1770" s="29">
        <f t="shared" si="86"/>
        <v>5478202208.3724031</v>
      </c>
      <c r="C1770" s="39">
        <f t="shared" si="87"/>
        <v>6479000000</v>
      </c>
      <c r="D1770" s="76">
        <f t="shared" si="88"/>
        <v>1000797791.6275969</v>
      </c>
    </row>
    <row r="1771" spans="1:4" x14ac:dyDescent="0.3">
      <c r="A1771">
        <v>853000</v>
      </c>
      <c r="B1771" s="29">
        <f t="shared" si="86"/>
        <v>5481396716.0630636</v>
      </c>
      <c r="C1771" s="39">
        <f t="shared" si="87"/>
        <v>6482800000</v>
      </c>
      <c r="D1771" s="76">
        <f t="shared" si="88"/>
        <v>1001403283.9369364</v>
      </c>
    </row>
    <row r="1772" spans="1:4" x14ac:dyDescent="0.3">
      <c r="A1772">
        <v>853500</v>
      </c>
      <c r="B1772" s="29">
        <f t="shared" si="86"/>
        <v>5484591223.7537231</v>
      </c>
      <c r="C1772" s="39">
        <f t="shared" si="87"/>
        <v>6486600000</v>
      </c>
      <c r="D1772" s="76">
        <f t="shared" si="88"/>
        <v>1002008776.2462769</v>
      </c>
    </row>
    <row r="1773" spans="1:4" x14ac:dyDescent="0.3">
      <c r="A1773">
        <v>854000</v>
      </c>
      <c r="B1773" s="29">
        <f t="shared" si="86"/>
        <v>5487785731.4443836</v>
      </c>
      <c r="C1773" s="39">
        <f t="shared" si="87"/>
        <v>6490400000</v>
      </c>
      <c r="D1773" s="76">
        <f t="shared" si="88"/>
        <v>1002614268.5556164</v>
      </c>
    </row>
    <row r="1774" spans="1:4" x14ac:dyDescent="0.3">
      <c r="A1774">
        <v>854500</v>
      </c>
      <c r="B1774" s="29">
        <f t="shared" si="86"/>
        <v>5490980239.1350431</v>
      </c>
      <c r="C1774" s="39">
        <f t="shared" si="87"/>
        <v>6494200000</v>
      </c>
      <c r="D1774" s="76">
        <f t="shared" si="88"/>
        <v>1003219760.8649569</v>
      </c>
    </row>
    <row r="1775" spans="1:4" x14ac:dyDescent="0.3">
      <c r="A1775">
        <v>855000</v>
      </c>
      <c r="B1775" s="29">
        <f t="shared" si="86"/>
        <v>5494174746.8257036</v>
      </c>
      <c r="C1775" s="39">
        <f t="shared" si="87"/>
        <v>6498000000</v>
      </c>
      <c r="D1775" s="76">
        <f t="shared" si="88"/>
        <v>1003825253.1742964</v>
      </c>
    </row>
    <row r="1776" spans="1:4" x14ac:dyDescent="0.3">
      <c r="A1776">
        <v>855500</v>
      </c>
      <c r="B1776" s="29">
        <f t="shared" si="86"/>
        <v>5497369254.5163631</v>
      </c>
      <c r="C1776" s="39">
        <f t="shared" si="87"/>
        <v>6501800000</v>
      </c>
      <c r="D1776" s="76">
        <f t="shared" si="88"/>
        <v>1004430745.4836369</v>
      </c>
    </row>
    <row r="1777" spans="1:4" x14ac:dyDescent="0.3">
      <c r="A1777">
        <v>856000</v>
      </c>
      <c r="B1777" s="29">
        <f t="shared" si="86"/>
        <v>5500563762.2070236</v>
      </c>
      <c r="C1777" s="39">
        <f t="shared" si="87"/>
        <v>6505600000</v>
      </c>
      <c r="D1777" s="76">
        <f t="shared" si="88"/>
        <v>1005036237.7929764</v>
      </c>
    </row>
    <row r="1778" spans="1:4" x14ac:dyDescent="0.3">
      <c r="A1778">
        <v>856500</v>
      </c>
      <c r="B1778" s="29">
        <f t="shared" si="86"/>
        <v>5503758269.8976831</v>
      </c>
      <c r="C1778" s="39">
        <f t="shared" si="87"/>
        <v>6509400000</v>
      </c>
      <c r="D1778" s="76">
        <f t="shared" si="88"/>
        <v>1005641730.1023169</v>
      </c>
    </row>
    <row r="1779" spans="1:4" x14ac:dyDescent="0.3">
      <c r="A1779">
        <v>857000</v>
      </c>
      <c r="B1779" s="29">
        <f t="shared" si="86"/>
        <v>5506952777.5883436</v>
      </c>
      <c r="C1779" s="39">
        <f t="shared" si="87"/>
        <v>6513200000</v>
      </c>
      <c r="D1779" s="76">
        <f t="shared" si="88"/>
        <v>1006247222.4116564</v>
      </c>
    </row>
    <row r="1780" spans="1:4" x14ac:dyDescent="0.3">
      <c r="A1780">
        <v>857500</v>
      </c>
      <c r="B1780" s="29">
        <f t="shared" si="86"/>
        <v>5510147285.2790031</v>
      </c>
      <c r="C1780" s="39">
        <f t="shared" si="87"/>
        <v>6517000000</v>
      </c>
      <c r="D1780" s="76">
        <f t="shared" si="88"/>
        <v>1006852714.7209969</v>
      </c>
    </row>
    <row r="1781" spans="1:4" x14ac:dyDescent="0.3">
      <c r="A1781">
        <v>858000</v>
      </c>
      <c r="B1781" s="29">
        <f t="shared" si="86"/>
        <v>5513341792.9696636</v>
      </c>
      <c r="C1781" s="39">
        <f t="shared" si="87"/>
        <v>6520800000</v>
      </c>
      <c r="D1781" s="76">
        <f t="shared" si="88"/>
        <v>1007458207.0303364</v>
      </c>
    </row>
    <row r="1782" spans="1:4" x14ac:dyDescent="0.3">
      <c r="A1782">
        <v>858500</v>
      </c>
      <c r="B1782" s="29">
        <f t="shared" si="86"/>
        <v>5516536300.6603231</v>
      </c>
      <c r="C1782" s="39">
        <f t="shared" si="87"/>
        <v>6524600000</v>
      </c>
      <c r="D1782" s="76">
        <f t="shared" si="88"/>
        <v>1008063699.3396769</v>
      </c>
    </row>
    <row r="1783" spans="1:4" x14ac:dyDescent="0.3">
      <c r="A1783">
        <v>859000</v>
      </c>
      <c r="B1783" s="29">
        <f t="shared" si="86"/>
        <v>5519730808.3509836</v>
      </c>
      <c r="C1783" s="39">
        <f t="shared" si="87"/>
        <v>6528400000</v>
      </c>
      <c r="D1783" s="76">
        <f t="shared" si="88"/>
        <v>1008669191.6490164</v>
      </c>
    </row>
    <row r="1784" spans="1:4" x14ac:dyDescent="0.3">
      <c r="A1784">
        <v>859500</v>
      </c>
      <c r="B1784" s="29">
        <f t="shared" si="86"/>
        <v>5522925316.0416431</v>
      </c>
      <c r="C1784" s="39">
        <f t="shared" si="87"/>
        <v>6532200000</v>
      </c>
      <c r="D1784" s="76">
        <f t="shared" si="88"/>
        <v>1009274683.9583569</v>
      </c>
    </row>
    <row r="1785" spans="1:4" x14ac:dyDescent="0.3">
      <c r="A1785">
        <v>860000</v>
      </c>
      <c r="B1785" s="29">
        <f t="shared" si="86"/>
        <v>5526119823.7323036</v>
      </c>
      <c r="C1785" s="39">
        <f t="shared" si="87"/>
        <v>6536000000</v>
      </c>
      <c r="D1785" s="76">
        <f t="shared" si="88"/>
        <v>1009880176.2676964</v>
      </c>
    </row>
    <row r="1786" spans="1:4" x14ac:dyDescent="0.3">
      <c r="A1786">
        <v>860500</v>
      </c>
      <c r="B1786" s="29">
        <f t="shared" si="86"/>
        <v>5529314331.4229631</v>
      </c>
      <c r="C1786" s="39">
        <f t="shared" si="87"/>
        <v>6539800000</v>
      </c>
      <c r="D1786" s="76">
        <f t="shared" si="88"/>
        <v>1010485668.5770369</v>
      </c>
    </row>
    <row r="1787" spans="1:4" x14ac:dyDescent="0.3">
      <c r="A1787">
        <v>861000</v>
      </c>
      <c r="B1787" s="29">
        <f t="shared" si="86"/>
        <v>5532508839.1136236</v>
      </c>
      <c r="C1787" s="39">
        <f t="shared" si="87"/>
        <v>6543600000</v>
      </c>
      <c r="D1787" s="76">
        <f t="shared" si="88"/>
        <v>1011091160.8863764</v>
      </c>
    </row>
    <row r="1788" spans="1:4" x14ac:dyDescent="0.3">
      <c r="A1788">
        <v>861500</v>
      </c>
      <c r="B1788" s="29">
        <f t="shared" si="86"/>
        <v>5535703346.8042831</v>
      </c>
      <c r="C1788" s="39">
        <f t="shared" si="87"/>
        <v>6547400000</v>
      </c>
      <c r="D1788" s="76">
        <f t="shared" si="88"/>
        <v>1011696653.1957169</v>
      </c>
    </row>
    <row r="1789" spans="1:4" x14ac:dyDescent="0.3">
      <c r="A1789">
        <v>862000</v>
      </c>
      <c r="B1789" s="29">
        <f t="shared" si="86"/>
        <v>5538897854.4949436</v>
      </c>
      <c r="C1789" s="39">
        <f t="shared" si="87"/>
        <v>6551200000</v>
      </c>
      <c r="D1789" s="76">
        <f t="shared" si="88"/>
        <v>1012302145.5050564</v>
      </c>
    </row>
    <row r="1790" spans="1:4" x14ac:dyDescent="0.3">
      <c r="A1790">
        <v>862500</v>
      </c>
      <c r="B1790" s="29">
        <f t="shared" si="86"/>
        <v>5542092362.1856031</v>
      </c>
      <c r="C1790" s="39">
        <f t="shared" si="87"/>
        <v>6555000000</v>
      </c>
      <c r="D1790" s="76">
        <f t="shared" si="88"/>
        <v>1012907637.8143969</v>
      </c>
    </row>
    <row r="1791" spans="1:4" x14ac:dyDescent="0.3">
      <c r="A1791">
        <v>863000</v>
      </c>
      <c r="B1791" s="29">
        <f t="shared" si="86"/>
        <v>5545286869.8762636</v>
      </c>
      <c r="C1791" s="39">
        <f t="shared" si="87"/>
        <v>6558800000</v>
      </c>
      <c r="D1791" s="76">
        <f t="shared" si="88"/>
        <v>1013513130.1237364</v>
      </c>
    </row>
    <row r="1792" spans="1:4" x14ac:dyDescent="0.3">
      <c r="A1792">
        <v>863500</v>
      </c>
      <c r="B1792" s="29">
        <f t="shared" si="86"/>
        <v>5548481377.5669231</v>
      </c>
      <c r="C1792" s="39">
        <f t="shared" si="87"/>
        <v>6562600000</v>
      </c>
      <c r="D1792" s="76">
        <f t="shared" si="88"/>
        <v>1014118622.4330769</v>
      </c>
    </row>
    <row r="1793" spans="1:4" x14ac:dyDescent="0.3">
      <c r="A1793">
        <v>864000</v>
      </c>
      <c r="B1793" s="29">
        <f t="shared" si="86"/>
        <v>5551675885.2575836</v>
      </c>
      <c r="C1793" s="39">
        <f t="shared" si="87"/>
        <v>6566400000</v>
      </c>
      <c r="D1793" s="76">
        <f t="shared" si="88"/>
        <v>1014724114.7424164</v>
      </c>
    </row>
    <row r="1794" spans="1:4" x14ac:dyDescent="0.3">
      <c r="A1794">
        <v>864500</v>
      </c>
      <c r="B1794" s="29">
        <f t="shared" ref="B1794:B1857" si="89">$B$54+($B$60*A1794)</f>
        <v>5554870392.9482431</v>
      </c>
      <c r="C1794" s="39">
        <f t="shared" ref="C1794:C1857" si="90">$E$50*A1794</f>
        <v>6570200000</v>
      </c>
      <c r="D1794" s="76">
        <f t="shared" ref="D1794:D1857" si="91">C1794-B1794</f>
        <v>1015329607.0517569</v>
      </c>
    </row>
    <row r="1795" spans="1:4" x14ac:dyDescent="0.3">
      <c r="A1795">
        <v>865000</v>
      </c>
      <c r="B1795" s="29">
        <f t="shared" si="89"/>
        <v>5558064900.6389036</v>
      </c>
      <c r="C1795" s="39">
        <f t="shared" si="90"/>
        <v>6574000000</v>
      </c>
      <c r="D1795" s="76">
        <f t="shared" si="91"/>
        <v>1015935099.3610964</v>
      </c>
    </row>
    <row r="1796" spans="1:4" x14ac:dyDescent="0.3">
      <c r="A1796">
        <v>865500</v>
      </c>
      <c r="B1796" s="29">
        <f t="shared" si="89"/>
        <v>5561259408.3295631</v>
      </c>
      <c r="C1796" s="39">
        <f t="shared" si="90"/>
        <v>6577800000</v>
      </c>
      <c r="D1796" s="76">
        <f t="shared" si="91"/>
        <v>1016540591.6704369</v>
      </c>
    </row>
    <row r="1797" spans="1:4" x14ac:dyDescent="0.3">
      <c r="A1797">
        <v>866000</v>
      </c>
      <c r="B1797" s="29">
        <f t="shared" si="89"/>
        <v>5564453916.0202236</v>
      </c>
      <c r="C1797" s="39">
        <f t="shared" si="90"/>
        <v>6581600000</v>
      </c>
      <c r="D1797" s="76">
        <f t="shared" si="91"/>
        <v>1017146083.9797764</v>
      </c>
    </row>
    <row r="1798" spans="1:4" x14ac:dyDescent="0.3">
      <c r="A1798">
        <v>866500</v>
      </c>
      <c r="B1798" s="29">
        <f t="shared" si="89"/>
        <v>5567648423.7108831</v>
      </c>
      <c r="C1798" s="39">
        <f t="shared" si="90"/>
        <v>6585400000</v>
      </c>
      <c r="D1798" s="76">
        <f t="shared" si="91"/>
        <v>1017751576.2891169</v>
      </c>
    </row>
    <row r="1799" spans="1:4" x14ac:dyDescent="0.3">
      <c r="A1799">
        <v>867000</v>
      </c>
      <c r="B1799" s="29">
        <f t="shared" si="89"/>
        <v>5570842931.4015436</v>
      </c>
      <c r="C1799" s="39">
        <f t="shared" si="90"/>
        <v>6589200000</v>
      </c>
      <c r="D1799" s="76">
        <f t="shared" si="91"/>
        <v>1018357068.5984564</v>
      </c>
    </row>
    <row r="1800" spans="1:4" x14ac:dyDescent="0.3">
      <c r="A1800">
        <v>867500</v>
      </c>
      <c r="B1800" s="29">
        <f t="shared" si="89"/>
        <v>5574037439.0922031</v>
      </c>
      <c r="C1800" s="39">
        <f t="shared" si="90"/>
        <v>6593000000</v>
      </c>
      <c r="D1800" s="76">
        <f t="shared" si="91"/>
        <v>1018962560.9077969</v>
      </c>
    </row>
    <row r="1801" spans="1:4" x14ac:dyDescent="0.3">
      <c r="A1801">
        <v>868000</v>
      </c>
      <c r="B1801" s="29">
        <f t="shared" si="89"/>
        <v>5577231946.7828636</v>
      </c>
      <c r="C1801" s="39">
        <f t="shared" si="90"/>
        <v>6596800000</v>
      </c>
      <c r="D1801" s="76">
        <f t="shared" si="91"/>
        <v>1019568053.2171364</v>
      </c>
    </row>
    <row r="1802" spans="1:4" x14ac:dyDescent="0.3">
      <c r="A1802">
        <v>868500</v>
      </c>
      <c r="B1802" s="29">
        <f t="shared" si="89"/>
        <v>5580426454.4735231</v>
      </c>
      <c r="C1802" s="39">
        <f t="shared" si="90"/>
        <v>6600600000</v>
      </c>
      <c r="D1802" s="76">
        <f t="shared" si="91"/>
        <v>1020173545.5264769</v>
      </c>
    </row>
    <row r="1803" spans="1:4" x14ac:dyDescent="0.3">
      <c r="A1803">
        <v>869000</v>
      </c>
      <c r="B1803" s="29">
        <f t="shared" si="89"/>
        <v>5583620962.1641836</v>
      </c>
      <c r="C1803" s="39">
        <f t="shared" si="90"/>
        <v>6604400000</v>
      </c>
      <c r="D1803" s="76">
        <f t="shared" si="91"/>
        <v>1020779037.8358164</v>
      </c>
    </row>
    <row r="1804" spans="1:4" x14ac:dyDescent="0.3">
      <c r="A1804">
        <v>869500</v>
      </c>
      <c r="B1804" s="29">
        <f t="shared" si="89"/>
        <v>5586815469.8548431</v>
      </c>
      <c r="C1804" s="39">
        <f t="shared" si="90"/>
        <v>6608200000</v>
      </c>
      <c r="D1804" s="76">
        <f t="shared" si="91"/>
        <v>1021384530.1451569</v>
      </c>
    </row>
    <row r="1805" spans="1:4" x14ac:dyDescent="0.3">
      <c r="A1805">
        <v>870000</v>
      </c>
      <c r="B1805" s="29">
        <f t="shared" si="89"/>
        <v>5590009977.5455036</v>
      </c>
      <c r="C1805" s="39">
        <f t="shared" si="90"/>
        <v>6612000000</v>
      </c>
      <c r="D1805" s="76">
        <f t="shared" si="91"/>
        <v>1021990022.4544964</v>
      </c>
    </row>
    <row r="1806" spans="1:4" x14ac:dyDescent="0.3">
      <c r="A1806">
        <v>870500</v>
      </c>
      <c r="B1806" s="29">
        <f t="shared" si="89"/>
        <v>5593204485.2361631</v>
      </c>
      <c r="C1806" s="39">
        <f t="shared" si="90"/>
        <v>6615800000</v>
      </c>
      <c r="D1806" s="76">
        <f t="shared" si="91"/>
        <v>1022595514.7638369</v>
      </c>
    </row>
    <row r="1807" spans="1:4" x14ac:dyDescent="0.3">
      <c r="A1807">
        <v>871000</v>
      </c>
      <c r="B1807" s="29">
        <f t="shared" si="89"/>
        <v>5596398992.9268236</v>
      </c>
      <c r="C1807" s="39">
        <f t="shared" si="90"/>
        <v>6619600000</v>
      </c>
      <c r="D1807" s="76">
        <f t="shared" si="91"/>
        <v>1023201007.0731764</v>
      </c>
    </row>
    <row r="1808" spans="1:4" x14ac:dyDescent="0.3">
      <c r="A1808">
        <v>871500</v>
      </c>
      <c r="B1808" s="29">
        <f t="shared" si="89"/>
        <v>5599593500.6174831</v>
      </c>
      <c r="C1808" s="39">
        <f t="shared" si="90"/>
        <v>6623400000</v>
      </c>
      <c r="D1808" s="76">
        <f t="shared" si="91"/>
        <v>1023806499.3825169</v>
      </c>
    </row>
    <row r="1809" spans="1:4" x14ac:dyDescent="0.3">
      <c r="A1809">
        <v>872000</v>
      </c>
      <c r="B1809" s="29">
        <f t="shared" si="89"/>
        <v>5602788008.3081436</v>
      </c>
      <c r="C1809" s="39">
        <f t="shared" si="90"/>
        <v>6627200000</v>
      </c>
      <c r="D1809" s="76">
        <f t="shared" si="91"/>
        <v>1024411991.6918564</v>
      </c>
    </row>
    <row r="1810" spans="1:4" x14ac:dyDescent="0.3">
      <c r="A1810">
        <v>872500</v>
      </c>
      <c r="B1810" s="29">
        <f t="shared" si="89"/>
        <v>5605982515.9988031</v>
      </c>
      <c r="C1810" s="39">
        <f t="shared" si="90"/>
        <v>6631000000</v>
      </c>
      <c r="D1810" s="76">
        <f t="shared" si="91"/>
        <v>1025017484.0011969</v>
      </c>
    </row>
    <row r="1811" spans="1:4" x14ac:dyDescent="0.3">
      <c r="A1811">
        <v>873000</v>
      </c>
      <c r="B1811" s="29">
        <f t="shared" si="89"/>
        <v>5609177023.6894636</v>
      </c>
      <c r="C1811" s="39">
        <f t="shared" si="90"/>
        <v>6634800000</v>
      </c>
      <c r="D1811" s="76">
        <f t="shared" si="91"/>
        <v>1025622976.3105364</v>
      </c>
    </row>
    <row r="1812" spans="1:4" x14ac:dyDescent="0.3">
      <c r="A1812">
        <v>873500</v>
      </c>
      <c r="B1812" s="29">
        <f t="shared" si="89"/>
        <v>5612371531.3801231</v>
      </c>
      <c r="C1812" s="39">
        <f t="shared" si="90"/>
        <v>6638600000</v>
      </c>
      <c r="D1812" s="76">
        <f t="shared" si="91"/>
        <v>1026228468.6198769</v>
      </c>
    </row>
    <row r="1813" spans="1:4" x14ac:dyDescent="0.3">
      <c r="A1813">
        <v>874000</v>
      </c>
      <c r="B1813" s="29">
        <f t="shared" si="89"/>
        <v>5615566039.0707836</v>
      </c>
      <c r="C1813" s="39">
        <f t="shared" si="90"/>
        <v>6642400000</v>
      </c>
      <c r="D1813" s="76">
        <f t="shared" si="91"/>
        <v>1026833960.9292164</v>
      </c>
    </row>
    <row r="1814" spans="1:4" x14ac:dyDescent="0.3">
      <c r="A1814">
        <v>874500</v>
      </c>
      <c r="B1814" s="29">
        <f t="shared" si="89"/>
        <v>5618760546.7614431</v>
      </c>
      <c r="C1814" s="39">
        <f t="shared" si="90"/>
        <v>6646200000</v>
      </c>
      <c r="D1814" s="76">
        <f t="shared" si="91"/>
        <v>1027439453.2385569</v>
      </c>
    </row>
    <row r="1815" spans="1:4" x14ac:dyDescent="0.3">
      <c r="A1815">
        <v>875000</v>
      </c>
      <c r="B1815" s="29">
        <f t="shared" si="89"/>
        <v>5621955054.4521036</v>
      </c>
      <c r="C1815" s="39">
        <f t="shared" si="90"/>
        <v>6650000000</v>
      </c>
      <c r="D1815" s="76">
        <f t="shared" si="91"/>
        <v>1028044945.5478964</v>
      </c>
    </row>
    <row r="1816" spans="1:4" x14ac:dyDescent="0.3">
      <c r="A1816">
        <v>875500</v>
      </c>
      <c r="B1816" s="29">
        <f t="shared" si="89"/>
        <v>5625149562.1427631</v>
      </c>
      <c r="C1816" s="39">
        <f t="shared" si="90"/>
        <v>6653800000</v>
      </c>
      <c r="D1816" s="76">
        <f t="shared" si="91"/>
        <v>1028650437.8572369</v>
      </c>
    </row>
    <row r="1817" spans="1:4" x14ac:dyDescent="0.3">
      <c r="A1817">
        <v>876000</v>
      </c>
      <c r="B1817" s="29">
        <f t="shared" si="89"/>
        <v>5628344069.8334236</v>
      </c>
      <c r="C1817" s="39">
        <f t="shared" si="90"/>
        <v>6657600000</v>
      </c>
      <c r="D1817" s="76">
        <f t="shared" si="91"/>
        <v>1029255930.1665764</v>
      </c>
    </row>
    <row r="1818" spans="1:4" x14ac:dyDescent="0.3">
      <c r="A1818">
        <v>876500</v>
      </c>
      <c r="B1818" s="29">
        <f t="shared" si="89"/>
        <v>5631538577.5240831</v>
      </c>
      <c r="C1818" s="39">
        <f t="shared" si="90"/>
        <v>6661400000</v>
      </c>
      <c r="D1818" s="76">
        <f t="shared" si="91"/>
        <v>1029861422.4759169</v>
      </c>
    </row>
    <row r="1819" spans="1:4" x14ac:dyDescent="0.3">
      <c r="A1819">
        <v>877000</v>
      </c>
      <c r="B1819" s="29">
        <f t="shared" si="89"/>
        <v>5634733085.2147436</v>
      </c>
      <c r="C1819" s="39">
        <f t="shared" si="90"/>
        <v>6665200000</v>
      </c>
      <c r="D1819" s="76">
        <f t="shared" si="91"/>
        <v>1030466914.7852564</v>
      </c>
    </row>
    <row r="1820" spans="1:4" x14ac:dyDescent="0.3">
      <c r="A1820">
        <v>877500</v>
      </c>
      <c r="B1820" s="29">
        <f t="shared" si="89"/>
        <v>5637927592.9054031</v>
      </c>
      <c r="C1820" s="39">
        <f t="shared" si="90"/>
        <v>6669000000</v>
      </c>
      <c r="D1820" s="76">
        <f t="shared" si="91"/>
        <v>1031072407.0945969</v>
      </c>
    </row>
    <row r="1821" spans="1:4" x14ac:dyDescent="0.3">
      <c r="A1821">
        <v>878000</v>
      </c>
      <c r="B1821" s="29">
        <f t="shared" si="89"/>
        <v>5641122100.5960636</v>
      </c>
      <c r="C1821" s="39">
        <f t="shared" si="90"/>
        <v>6672800000</v>
      </c>
      <c r="D1821" s="76">
        <f t="shared" si="91"/>
        <v>1031677899.4039364</v>
      </c>
    </row>
    <row r="1822" spans="1:4" x14ac:dyDescent="0.3">
      <c r="A1822">
        <v>878500</v>
      </c>
      <c r="B1822" s="29">
        <f t="shared" si="89"/>
        <v>5644316608.2867231</v>
      </c>
      <c r="C1822" s="39">
        <f t="shared" si="90"/>
        <v>6676600000</v>
      </c>
      <c r="D1822" s="76">
        <f t="shared" si="91"/>
        <v>1032283391.7132769</v>
      </c>
    </row>
    <row r="1823" spans="1:4" x14ac:dyDescent="0.3">
      <c r="A1823">
        <v>879000</v>
      </c>
      <c r="B1823" s="29">
        <f t="shared" si="89"/>
        <v>5647511115.9773836</v>
      </c>
      <c r="C1823" s="39">
        <f t="shared" si="90"/>
        <v>6680400000</v>
      </c>
      <c r="D1823" s="76">
        <f t="shared" si="91"/>
        <v>1032888884.0226164</v>
      </c>
    </row>
    <row r="1824" spans="1:4" x14ac:dyDescent="0.3">
      <c r="A1824">
        <v>879500</v>
      </c>
      <c r="B1824" s="29">
        <f t="shared" si="89"/>
        <v>5650705623.6680431</v>
      </c>
      <c r="C1824" s="39">
        <f t="shared" si="90"/>
        <v>6684200000</v>
      </c>
      <c r="D1824" s="76">
        <f t="shared" si="91"/>
        <v>1033494376.3319569</v>
      </c>
    </row>
    <row r="1825" spans="1:4" x14ac:dyDescent="0.3">
      <c r="A1825">
        <v>880000</v>
      </c>
      <c r="B1825" s="29">
        <f t="shared" si="89"/>
        <v>5653900131.3587036</v>
      </c>
      <c r="C1825" s="39">
        <f t="shared" si="90"/>
        <v>6688000000</v>
      </c>
      <c r="D1825" s="76">
        <f t="shared" si="91"/>
        <v>1034099868.6412964</v>
      </c>
    </row>
    <row r="1826" spans="1:4" x14ac:dyDescent="0.3">
      <c r="A1826">
        <v>880500</v>
      </c>
      <c r="B1826" s="29">
        <f t="shared" si="89"/>
        <v>5657094639.0493631</v>
      </c>
      <c r="C1826" s="39">
        <f t="shared" si="90"/>
        <v>6691800000</v>
      </c>
      <c r="D1826" s="76">
        <f t="shared" si="91"/>
        <v>1034705360.9506369</v>
      </c>
    </row>
    <row r="1827" spans="1:4" x14ac:dyDescent="0.3">
      <c r="A1827">
        <v>881000</v>
      </c>
      <c r="B1827" s="29">
        <f t="shared" si="89"/>
        <v>5660289146.7400236</v>
      </c>
      <c r="C1827" s="39">
        <f t="shared" si="90"/>
        <v>6695600000</v>
      </c>
      <c r="D1827" s="76">
        <f t="shared" si="91"/>
        <v>1035310853.2599764</v>
      </c>
    </row>
    <row r="1828" spans="1:4" x14ac:dyDescent="0.3">
      <c r="A1828">
        <v>881500</v>
      </c>
      <c r="B1828" s="29">
        <f t="shared" si="89"/>
        <v>5663483654.4306831</v>
      </c>
      <c r="C1828" s="39">
        <f t="shared" si="90"/>
        <v>6699400000</v>
      </c>
      <c r="D1828" s="76">
        <f t="shared" si="91"/>
        <v>1035916345.5693169</v>
      </c>
    </row>
    <row r="1829" spans="1:4" x14ac:dyDescent="0.3">
      <c r="A1829">
        <v>882000</v>
      </c>
      <c r="B1829" s="29">
        <f t="shared" si="89"/>
        <v>5666678162.1213436</v>
      </c>
      <c r="C1829" s="39">
        <f t="shared" si="90"/>
        <v>6703200000</v>
      </c>
      <c r="D1829" s="76">
        <f t="shared" si="91"/>
        <v>1036521837.8786564</v>
      </c>
    </row>
    <row r="1830" spans="1:4" x14ac:dyDescent="0.3">
      <c r="A1830">
        <v>882500</v>
      </c>
      <c r="B1830" s="29">
        <f t="shared" si="89"/>
        <v>5669872669.8120031</v>
      </c>
      <c r="C1830" s="39">
        <f t="shared" si="90"/>
        <v>6707000000</v>
      </c>
      <c r="D1830" s="76">
        <f t="shared" si="91"/>
        <v>1037127330.1879969</v>
      </c>
    </row>
    <row r="1831" spans="1:4" x14ac:dyDescent="0.3">
      <c r="A1831">
        <v>883000</v>
      </c>
      <c r="B1831" s="29">
        <f t="shared" si="89"/>
        <v>5673067177.5026636</v>
      </c>
      <c r="C1831" s="39">
        <f t="shared" si="90"/>
        <v>6710800000</v>
      </c>
      <c r="D1831" s="76">
        <f t="shared" si="91"/>
        <v>1037732822.4973364</v>
      </c>
    </row>
    <row r="1832" spans="1:4" x14ac:dyDescent="0.3">
      <c r="A1832">
        <v>883500</v>
      </c>
      <c r="B1832" s="29">
        <f t="shared" si="89"/>
        <v>5676261685.1933231</v>
      </c>
      <c r="C1832" s="39">
        <f t="shared" si="90"/>
        <v>6714600000</v>
      </c>
      <c r="D1832" s="76">
        <f t="shared" si="91"/>
        <v>1038338314.8066769</v>
      </c>
    </row>
    <row r="1833" spans="1:4" x14ac:dyDescent="0.3">
      <c r="A1833">
        <v>884000</v>
      </c>
      <c r="B1833" s="29">
        <f t="shared" si="89"/>
        <v>5679456192.8839836</v>
      </c>
      <c r="C1833" s="39">
        <f t="shared" si="90"/>
        <v>6718400000</v>
      </c>
      <c r="D1833" s="76">
        <f t="shared" si="91"/>
        <v>1038943807.1160164</v>
      </c>
    </row>
    <row r="1834" spans="1:4" x14ac:dyDescent="0.3">
      <c r="A1834">
        <v>884500</v>
      </c>
      <c r="B1834" s="29">
        <f t="shared" si="89"/>
        <v>5682650700.5746431</v>
      </c>
      <c r="C1834" s="39">
        <f t="shared" si="90"/>
        <v>6722200000</v>
      </c>
      <c r="D1834" s="76">
        <f t="shared" si="91"/>
        <v>1039549299.4253569</v>
      </c>
    </row>
    <row r="1835" spans="1:4" x14ac:dyDescent="0.3">
      <c r="A1835">
        <v>885000</v>
      </c>
      <c r="B1835" s="29">
        <f t="shared" si="89"/>
        <v>5685845208.2653036</v>
      </c>
      <c r="C1835" s="39">
        <f t="shared" si="90"/>
        <v>6726000000</v>
      </c>
      <c r="D1835" s="76">
        <f t="shared" si="91"/>
        <v>1040154791.7346964</v>
      </c>
    </row>
    <row r="1836" spans="1:4" x14ac:dyDescent="0.3">
      <c r="A1836">
        <v>885500</v>
      </c>
      <c r="B1836" s="29">
        <f t="shared" si="89"/>
        <v>5689039715.9559631</v>
      </c>
      <c r="C1836" s="39">
        <f t="shared" si="90"/>
        <v>6729800000</v>
      </c>
      <c r="D1836" s="76">
        <f t="shared" si="91"/>
        <v>1040760284.0440369</v>
      </c>
    </row>
    <row r="1837" spans="1:4" x14ac:dyDescent="0.3">
      <c r="A1837">
        <v>886000</v>
      </c>
      <c r="B1837" s="29">
        <f t="shared" si="89"/>
        <v>5692234223.6466236</v>
      </c>
      <c r="C1837" s="39">
        <f t="shared" si="90"/>
        <v>6733600000</v>
      </c>
      <c r="D1837" s="76">
        <f t="shared" si="91"/>
        <v>1041365776.3533764</v>
      </c>
    </row>
    <row r="1838" spans="1:4" x14ac:dyDescent="0.3">
      <c r="A1838">
        <v>886500</v>
      </c>
      <c r="B1838" s="29">
        <f t="shared" si="89"/>
        <v>5695428731.3372831</v>
      </c>
      <c r="C1838" s="39">
        <f t="shared" si="90"/>
        <v>6737400000</v>
      </c>
      <c r="D1838" s="76">
        <f t="shared" si="91"/>
        <v>1041971268.6627169</v>
      </c>
    </row>
    <row r="1839" spans="1:4" x14ac:dyDescent="0.3">
      <c r="A1839">
        <v>887000</v>
      </c>
      <c r="B1839" s="29">
        <f t="shared" si="89"/>
        <v>5698623239.0279436</v>
      </c>
      <c r="C1839" s="39">
        <f t="shared" si="90"/>
        <v>6741200000</v>
      </c>
      <c r="D1839" s="76">
        <f t="shared" si="91"/>
        <v>1042576760.9720564</v>
      </c>
    </row>
    <row r="1840" spans="1:4" x14ac:dyDescent="0.3">
      <c r="A1840">
        <v>887500</v>
      </c>
      <c r="B1840" s="29">
        <f t="shared" si="89"/>
        <v>5701817746.7186031</v>
      </c>
      <c r="C1840" s="39">
        <f t="shared" si="90"/>
        <v>6745000000</v>
      </c>
      <c r="D1840" s="76">
        <f t="shared" si="91"/>
        <v>1043182253.2813969</v>
      </c>
    </row>
    <row r="1841" spans="1:4" x14ac:dyDescent="0.3">
      <c r="A1841">
        <v>888000</v>
      </c>
      <c r="B1841" s="29">
        <f t="shared" si="89"/>
        <v>5705012254.4092636</v>
      </c>
      <c r="C1841" s="39">
        <f t="shared" si="90"/>
        <v>6748800000</v>
      </c>
      <c r="D1841" s="76">
        <f t="shared" si="91"/>
        <v>1043787745.5907364</v>
      </c>
    </row>
    <row r="1842" spans="1:4" x14ac:dyDescent="0.3">
      <c r="A1842">
        <v>888500</v>
      </c>
      <c r="B1842" s="29">
        <f t="shared" si="89"/>
        <v>5708206762.0999231</v>
      </c>
      <c r="C1842" s="39">
        <f t="shared" si="90"/>
        <v>6752600000</v>
      </c>
      <c r="D1842" s="76">
        <f t="shared" si="91"/>
        <v>1044393237.9000769</v>
      </c>
    </row>
    <row r="1843" spans="1:4" x14ac:dyDescent="0.3">
      <c r="A1843">
        <v>889000</v>
      </c>
      <c r="B1843" s="29">
        <f t="shared" si="89"/>
        <v>5711401269.7905836</v>
      </c>
      <c r="C1843" s="39">
        <f t="shared" si="90"/>
        <v>6756400000</v>
      </c>
      <c r="D1843" s="76">
        <f t="shared" si="91"/>
        <v>1044998730.2094164</v>
      </c>
    </row>
    <row r="1844" spans="1:4" x14ac:dyDescent="0.3">
      <c r="A1844">
        <v>889500</v>
      </c>
      <c r="B1844" s="29">
        <f t="shared" si="89"/>
        <v>5714595777.4812431</v>
      </c>
      <c r="C1844" s="39">
        <f t="shared" si="90"/>
        <v>6760200000</v>
      </c>
      <c r="D1844" s="76">
        <f t="shared" si="91"/>
        <v>1045604222.5187569</v>
      </c>
    </row>
    <row r="1845" spans="1:4" x14ac:dyDescent="0.3">
      <c r="A1845">
        <v>890000</v>
      </c>
      <c r="B1845" s="29">
        <f t="shared" si="89"/>
        <v>5717790285.1719036</v>
      </c>
      <c r="C1845" s="39">
        <f t="shared" si="90"/>
        <v>6764000000</v>
      </c>
      <c r="D1845" s="76">
        <f t="shared" si="91"/>
        <v>1046209714.8280964</v>
      </c>
    </row>
    <row r="1846" spans="1:4" x14ac:dyDescent="0.3">
      <c r="A1846">
        <v>890500</v>
      </c>
      <c r="B1846" s="29">
        <f t="shared" si="89"/>
        <v>5720984792.8625631</v>
      </c>
      <c r="C1846" s="39">
        <f t="shared" si="90"/>
        <v>6767800000</v>
      </c>
      <c r="D1846" s="76">
        <f t="shared" si="91"/>
        <v>1046815207.1374369</v>
      </c>
    </row>
    <row r="1847" spans="1:4" x14ac:dyDescent="0.3">
      <c r="A1847">
        <v>891000</v>
      </c>
      <c r="B1847" s="29">
        <f t="shared" si="89"/>
        <v>5724179300.5532236</v>
      </c>
      <c r="C1847" s="39">
        <f t="shared" si="90"/>
        <v>6771600000</v>
      </c>
      <c r="D1847" s="76">
        <f t="shared" si="91"/>
        <v>1047420699.4467764</v>
      </c>
    </row>
    <row r="1848" spans="1:4" x14ac:dyDescent="0.3">
      <c r="A1848">
        <v>891500</v>
      </c>
      <c r="B1848" s="29">
        <f t="shared" si="89"/>
        <v>5727373808.2438831</v>
      </c>
      <c r="C1848" s="39">
        <f t="shared" si="90"/>
        <v>6775400000</v>
      </c>
      <c r="D1848" s="76">
        <f t="shared" si="91"/>
        <v>1048026191.7561169</v>
      </c>
    </row>
    <row r="1849" spans="1:4" x14ac:dyDescent="0.3">
      <c r="A1849">
        <v>892000</v>
      </c>
      <c r="B1849" s="29">
        <f t="shared" si="89"/>
        <v>5730568315.9345436</v>
      </c>
      <c r="C1849" s="39">
        <f t="shared" si="90"/>
        <v>6779200000</v>
      </c>
      <c r="D1849" s="76">
        <f t="shared" si="91"/>
        <v>1048631684.0654564</v>
      </c>
    </row>
    <row r="1850" spans="1:4" x14ac:dyDescent="0.3">
      <c r="A1850">
        <v>892500</v>
      </c>
      <c r="B1850" s="29">
        <f t="shared" si="89"/>
        <v>5733762823.6252031</v>
      </c>
      <c r="C1850" s="39">
        <f t="shared" si="90"/>
        <v>6783000000</v>
      </c>
      <c r="D1850" s="76">
        <f t="shared" si="91"/>
        <v>1049237176.3747969</v>
      </c>
    </row>
    <row r="1851" spans="1:4" x14ac:dyDescent="0.3">
      <c r="A1851">
        <v>893000</v>
      </c>
      <c r="B1851" s="29">
        <f t="shared" si="89"/>
        <v>5736957331.3158636</v>
      </c>
      <c r="C1851" s="39">
        <f t="shared" si="90"/>
        <v>6786800000</v>
      </c>
      <c r="D1851" s="76">
        <f t="shared" si="91"/>
        <v>1049842668.6841364</v>
      </c>
    </row>
    <row r="1852" spans="1:4" x14ac:dyDescent="0.3">
      <c r="A1852">
        <v>893500</v>
      </c>
      <c r="B1852" s="29">
        <f t="shared" si="89"/>
        <v>5740151839.0065231</v>
      </c>
      <c r="C1852" s="39">
        <f t="shared" si="90"/>
        <v>6790600000</v>
      </c>
      <c r="D1852" s="76">
        <f t="shared" si="91"/>
        <v>1050448160.9934769</v>
      </c>
    </row>
    <row r="1853" spans="1:4" x14ac:dyDescent="0.3">
      <c r="A1853">
        <v>894000</v>
      </c>
      <c r="B1853" s="29">
        <f t="shared" si="89"/>
        <v>5743346346.6971836</v>
      </c>
      <c r="C1853" s="39">
        <f t="shared" si="90"/>
        <v>6794400000</v>
      </c>
      <c r="D1853" s="76">
        <f t="shared" si="91"/>
        <v>1051053653.3028164</v>
      </c>
    </row>
    <row r="1854" spans="1:4" x14ac:dyDescent="0.3">
      <c r="A1854">
        <v>894500</v>
      </c>
      <c r="B1854" s="29">
        <f t="shared" si="89"/>
        <v>5746540854.3878431</v>
      </c>
      <c r="C1854" s="39">
        <f t="shared" si="90"/>
        <v>6798200000</v>
      </c>
      <c r="D1854" s="76">
        <f t="shared" si="91"/>
        <v>1051659145.6121569</v>
      </c>
    </row>
    <row r="1855" spans="1:4" x14ac:dyDescent="0.3">
      <c r="A1855">
        <v>895000</v>
      </c>
      <c r="B1855" s="29">
        <f t="shared" si="89"/>
        <v>5749735362.0785036</v>
      </c>
      <c r="C1855" s="39">
        <f t="shared" si="90"/>
        <v>6802000000</v>
      </c>
      <c r="D1855" s="76">
        <f t="shared" si="91"/>
        <v>1052264637.9214964</v>
      </c>
    </row>
    <row r="1856" spans="1:4" x14ac:dyDescent="0.3">
      <c r="A1856">
        <v>895500</v>
      </c>
      <c r="B1856" s="29">
        <f t="shared" si="89"/>
        <v>5752929869.7691631</v>
      </c>
      <c r="C1856" s="39">
        <f t="shared" si="90"/>
        <v>6805800000</v>
      </c>
      <c r="D1856" s="76">
        <f t="shared" si="91"/>
        <v>1052870130.2308369</v>
      </c>
    </row>
    <row r="1857" spans="1:4" x14ac:dyDescent="0.3">
      <c r="A1857">
        <v>896000</v>
      </c>
      <c r="B1857" s="29">
        <f t="shared" si="89"/>
        <v>5756124377.4598236</v>
      </c>
      <c r="C1857" s="39">
        <f t="shared" si="90"/>
        <v>6809600000</v>
      </c>
      <c r="D1857" s="76">
        <f t="shared" si="91"/>
        <v>1053475622.5401764</v>
      </c>
    </row>
    <row r="1858" spans="1:4" x14ac:dyDescent="0.3">
      <c r="A1858">
        <v>896500</v>
      </c>
      <c r="B1858" s="29">
        <f t="shared" ref="B1858:B1921" si="92">$B$54+($B$60*A1858)</f>
        <v>5759318885.1504831</v>
      </c>
      <c r="C1858" s="39">
        <f t="shared" ref="C1858:C1921" si="93">$E$50*A1858</f>
        <v>6813400000</v>
      </c>
      <c r="D1858" s="76">
        <f t="shared" ref="D1858:D1921" si="94">C1858-B1858</f>
        <v>1054081114.8495169</v>
      </c>
    </row>
    <row r="1859" spans="1:4" x14ac:dyDescent="0.3">
      <c r="A1859">
        <v>897000</v>
      </c>
      <c r="B1859" s="29">
        <f t="shared" si="92"/>
        <v>5762513392.8411436</v>
      </c>
      <c r="C1859" s="39">
        <f t="shared" si="93"/>
        <v>6817200000</v>
      </c>
      <c r="D1859" s="76">
        <f t="shared" si="94"/>
        <v>1054686607.1588564</v>
      </c>
    </row>
    <row r="1860" spans="1:4" x14ac:dyDescent="0.3">
      <c r="A1860">
        <v>897500</v>
      </c>
      <c r="B1860" s="29">
        <f t="shared" si="92"/>
        <v>5765707900.5318031</v>
      </c>
      <c r="C1860" s="39">
        <f t="shared" si="93"/>
        <v>6821000000</v>
      </c>
      <c r="D1860" s="76">
        <f t="shared" si="94"/>
        <v>1055292099.4681969</v>
      </c>
    </row>
    <row r="1861" spans="1:4" x14ac:dyDescent="0.3">
      <c r="A1861">
        <v>898000</v>
      </c>
      <c r="B1861" s="29">
        <f t="shared" si="92"/>
        <v>5768902408.2224636</v>
      </c>
      <c r="C1861" s="39">
        <f t="shared" si="93"/>
        <v>6824800000</v>
      </c>
      <c r="D1861" s="76">
        <f t="shared" si="94"/>
        <v>1055897591.7775364</v>
      </c>
    </row>
    <row r="1862" spans="1:4" x14ac:dyDescent="0.3">
      <c r="A1862">
        <v>898500</v>
      </c>
      <c r="B1862" s="29">
        <f t="shared" si="92"/>
        <v>5772096915.9131231</v>
      </c>
      <c r="C1862" s="39">
        <f t="shared" si="93"/>
        <v>6828600000</v>
      </c>
      <c r="D1862" s="76">
        <f t="shared" si="94"/>
        <v>1056503084.0868769</v>
      </c>
    </row>
    <row r="1863" spans="1:4" x14ac:dyDescent="0.3">
      <c r="A1863">
        <v>899000</v>
      </c>
      <c r="B1863" s="29">
        <f t="shared" si="92"/>
        <v>5775291423.6037836</v>
      </c>
      <c r="C1863" s="39">
        <f t="shared" si="93"/>
        <v>6832400000</v>
      </c>
      <c r="D1863" s="76">
        <f t="shared" si="94"/>
        <v>1057108576.3962164</v>
      </c>
    </row>
    <row r="1864" spans="1:4" x14ac:dyDescent="0.3">
      <c r="A1864">
        <v>899500</v>
      </c>
      <c r="B1864" s="29">
        <f t="shared" si="92"/>
        <v>5778485931.2944431</v>
      </c>
      <c r="C1864" s="39">
        <f t="shared" si="93"/>
        <v>6836200000</v>
      </c>
      <c r="D1864" s="76">
        <f t="shared" si="94"/>
        <v>1057714068.7055569</v>
      </c>
    </row>
    <row r="1865" spans="1:4" x14ac:dyDescent="0.3">
      <c r="A1865">
        <v>900000</v>
      </c>
      <c r="B1865" s="29">
        <f t="shared" si="92"/>
        <v>5781680438.9851036</v>
      </c>
      <c r="C1865" s="39">
        <f t="shared" si="93"/>
        <v>6840000000</v>
      </c>
      <c r="D1865" s="76">
        <f t="shared" si="94"/>
        <v>1058319561.0148964</v>
      </c>
    </row>
    <row r="1866" spans="1:4" x14ac:dyDescent="0.3">
      <c r="A1866">
        <v>900500</v>
      </c>
      <c r="B1866" s="29">
        <f t="shared" si="92"/>
        <v>5784874946.6757631</v>
      </c>
      <c r="C1866" s="39">
        <f t="shared" si="93"/>
        <v>6843800000</v>
      </c>
      <c r="D1866" s="76">
        <f t="shared" si="94"/>
        <v>1058925053.3242369</v>
      </c>
    </row>
    <row r="1867" spans="1:4" x14ac:dyDescent="0.3">
      <c r="A1867">
        <v>901000</v>
      </c>
      <c r="B1867" s="29">
        <f t="shared" si="92"/>
        <v>5788069454.3664236</v>
      </c>
      <c r="C1867" s="39">
        <f t="shared" si="93"/>
        <v>6847600000</v>
      </c>
      <c r="D1867" s="76">
        <f t="shared" si="94"/>
        <v>1059530545.6335764</v>
      </c>
    </row>
    <row r="1868" spans="1:4" x14ac:dyDescent="0.3">
      <c r="A1868">
        <v>901500</v>
      </c>
      <c r="B1868" s="29">
        <f t="shared" si="92"/>
        <v>5791263962.0570831</v>
      </c>
      <c r="C1868" s="39">
        <f t="shared" si="93"/>
        <v>6851400000</v>
      </c>
      <c r="D1868" s="76">
        <f t="shared" si="94"/>
        <v>1060136037.9429169</v>
      </c>
    </row>
    <row r="1869" spans="1:4" x14ac:dyDescent="0.3">
      <c r="A1869">
        <v>902000</v>
      </c>
      <c r="B1869" s="29">
        <f t="shared" si="92"/>
        <v>5794458469.7477436</v>
      </c>
      <c r="C1869" s="39">
        <f t="shared" si="93"/>
        <v>6855200000</v>
      </c>
      <c r="D1869" s="76">
        <f t="shared" si="94"/>
        <v>1060741530.2522564</v>
      </c>
    </row>
    <row r="1870" spans="1:4" x14ac:dyDescent="0.3">
      <c r="A1870">
        <v>902500</v>
      </c>
      <c r="B1870" s="29">
        <f t="shared" si="92"/>
        <v>5797652977.4384031</v>
      </c>
      <c r="C1870" s="39">
        <f t="shared" si="93"/>
        <v>6859000000</v>
      </c>
      <c r="D1870" s="76">
        <f t="shared" si="94"/>
        <v>1061347022.5615969</v>
      </c>
    </row>
    <row r="1871" spans="1:4" x14ac:dyDescent="0.3">
      <c r="A1871">
        <v>903000</v>
      </c>
      <c r="B1871" s="29">
        <f t="shared" si="92"/>
        <v>5800847485.1290636</v>
      </c>
      <c r="C1871" s="39">
        <f t="shared" si="93"/>
        <v>6862800000</v>
      </c>
      <c r="D1871" s="76">
        <f t="shared" si="94"/>
        <v>1061952514.8709364</v>
      </c>
    </row>
    <row r="1872" spans="1:4" x14ac:dyDescent="0.3">
      <c r="A1872">
        <v>903500</v>
      </c>
      <c r="B1872" s="29">
        <f t="shared" si="92"/>
        <v>5804041992.8197231</v>
      </c>
      <c r="C1872" s="39">
        <f t="shared" si="93"/>
        <v>6866600000</v>
      </c>
      <c r="D1872" s="76">
        <f t="shared" si="94"/>
        <v>1062558007.1802769</v>
      </c>
    </row>
    <row r="1873" spans="1:4" x14ac:dyDescent="0.3">
      <c r="A1873">
        <v>904000</v>
      </c>
      <c r="B1873" s="29">
        <f t="shared" si="92"/>
        <v>5807236500.5103836</v>
      </c>
      <c r="C1873" s="39">
        <f t="shared" si="93"/>
        <v>6870400000</v>
      </c>
      <c r="D1873" s="76">
        <f t="shared" si="94"/>
        <v>1063163499.4896164</v>
      </c>
    </row>
    <row r="1874" spans="1:4" x14ac:dyDescent="0.3">
      <c r="A1874">
        <v>904500</v>
      </c>
      <c r="B1874" s="29">
        <f t="shared" si="92"/>
        <v>5810431008.2010431</v>
      </c>
      <c r="C1874" s="39">
        <f t="shared" si="93"/>
        <v>6874200000</v>
      </c>
      <c r="D1874" s="76">
        <f t="shared" si="94"/>
        <v>1063768991.7989569</v>
      </c>
    </row>
    <row r="1875" spans="1:4" x14ac:dyDescent="0.3">
      <c r="A1875">
        <v>905000</v>
      </c>
      <c r="B1875" s="29">
        <f t="shared" si="92"/>
        <v>5813625515.8917036</v>
      </c>
      <c r="C1875" s="39">
        <f t="shared" si="93"/>
        <v>6878000000</v>
      </c>
      <c r="D1875" s="76">
        <f t="shared" si="94"/>
        <v>1064374484.1082964</v>
      </c>
    </row>
    <row r="1876" spans="1:4" x14ac:dyDescent="0.3">
      <c r="A1876">
        <v>905500</v>
      </c>
      <c r="B1876" s="29">
        <f t="shared" si="92"/>
        <v>5816820023.5823631</v>
      </c>
      <c r="C1876" s="39">
        <f t="shared" si="93"/>
        <v>6881800000</v>
      </c>
      <c r="D1876" s="76">
        <f t="shared" si="94"/>
        <v>1064979976.4176369</v>
      </c>
    </row>
    <row r="1877" spans="1:4" x14ac:dyDescent="0.3">
      <c r="A1877">
        <v>906000</v>
      </c>
      <c r="B1877" s="29">
        <f t="shared" si="92"/>
        <v>5820014531.2730236</v>
      </c>
      <c r="C1877" s="39">
        <f t="shared" si="93"/>
        <v>6885600000</v>
      </c>
      <c r="D1877" s="76">
        <f t="shared" si="94"/>
        <v>1065585468.7269764</v>
      </c>
    </row>
    <row r="1878" spans="1:4" x14ac:dyDescent="0.3">
      <c r="A1878">
        <v>906500</v>
      </c>
      <c r="B1878" s="29">
        <f t="shared" si="92"/>
        <v>5823209038.9636831</v>
      </c>
      <c r="C1878" s="39">
        <f t="shared" si="93"/>
        <v>6889400000</v>
      </c>
      <c r="D1878" s="76">
        <f t="shared" si="94"/>
        <v>1066190961.0363169</v>
      </c>
    </row>
    <row r="1879" spans="1:4" x14ac:dyDescent="0.3">
      <c r="A1879">
        <v>907000</v>
      </c>
      <c r="B1879" s="29">
        <f t="shared" si="92"/>
        <v>5826403546.6543436</v>
      </c>
      <c r="C1879" s="39">
        <f t="shared" si="93"/>
        <v>6893200000</v>
      </c>
      <c r="D1879" s="76">
        <f t="shared" si="94"/>
        <v>1066796453.3456564</v>
      </c>
    </row>
    <row r="1880" spans="1:4" x14ac:dyDescent="0.3">
      <c r="A1880">
        <v>907500</v>
      </c>
      <c r="B1880" s="29">
        <f t="shared" si="92"/>
        <v>5829598054.3450031</v>
      </c>
      <c r="C1880" s="39">
        <f t="shared" si="93"/>
        <v>6897000000</v>
      </c>
      <c r="D1880" s="76">
        <f t="shared" si="94"/>
        <v>1067401945.6549969</v>
      </c>
    </row>
    <row r="1881" spans="1:4" x14ac:dyDescent="0.3">
      <c r="A1881">
        <v>908000</v>
      </c>
      <c r="B1881" s="29">
        <f t="shared" si="92"/>
        <v>5832792562.0356636</v>
      </c>
      <c r="C1881" s="39">
        <f t="shared" si="93"/>
        <v>6900800000</v>
      </c>
      <c r="D1881" s="76">
        <f t="shared" si="94"/>
        <v>1068007437.9643364</v>
      </c>
    </row>
    <row r="1882" spans="1:4" x14ac:dyDescent="0.3">
      <c r="A1882">
        <v>908500</v>
      </c>
      <c r="B1882" s="29">
        <f t="shared" si="92"/>
        <v>5835987069.7263231</v>
      </c>
      <c r="C1882" s="39">
        <f t="shared" si="93"/>
        <v>6904600000</v>
      </c>
      <c r="D1882" s="76">
        <f t="shared" si="94"/>
        <v>1068612930.2736769</v>
      </c>
    </row>
    <row r="1883" spans="1:4" x14ac:dyDescent="0.3">
      <c r="A1883">
        <v>909000</v>
      </c>
      <c r="B1883" s="29">
        <f t="shared" si="92"/>
        <v>5839181577.4169836</v>
      </c>
      <c r="C1883" s="39">
        <f t="shared" si="93"/>
        <v>6908400000</v>
      </c>
      <c r="D1883" s="76">
        <f t="shared" si="94"/>
        <v>1069218422.5830164</v>
      </c>
    </row>
    <row r="1884" spans="1:4" x14ac:dyDescent="0.3">
      <c r="A1884">
        <v>909500</v>
      </c>
      <c r="B1884" s="29">
        <f t="shared" si="92"/>
        <v>5842376085.1076431</v>
      </c>
      <c r="C1884" s="39">
        <f t="shared" si="93"/>
        <v>6912200000</v>
      </c>
      <c r="D1884" s="76">
        <f t="shared" si="94"/>
        <v>1069823914.8923569</v>
      </c>
    </row>
    <row r="1885" spans="1:4" x14ac:dyDescent="0.3">
      <c r="A1885">
        <v>910000</v>
      </c>
      <c r="B1885" s="29">
        <f t="shared" si="92"/>
        <v>5845570592.7983036</v>
      </c>
      <c r="C1885" s="39">
        <f t="shared" si="93"/>
        <v>6916000000</v>
      </c>
      <c r="D1885" s="76">
        <f t="shared" si="94"/>
        <v>1070429407.2016964</v>
      </c>
    </row>
    <row r="1886" spans="1:4" x14ac:dyDescent="0.3">
      <c r="A1886">
        <v>910500</v>
      </c>
      <c r="B1886" s="29">
        <f t="shared" si="92"/>
        <v>5848765100.4889631</v>
      </c>
      <c r="C1886" s="39">
        <f t="shared" si="93"/>
        <v>6919800000</v>
      </c>
      <c r="D1886" s="76">
        <f t="shared" si="94"/>
        <v>1071034899.5110369</v>
      </c>
    </row>
    <row r="1887" spans="1:4" x14ac:dyDescent="0.3">
      <c r="A1887">
        <v>911000</v>
      </c>
      <c r="B1887" s="29">
        <f t="shared" si="92"/>
        <v>5851959608.1796236</v>
      </c>
      <c r="C1887" s="39">
        <f t="shared" si="93"/>
        <v>6923600000</v>
      </c>
      <c r="D1887" s="76">
        <f t="shared" si="94"/>
        <v>1071640391.8203764</v>
      </c>
    </row>
    <row r="1888" spans="1:4" x14ac:dyDescent="0.3">
      <c r="A1888">
        <v>911500</v>
      </c>
      <c r="B1888" s="29">
        <f t="shared" si="92"/>
        <v>5855154115.8702831</v>
      </c>
      <c r="C1888" s="39">
        <f t="shared" si="93"/>
        <v>6927400000</v>
      </c>
      <c r="D1888" s="76">
        <f t="shared" si="94"/>
        <v>1072245884.1297169</v>
      </c>
    </row>
    <row r="1889" spans="1:4" x14ac:dyDescent="0.3">
      <c r="A1889">
        <v>912000</v>
      </c>
      <c r="B1889" s="29">
        <f t="shared" si="92"/>
        <v>5858348623.5609436</v>
      </c>
      <c r="C1889" s="39">
        <f t="shared" si="93"/>
        <v>6931200000</v>
      </c>
      <c r="D1889" s="76">
        <f t="shared" si="94"/>
        <v>1072851376.4390564</v>
      </c>
    </row>
    <row r="1890" spans="1:4" x14ac:dyDescent="0.3">
      <c r="A1890">
        <v>912500</v>
      </c>
      <c r="B1890" s="29">
        <f t="shared" si="92"/>
        <v>5861543131.2516031</v>
      </c>
      <c r="C1890" s="39">
        <f t="shared" si="93"/>
        <v>6935000000</v>
      </c>
      <c r="D1890" s="76">
        <f t="shared" si="94"/>
        <v>1073456868.7483969</v>
      </c>
    </row>
    <row r="1891" spans="1:4" x14ac:dyDescent="0.3">
      <c r="A1891">
        <v>913000</v>
      </c>
      <c r="B1891" s="29">
        <f t="shared" si="92"/>
        <v>5864737638.9422636</v>
      </c>
      <c r="C1891" s="39">
        <f t="shared" si="93"/>
        <v>6938800000</v>
      </c>
      <c r="D1891" s="76">
        <f t="shared" si="94"/>
        <v>1074062361.0577364</v>
      </c>
    </row>
    <row r="1892" spans="1:4" x14ac:dyDescent="0.3">
      <c r="A1892">
        <v>913500</v>
      </c>
      <c r="B1892" s="29">
        <f t="shared" si="92"/>
        <v>5867932146.6329231</v>
      </c>
      <c r="C1892" s="39">
        <f t="shared" si="93"/>
        <v>6942600000</v>
      </c>
      <c r="D1892" s="76">
        <f t="shared" si="94"/>
        <v>1074667853.3670769</v>
      </c>
    </row>
    <row r="1893" spans="1:4" x14ac:dyDescent="0.3">
      <c r="A1893">
        <v>914000</v>
      </c>
      <c r="B1893" s="29">
        <f t="shared" si="92"/>
        <v>5871126654.3235836</v>
      </c>
      <c r="C1893" s="39">
        <f t="shared" si="93"/>
        <v>6946400000</v>
      </c>
      <c r="D1893" s="76">
        <f t="shared" si="94"/>
        <v>1075273345.6764164</v>
      </c>
    </row>
    <row r="1894" spans="1:4" x14ac:dyDescent="0.3">
      <c r="A1894">
        <v>914500</v>
      </c>
      <c r="B1894" s="29">
        <f t="shared" si="92"/>
        <v>5874321162.0142431</v>
      </c>
      <c r="C1894" s="39">
        <f t="shared" si="93"/>
        <v>6950200000</v>
      </c>
      <c r="D1894" s="76">
        <f t="shared" si="94"/>
        <v>1075878837.9857569</v>
      </c>
    </row>
    <row r="1895" spans="1:4" x14ac:dyDescent="0.3">
      <c r="A1895">
        <v>915000</v>
      </c>
      <c r="B1895" s="29">
        <f t="shared" si="92"/>
        <v>5877515669.7049036</v>
      </c>
      <c r="C1895" s="39">
        <f t="shared" si="93"/>
        <v>6954000000</v>
      </c>
      <c r="D1895" s="76">
        <f t="shared" si="94"/>
        <v>1076484330.2950964</v>
      </c>
    </row>
    <row r="1896" spans="1:4" x14ac:dyDescent="0.3">
      <c r="A1896">
        <v>915500</v>
      </c>
      <c r="B1896" s="29">
        <f t="shared" si="92"/>
        <v>5880710177.3955631</v>
      </c>
      <c r="C1896" s="39">
        <f t="shared" si="93"/>
        <v>6957800000</v>
      </c>
      <c r="D1896" s="76">
        <f t="shared" si="94"/>
        <v>1077089822.6044369</v>
      </c>
    </row>
    <row r="1897" spans="1:4" x14ac:dyDescent="0.3">
      <c r="A1897">
        <v>916000</v>
      </c>
      <c r="B1897" s="29">
        <f t="shared" si="92"/>
        <v>5883904685.0862236</v>
      </c>
      <c r="C1897" s="39">
        <f t="shared" si="93"/>
        <v>6961600000</v>
      </c>
      <c r="D1897" s="76">
        <f t="shared" si="94"/>
        <v>1077695314.9137764</v>
      </c>
    </row>
    <row r="1898" spans="1:4" x14ac:dyDescent="0.3">
      <c r="A1898">
        <v>916500</v>
      </c>
      <c r="B1898" s="29">
        <f t="shared" si="92"/>
        <v>5887099192.7768831</v>
      </c>
      <c r="C1898" s="39">
        <f t="shared" si="93"/>
        <v>6965400000</v>
      </c>
      <c r="D1898" s="76">
        <f t="shared" si="94"/>
        <v>1078300807.2231169</v>
      </c>
    </row>
    <row r="1899" spans="1:4" x14ac:dyDescent="0.3">
      <c r="A1899">
        <v>917000</v>
      </c>
      <c r="B1899" s="29">
        <f t="shared" si="92"/>
        <v>5890293700.4675436</v>
      </c>
      <c r="C1899" s="39">
        <f t="shared" si="93"/>
        <v>6969200000</v>
      </c>
      <c r="D1899" s="76">
        <f t="shared" si="94"/>
        <v>1078906299.5324564</v>
      </c>
    </row>
    <row r="1900" spans="1:4" x14ac:dyDescent="0.3">
      <c r="A1900">
        <v>917500</v>
      </c>
      <c r="B1900" s="29">
        <f t="shared" si="92"/>
        <v>5893488208.1582031</v>
      </c>
      <c r="C1900" s="39">
        <f t="shared" si="93"/>
        <v>6973000000</v>
      </c>
      <c r="D1900" s="76">
        <f t="shared" si="94"/>
        <v>1079511791.8417969</v>
      </c>
    </row>
    <row r="1901" spans="1:4" x14ac:dyDescent="0.3">
      <c r="A1901">
        <v>918000</v>
      </c>
      <c r="B1901" s="29">
        <f t="shared" si="92"/>
        <v>5896682715.8488636</v>
      </c>
      <c r="C1901" s="39">
        <f t="shared" si="93"/>
        <v>6976800000</v>
      </c>
      <c r="D1901" s="76">
        <f t="shared" si="94"/>
        <v>1080117284.1511364</v>
      </c>
    </row>
    <row r="1902" spans="1:4" x14ac:dyDescent="0.3">
      <c r="A1902">
        <v>918500</v>
      </c>
      <c r="B1902" s="29">
        <f t="shared" si="92"/>
        <v>5899877223.5395231</v>
      </c>
      <c r="C1902" s="39">
        <f t="shared" si="93"/>
        <v>6980600000</v>
      </c>
      <c r="D1902" s="76">
        <f t="shared" si="94"/>
        <v>1080722776.4604769</v>
      </c>
    </row>
    <row r="1903" spans="1:4" x14ac:dyDescent="0.3">
      <c r="A1903">
        <v>919000</v>
      </c>
      <c r="B1903" s="29">
        <f t="shared" si="92"/>
        <v>5903071731.2301836</v>
      </c>
      <c r="C1903" s="39">
        <f t="shared" si="93"/>
        <v>6984400000</v>
      </c>
      <c r="D1903" s="76">
        <f t="shared" si="94"/>
        <v>1081328268.7698164</v>
      </c>
    </row>
    <row r="1904" spans="1:4" x14ac:dyDescent="0.3">
      <c r="A1904">
        <v>919500</v>
      </c>
      <c r="B1904" s="29">
        <f t="shared" si="92"/>
        <v>5906266238.9208431</v>
      </c>
      <c r="C1904" s="39">
        <f t="shared" si="93"/>
        <v>6988200000</v>
      </c>
      <c r="D1904" s="76">
        <f t="shared" si="94"/>
        <v>1081933761.0791569</v>
      </c>
    </row>
    <row r="1905" spans="1:4" x14ac:dyDescent="0.3">
      <c r="A1905">
        <v>920000</v>
      </c>
      <c r="B1905" s="29">
        <f t="shared" si="92"/>
        <v>5909460746.6115036</v>
      </c>
      <c r="C1905" s="39">
        <f t="shared" si="93"/>
        <v>6992000000</v>
      </c>
      <c r="D1905" s="76">
        <f t="shared" si="94"/>
        <v>1082539253.3884964</v>
      </c>
    </row>
    <row r="1906" spans="1:4" x14ac:dyDescent="0.3">
      <c r="A1906">
        <v>920500</v>
      </c>
      <c r="B1906" s="29">
        <f t="shared" si="92"/>
        <v>5912655254.3021631</v>
      </c>
      <c r="C1906" s="39">
        <f t="shared" si="93"/>
        <v>6995800000</v>
      </c>
      <c r="D1906" s="76">
        <f t="shared" si="94"/>
        <v>1083144745.6978369</v>
      </c>
    </row>
    <row r="1907" spans="1:4" x14ac:dyDescent="0.3">
      <c r="A1907">
        <v>921000</v>
      </c>
      <c r="B1907" s="29">
        <f t="shared" si="92"/>
        <v>5915849761.9928236</v>
      </c>
      <c r="C1907" s="39">
        <f t="shared" si="93"/>
        <v>6999600000</v>
      </c>
      <c r="D1907" s="76">
        <f t="shared" si="94"/>
        <v>1083750238.0071764</v>
      </c>
    </row>
    <row r="1908" spans="1:4" x14ac:dyDescent="0.3">
      <c r="A1908">
        <v>921500</v>
      </c>
      <c r="B1908" s="29">
        <f t="shared" si="92"/>
        <v>5919044269.6834831</v>
      </c>
      <c r="C1908" s="39">
        <f t="shared" si="93"/>
        <v>7003400000</v>
      </c>
      <c r="D1908" s="76">
        <f t="shared" si="94"/>
        <v>1084355730.3165169</v>
      </c>
    </row>
    <row r="1909" spans="1:4" x14ac:dyDescent="0.3">
      <c r="A1909">
        <v>922000</v>
      </c>
      <c r="B1909" s="29">
        <f t="shared" si="92"/>
        <v>5922238777.3741436</v>
      </c>
      <c r="C1909" s="39">
        <f t="shared" si="93"/>
        <v>7007200000</v>
      </c>
      <c r="D1909" s="76">
        <f t="shared" si="94"/>
        <v>1084961222.6258564</v>
      </c>
    </row>
    <row r="1910" spans="1:4" x14ac:dyDescent="0.3">
      <c r="A1910">
        <v>922500</v>
      </c>
      <c r="B1910" s="29">
        <f t="shared" si="92"/>
        <v>5925433285.0648031</v>
      </c>
      <c r="C1910" s="39">
        <f t="shared" si="93"/>
        <v>7011000000</v>
      </c>
      <c r="D1910" s="76">
        <f t="shared" si="94"/>
        <v>1085566714.9351969</v>
      </c>
    </row>
    <row r="1911" spans="1:4" x14ac:dyDescent="0.3">
      <c r="A1911">
        <v>923000</v>
      </c>
      <c r="B1911" s="29">
        <f t="shared" si="92"/>
        <v>5928627792.7554636</v>
      </c>
      <c r="C1911" s="39">
        <f t="shared" si="93"/>
        <v>7014800000</v>
      </c>
      <c r="D1911" s="76">
        <f t="shared" si="94"/>
        <v>1086172207.2445364</v>
      </c>
    </row>
    <row r="1912" spans="1:4" x14ac:dyDescent="0.3">
      <c r="A1912">
        <v>923500</v>
      </c>
      <c r="B1912" s="29">
        <f t="shared" si="92"/>
        <v>5931822300.4461231</v>
      </c>
      <c r="C1912" s="39">
        <f t="shared" si="93"/>
        <v>7018600000</v>
      </c>
      <c r="D1912" s="76">
        <f t="shared" si="94"/>
        <v>1086777699.5538769</v>
      </c>
    </row>
    <row r="1913" spans="1:4" x14ac:dyDescent="0.3">
      <c r="A1913">
        <v>924000</v>
      </c>
      <c r="B1913" s="29">
        <f t="shared" si="92"/>
        <v>5935016808.1367836</v>
      </c>
      <c r="C1913" s="39">
        <f t="shared" si="93"/>
        <v>7022400000</v>
      </c>
      <c r="D1913" s="76">
        <f t="shared" si="94"/>
        <v>1087383191.8632164</v>
      </c>
    </row>
    <row r="1914" spans="1:4" x14ac:dyDescent="0.3">
      <c r="A1914">
        <v>924500</v>
      </c>
      <c r="B1914" s="29">
        <f t="shared" si="92"/>
        <v>5938211315.8274431</v>
      </c>
      <c r="C1914" s="39">
        <f t="shared" si="93"/>
        <v>7026200000</v>
      </c>
      <c r="D1914" s="76">
        <f t="shared" si="94"/>
        <v>1087988684.1725569</v>
      </c>
    </row>
    <row r="1915" spans="1:4" x14ac:dyDescent="0.3">
      <c r="A1915">
        <v>925000</v>
      </c>
      <c r="B1915" s="29">
        <f t="shared" si="92"/>
        <v>5941405823.5181036</v>
      </c>
      <c r="C1915" s="39">
        <f t="shared" si="93"/>
        <v>7030000000</v>
      </c>
      <c r="D1915" s="76">
        <f t="shared" si="94"/>
        <v>1088594176.4818964</v>
      </c>
    </row>
    <row r="1916" spans="1:4" x14ac:dyDescent="0.3">
      <c r="A1916">
        <v>925500</v>
      </c>
      <c r="B1916" s="29">
        <f t="shared" si="92"/>
        <v>5944600331.2087631</v>
      </c>
      <c r="C1916" s="39">
        <f t="shared" si="93"/>
        <v>7033800000</v>
      </c>
      <c r="D1916" s="76">
        <f t="shared" si="94"/>
        <v>1089199668.7912369</v>
      </c>
    </row>
    <row r="1917" spans="1:4" x14ac:dyDescent="0.3">
      <c r="A1917">
        <v>926000</v>
      </c>
      <c r="B1917" s="29">
        <f t="shared" si="92"/>
        <v>5947794838.8994236</v>
      </c>
      <c r="C1917" s="39">
        <f t="shared" si="93"/>
        <v>7037600000</v>
      </c>
      <c r="D1917" s="76">
        <f t="shared" si="94"/>
        <v>1089805161.1005764</v>
      </c>
    </row>
    <row r="1918" spans="1:4" x14ac:dyDescent="0.3">
      <c r="A1918">
        <v>926500</v>
      </c>
      <c r="B1918" s="29">
        <f t="shared" si="92"/>
        <v>5950989346.5900831</v>
      </c>
      <c r="C1918" s="39">
        <f t="shared" si="93"/>
        <v>7041400000</v>
      </c>
      <c r="D1918" s="76">
        <f t="shared" si="94"/>
        <v>1090410653.4099169</v>
      </c>
    </row>
    <row r="1919" spans="1:4" x14ac:dyDescent="0.3">
      <c r="A1919">
        <v>927000</v>
      </c>
      <c r="B1919" s="29">
        <f t="shared" si="92"/>
        <v>5954183854.2807436</v>
      </c>
      <c r="C1919" s="39">
        <f t="shared" si="93"/>
        <v>7045200000</v>
      </c>
      <c r="D1919" s="76">
        <f t="shared" si="94"/>
        <v>1091016145.7192564</v>
      </c>
    </row>
    <row r="1920" spans="1:4" x14ac:dyDescent="0.3">
      <c r="A1920">
        <v>927500</v>
      </c>
      <c r="B1920" s="29">
        <f t="shared" si="92"/>
        <v>5957378361.9714031</v>
      </c>
      <c r="C1920" s="39">
        <f t="shared" si="93"/>
        <v>7049000000</v>
      </c>
      <c r="D1920" s="76">
        <f t="shared" si="94"/>
        <v>1091621638.0285969</v>
      </c>
    </row>
    <row r="1921" spans="1:4" x14ac:dyDescent="0.3">
      <c r="A1921">
        <v>928000</v>
      </c>
      <c r="B1921" s="29">
        <f t="shared" si="92"/>
        <v>5960572869.6620636</v>
      </c>
      <c r="C1921" s="39">
        <f t="shared" si="93"/>
        <v>7052800000</v>
      </c>
      <c r="D1921" s="76">
        <f t="shared" si="94"/>
        <v>1092227130.3379364</v>
      </c>
    </row>
    <row r="1922" spans="1:4" x14ac:dyDescent="0.3">
      <c r="A1922">
        <v>928500</v>
      </c>
      <c r="B1922" s="29">
        <f t="shared" ref="B1922:B1985" si="95">$B$54+($B$60*A1922)</f>
        <v>5963767377.3527231</v>
      </c>
      <c r="C1922" s="39">
        <f t="shared" ref="C1922:C1985" si="96">$E$50*A1922</f>
        <v>7056600000</v>
      </c>
      <c r="D1922" s="76">
        <f t="shared" ref="D1922:D1985" si="97">C1922-B1922</f>
        <v>1092832622.6472769</v>
      </c>
    </row>
    <row r="1923" spans="1:4" x14ac:dyDescent="0.3">
      <c r="A1923">
        <v>929000</v>
      </c>
      <c r="B1923" s="29">
        <f t="shared" si="95"/>
        <v>5966961885.0433836</v>
      </c>
      <c r="C1923" s="39">
        <f t="shared" si="96"/>
        <v>7060400000</v>
      </c>
      <c r="D1923" s="76">
        <f t="shared" si="97"/>
        <v>1093438114.9566164</v>
      </c>
    </row>
    <row r="1924" spans="1:4" x14ac:dyDescent="0.3">
      <c r="A1924">
        <v>929500</v>
      </c>
      <c r="B1924" s="29">
        <f t="shared" si="95"/>
        <v>5970156392.7340431</v>
      </c>
      <c r="C1924" s="39">
        <f t="shared" si="96"/>
        <v>7064200000</v>
      </c>
      <c r="D1924" s="76">
        <f t="shared" si="97"/>
        <v>1094043607.2659569</v>
      </c>
    </row>
    <row r="1925" spans="1:4" x14ac:dyDescent="0.3">
      <c r="A1925">
        <v>930000</v>
      </c>
      <c r="B1925" s="29">
        <f t="shared" si="95"/>
        <v>5973350900.4247036</v>
      </c>
      <c r="C1925" s="39">
        <f t="shared" si="96"/>
        <v>7068000000</v>
      </c>
      <c r="D1925" s="76">
        <f t="shared" si="97"/>
        <v>1094649099.5752964</v>
      </c>
    </row>
    <row r="1926" spans="1:4" x14ac:dyDescent="0.3">
      <c r="A1926">
        <v>930500</v>
      </c>
      <c r="B1926" s="29">
        <f t="shared" si="95"/>
        <v>5976545408.1153631</v>
      </c>
      <c r="C1926" s="39">
        <f t="shared" si="96"/>
        <v>7071800000</v>
      </c>
      <c r="D1926" s="76">
        <f t="shared" si="97"/>
        <v>1095254591.8846369</v>
      </c>
    </row>
    <row r="1927" spans="1:4" x14ac:dyDescent="0.3">
      <c r="A1927">
        <v>931000</v>
      </c>
      <c r="B1927" s="29">
        <f t="shared" si="95"/>
        <v>5979739915.8060236</v>
      </c>
      <c r="C1927" s="39">
        <f t="shared" si="96"/>
        <v>7075600000</v>
      </c>
      <c r="D1927" s="76">
        <f t="shared" si="97"/>
        <v>1095860084.1939764</v>
      </c>
    </row>
    <row r="1928" spans="1:4" x14ac:dyDescent="0.3">
      <c r="A1928">
        <v>931500</v>
      </c>
      <c r="B1928" s="29">
        <f t="shared" si="95"/>
        <v>5982934423.4966831</v>
      </c>
      <c r="C1928" s="39">
        <f t="shared" si="96"/>
        <v>7079400000</v>
      </c>
      <c r="D1928" s="76">
        <f t="shared" si="97"/>
        <v>1096465576.5033169</v>
      </c>
    </row>
    <row r="1929" spans="1:4" x14ac:dyDescent="0.3">
      <c r="A1929">
        <v>932000</v>
      </c>
      <c r="B1929" s="29">
        <f t="shared" si="95"/>
        <v>5986128931.1873436</v>
      </c>
      <c r="C1929" s="39">
        <f t="shared" si="96"/>
        <v>7083200000</v>
      </c>
      <c r="D1929" s="76">
        <f t="shared" si="97"/>
        <v>1097071068.8126564</v>
      </c>
    </row>
    <row r="1930" spans="1:4" x14ac:dyDescent="0.3">
      <c r="A1930">
        <v>932500</v>
      </c>
      <c r="B1930" s="29">
        <f t="shared" si="95"/>
        <v>5989323438.8780031</v>
      </c>
      <c r="C1930" s="39">
        <f t="shared" si="96"/>
        <v>7087000000</v>
      </c>
      <c r="D1930" s="76">
        <f t="shared" si="97"/>
        <v>1097676561.1219969</v>
      </c>
    </row>
    <row r="1931" spans="1:4" x14ac:dyDescent="0.3">
      <c r="A1931">
        <v>933000</v>
      </c>
      <c r="B1931" s="29">
        <f t="shared" si="95"/>
        <v>5992517946.5686636</v>
      </c>
      <c r="C1931" s="39">
        <f t="shared" si="96"/>
        <v>7090800000</v>
      </c>
      <c r="D1931" s="76">
        <f t="shared" si="97"/>
        <v>1098282053.4313364</v>
      </c>
    </row>
    <row r="1932" spans="1:4" x14ac:dyDescent="0.3">
      <c r="A1932">
        <v>933500</v>
      </c>
      <c r="B1932" s="29">
        <f t="shared" si="95"/>
        <v>5995712454.2593231</v>
      </c>
      <c r="C1932" s="39">
        <f t="shared" si="96"/>
        <v>7094600000</v>
      </c>
      <c r="D1932" s="76">
        <f t="shared" si="97"/>
        <v>1098887545.7406769</v>
      </c>
    </row>
    <row r="1933" spans="1:4" x14ac:dyDescent="0.3">
      <c r="A1933">
        <v>934000</v>
      </c>
      <c r="B1933" s="29">
        <f t="shared" si="95"/>
        <v>5998906961.9499836</v>
      </c>
      <c r="C1933" s="39">
        <f t="shared" si="96"/>
        <v>7098400000</v>
      </c>
      <c r="D1933" s="76">
        <f t="shared" si="97"/>
        <v>1099493038.0500164</v>
      </c>
    </row>
    <row r="1934" spans="1:4" x14ac:dyDescent="0.3">
      <c r="A1934">
        <v>934500</v>
      </c>
      <c r="B1934" s="29">
        <f t="shared" si="95"/>
        <v>6002101469.6406431</v>
      </c>
      <c r="C1934" s="39">
        <f t="shared" si="96"/>
        <v>7102200000</v>
      </c>
      <c r="D1934" s="76">
        <f t="shared" si="97"/>
        <v>1100098530.3593569</v>
      </c>
    </row>
    <row r="1935" spans="1:4" x14ac:dyDescent="0.3">
      <c r="A1935">
        <v>935000</v>
      </c>
      <c r="B1935" s="29">
        <f t="shared" si="95"/>
        <v>6005295977.3313036</v>
      </c>
      <c r="C1935" s="39">
        <f t="shared" si="96"/>
        <v>7106000000</v>
      </c>
      <c r="D1935" s="76">
        <f t="shared" si="97"/>
        <v>1100704022.6686964</v>
      </c>
    </row>
    <row r="1936" spans="1:4" x14ac:dyDescent="0.3">
      <c r="A1936">
        <v>935500</v>
      </c>
      <c r="B1936" s="29">
        <f t="shared" si="95"/>
        <v>6008490485.0219631</v>
      </c>
      <c r="C1936" s="39">
        <f t="shared" si="96"/>
        <v>7109800000</v>
      </c>
      <c r="D1936" s="76">
        <f t="shared" si="97"/>
        <v>1101309514.9780369</v>
      </c>
    </row>
    <row r="1937" spans="1:4" x14ac:dyDescent="0.3">
      <c r="A1937">
        <v>936000</v>
      </c>
      <c r="B1937" s="29">
        <f t="shared" si="95"/>
        <v>6011684992.7126236</v>
      </c>
      <c r="C1937" s="39">
        <f t="shared" si="96"/>
        <v>7113600000</v>
      </c>
      <c r="D1937" s="76">
        <f t="shared" si="97"/>
        <v>1101915007.2873764</v>
      </c>
    </row>
    <row r="1938" spans="1:4" x14ac:dyDescent="0.3">
      <c r="A1938">
        <v>936500</v>
      </c>
      <c r="B1938" s="29">
        <f t="shared" si="95"/>
        <v>6014879500.4032831</v>
      </c>
      <c r="C1938" s="39">
        <f t="shared" si="96"/>
        <v>7117400000</v>
      </c>
      <c r="D1938" s="76">
        <f t="shared" si="97"/>
        <v>1102520499.5967169</v>
      </c>
    </row>
    <row r="1939" spans="1:4" x14ac:dyDescent="0.3">
      <c r="A1939">
        <v>937000</v>
      </c>
      <c r="B1939" s="29">
        <f t="shared" si="95"/>
        <v>6018074008.0939436</v>
      </c>
      <c r="C1939" s="39">
        <f t="shared" si="96"/>
        <v>7121200000</v>
      </c>
      <c r="D1939" s="76">
        <f t="shared" si="97"/>
        <v>1103125991.9060564</v>
      </c>
    </row>
    <row r="1940" spans="1:4" x14ac:dyDescent="0.3">
      <c r="A1940">
        <v>937500</v>
      </c>
      <c r="B1940" s="29">
        <f t="shared" si="95"/>
        <v>6021268515.7846031</v>
      </c>
      <c r="C1940" s="39">
        <f t="shared" si="96"/>
        <v>7125000000</v>
      </c>
      <c r="D1940" s="76">
        <f t="shared" si="97"/>
        <v>1103731484.2153969</v>
      </c>
    </row>
    <row r="1941" spans="1:4" x14ac:dyDescent="0.3">
      <c r="A1941">
        <v>938000</v>
      </c>
      <c r="B1941" s="29">
        <f t="shared" si="95"/>
        <v>6024463023.4752636</v>
      </c>
      <c r="C1941" s="39">
        <f t="shared" si="96"/>
        <v>7128800000</v>
      </c>
      <c r="D1941" s="76">
        <f t="shared" si="97"/>
        <v>1104336976.5247364</v>
      </c>
    </row>
    <row r="1942" spans="1:4" x14ac:dyDescent="0.3">
      <c r="A1942">
        <v>938500</v>
      </c>
      <c r="B1942" s="29">
        <f t="shared" si="95"/>
        <v>6027657531.1659231</v>
      </c>
      <c r="C1942" s="39">
        <f t="shared" si="96"/>
        <v>7132600000</v>
      </c>
      <c r="D1942" s="76">
        <f t="shared" si="97"/>
        <v>1104942468.8340769</v>
      </c>
    </row>
    <row r="1943" spans="1:4" x14ac:dyDescent="0.3">
      <c r="A1943">
        <v>939000</v>
      </c>
      <c r="B1943" s="29">
        <f t="shared" si="95"/>
        <v>6030852038.8565836</v>
      </c>
      <c r="C1943" s="39">
        <f t="shared" si="96"/>
        <v>7136400000</v>
      </c>
      <c r="D1943" s="76">
        <f t="shared" si="97"/>
        <v>1105547961.1434164</v>
      </c>
    </row>
    <row r="1944" spans="1:4" x14ac:dyDescent="0.3">
      <c r="A1944">
        <v>939500</v>
      </c>
      <c r="B1944" s="29">
        <f t="shared" si="95"/>
        <v>6034046546.5472431</v>
      </c>
      <c r="C1944" s="39">
        <f t="shared" si="96"/>
        <v>7140200000</v>
      </c>
      <c r="D1944" s="76">
        <f t="shared" si="97"/>
        <v>1106153453.4527569</v>
      </c>
    </row>
    <row r="1945" spans="1:4" x14ac:dyDescent="0.3">
      <c r="A1945">
        <v>940000</v>
      </c>
      <c r="B1945" s="29">
        <f t="shared" si="95"/>
        <v>6037241054.2379036</v>
      </c>
      <c r="C1945" s="39">
        <f t="shared" si="96"/>
        <v>7144000000</v>
      </c>
      <c r="D1945" s="76">
        <f t="shared" si="97"/>
        <v>1106758945.7620964</v>
      </c>
    </row>
    <row r="1946" spans="1:4" x14ac:dyDescent="0.3">
      <c r="A1946">
        <v>940500</v>
      </c>
      <c r="B1946" s="29">
        <f t="shared" si="95"/>
        <v>6040435561.9285631</v>
      </c>
      <c r="C1946" s="39">
        <f t="shared" si="96"/>
        <v>7147800000</v>
      </c>
      <c r="D1946" s="76">
        <f t="shared" si="97"/>
        <v>1107364438.0714369</v>
      </c>
    </row>
    <row r="1947" spans="1:4" x14ac:dyDescent="0.3">
      <c r="A1947">
        <v>941000</v>
      </c>
      <c r="B1947" s="29">
        <f t="shared" si="95"/>
        <v>6043630069.6192236</v>
      </c>
      <c r="C1947" s="39">
        <f t="shared" si="96"/>
        <v>7151600000</v>
      </c>
      <c r="D1947" s="76">
        <f t="shared" si="97"/>
        <v>1107969930.3807764</v>
      </c>
    </row>
    <row r="1948" spans="1:4" x14ac:dyDescent="0.3">
      <c r="A1948">
        <v>941500</v>
      </c>
      <c r="B1948" s="29">
        <f t="shared" si="95"/>
        <v>6046824577.3098831</v>
      </c>
      <c r="C1948" s="39">
        <f t="shared" si="96"/>
        <v>7155400000</v>
      </c>
      <c r="D1948" s="76">
        <f t="shared" si="97"/>
        <v>1108575422.6901169</v>
      </c>
    </row>
    <row r="1949" spans="1:4" x14ac:dyDescent="0.3">
      <c r="A1949">
        <v>942000</v>
      </c>
      <c r="B1949" s="29">
        <f t="shared" si="95"/>
        <v>6050019085.0005436</v>
      </c>
      <c r="C1949" s="39">
        <f t="shared" si="96"/>
        <v>7159200000</v>
      </c>
      <c r="D1949" s="76">
        <f t="shared" si="97"/>
        <v>1109180914.9994564</v>
      </c>
    </row>
    <row r="1950" spans="1:4" x14ac:dyDescent="0.3">
      <c r="A1950">
        <v>942500</v>
      </c>
      <c r="B1950" s="29">
        <f t="shared" si="95"/>
        <v>6053213592.6912031</v>
      </c>
      <c r="C1950" s="39">
        <f t="shared" si="96"/>
        <v>7163000000</v>
      </c>
      <c r="D1950" s="76">
        <f t="shared" si="97"/>
        <v>1109786407.3087969</v>
      </c>
    </row>
    <row r="1951" spans="1:4" x14ac:dyDescent="0.3">
      <c r="A1951">
        <v>943000</v>
      </c>
      <c r="B1951" s="29">
        <f t="shared" si="95"/>
        <v>6056408100.3818636</v>
      </c>
      <c r="C1951" s="39">
        <f t="shared" si="96"/>
        <v>7166800000</v>
      </c>
      <c r="D1951" s="76">
        <f t="shared" si="97"/>
        <v>1110391899.6181364</v>
      </c>
    </row>
    <row r="1952" spans="1:4" x14ac:dyDescent="0.3">
      <c r="A1952">
        <v>943500</v>
      </c>
      <c r="B1952" s="29">
        <f t="shared" si="95"/>
        <v>6059602608.0725231</v>
      </c>
      <c r="C1952" s="39">
        <f t="shared" si="96"/>
        <v>7170600000</v>
      </c>
      <c r="D1952" s="76">
        <f t="shared" si="97"/>
        <v>1110997391.9274769</v>
      </c>
    </row>
    <row r="1953" spans="1:4" x14ac:dyDescent="0.3">
      <c r="A1953">
        <v>944000</v>
      </c>
      <c r="B1953" s="29">
        <f t="shared" si="95"/>
        <v>6062797115.7631836</v>
      </c>
      <c r="C1953" s="39">
        <f t="shared" si="96"/>
        <v>7174400000</v>
      </c>
      <c r="D1953" s="76">
        <f t="shared" si="97"/>
        <v>1111602884.2368164</v>
      </c>
    </row>
    <row r="1954" spans="1:4" x14ac:dyDescent="0.3">
      <c r="A1954">
        <v>944500</v>
      </c>
      <c r="B1954" s="29">
        <f t="shared" si="95"/>
        <v>6065991623.4538431</v>
      </c>
      <c r="C1954" s="39">
        <f t="shared" si="96"/>
        <v>7178200000</v>
      </c>
      <c r="D1954" s="76">
        <f t="shared" si="97"/>
        <v>1112208376.5461569</v>
      </c>
    </row>
    <row r="1955" spans="1:4" x14ac:dyDescent="0.3">
      <c r="A1955">
        <v>945000</v>
      </c>
      <c r="B1955" s="29">
        <f t="shared" si="95"/>
        <v>6069186131.1445036</v>
      </c>
      <c r="C1955" s="39">
        <f t="shared" si="96"/>
        <v>7182000000</v>
      </c>
      <c r="D1955" s="76">
        <f t="shared" si="97"/>
        <v>1112813868.8554964</v>
      </c>
    </row>
    <row r="1956" spans="1:4" x14ac:dyDescent="0.3">
      <c r="A1956">
        <v>945500</v>
      </c>
      <c r="B1956" s="29">
        <f t="shared" si="95"/>
        <v>6072380638.8351631</v>
      </c>
      <c r="C1956" s="39">
        <f t="shared" si="96"/>
        <v>7185800000</v>
      </c>
      <c r="D1956" s="76">
        <f t="shared" si="97"/>
        <v>1113419361.1648369</v>
      </c>
    </row>
    <row r="1957" spans="1:4" x14ac:dyDescent="0.3">
      <c r="A1957">
        <v>946000</v>
      </c>
      <c r="B1957" s="29">
        <f t="shared" si="95"/>
        <v>6075575146.5258236</v>
      </c>
      <c r="C1957" s="39">
        <f t="shared" si="96"/>
        <v>7189600000</v>
      </c>
      <c r="D1957" s="76">
        <f t="shared" si="97"/>
        <v>1114024853.4741764</v>
      </c>
    </row>
    <row r="1958" spans="1:4" x14ac:dyDescent="0.3">
      <c r="A1958">
        <v>946500</v>
      </c>
      <c r="B1958" s="29">
        <f t="shared" si="95"/>
        <v>6078769654.2164831</v>
      </c>
      <c r="C1958" s="39">
        <f t="shared" si="96"/>
        <v>7193400000</v>
      </c>
      <c r="D1958" s="76">
        <f t="shared" si="97"/>
        <v>1114630345.7835169</v>
      </c>
    </row>
    <row r="1959" spans="1:4" x14ac:dyDescent="0.3">
      <c r="A1959">
        <v>947000</v>
      </c>
      <c r="B1959" s="29">
        <f t="shared" si="95"/>
        <v>6081964161.9071436</v>
      </c>
      <c r="C1959" s="39">
        <f t="shared" si="96"/>
        <v>7197200000</v>
      </c>
      <c r="D1959" s="76">
        <f t="shared" si="97"/>
        <v>1115235838.0928564</v>
      </c>
    </row>
    <row r="1960" spans="1:4" x14ac:dyDescent="0.3">
      <c r="A1960">
        <v>947500</v>
      </c>
      <c r="B1960" s="29">
        <f t="shared" si="95"/>
        <v>6085158669.5978031</v>
      </c>
      <c r="C1960" s="39">
        <f t="shared" si="96"/>
        <v>7201000000</v>
      </c>
      <c r="D1960" s="76">
        <f t="shared" si="97"/>
        <v>1115841330.4021969</v>
      </c>
    </row>
    <row r="1961" spans="1:4" x14ac:dyDescent="0.3">
      <c r="A1961">
        <v>948000</v>
      </c>
      <c r="B1961" s="29">
        <f t="shared" si="95"/>
        <v>6088353177.2884636</v>
      </c>
      <c r="C1961" s="39">
        <f t="shared" si="96"/>
        <v>7204800000</v>
      </c>
      <c r="D1961" s="76">
        <f t="shared" si="97"/>
        <v>1116446822.7115364</v>
      </c>
    </row>
    <row r="1962" spans="1:4" x14ac:dyDescent="0.3">
      <c r="A1962">
        <v>948500</v>
      </c>
      <c r="B1962" s="29">
        <f t="shared" si="95"/>
        <v>6091547684.9791231</v>
      </c>
      <c r="C1962" s="39">
        <f t="shared" si="96"/>
        <v>7208600000</v>
      </c>
      <c r="D1962" s="76">
        <f t="shared" si="97"/>
        <v>1117052315.0208769</v>
      </c>
    </row>
    <row r="1963" spans="1:4" x14ac:dyDescent="0.3">
      <c r="A1963">
        <v>949000</v>
      </c>
      <c r="B1963" s="29">
        <f t="shared" si="95"/>
        <v>6094742192.6697836</v>
      </c>
      <c r="C1963" s="39">
        <f t="shared" si="96"/>
        <v>7212400000</v>
      </c>
      <c r="D1963" s="76">
        <f t="shared" si="97"/>
        <v>1117657807.3302164</v>
      </c>
    </row>
    <row r="1964" spans="1:4" x14ac:dyDescent="0.3">
      <c r="A1964">
        <v>949500</v>
      </c>
      <c r="B1964" s="29">
        <f t="shared" si="95"/>
        <v>6097936700.3604431</v>
      </c>
      <c r="C1964" s="39">
        <f t="shared" si="96"/>
        <v>7216200000</v>
      </c>
      <c r="D1964" s="76">
        <f t="shared" si="97"/>
        <v>1118263299.6395569</v>
      </c>
    </row>
    <row r="1965" spans="1:4" x14ac:dyDescent="0.3">
      <c r="A1965">
        <v>950000</v>
      </c>
      <c r="B1965" s="29">
        <f t="shared" si="95"/>
        <v>6101131208.0511036</v>
      </c>
      <c r="C1965" s="39">
        <f t="shared" si="96"/>
        <v>7220000000</v>
      </c>
      <c r="D1965" s="76">
        <f t="shared" si="97"/>
        <v>1118868791.9488964</v>
      </c>
    </row>
    <row r="1966" spans="1:4" x14ac:dyDescent="0.3">
      <c r="A1966">
        <v>950500</v>
      </c>
      <c r="B1966" s="29">
        <f t="shared" si="95"/>
        <v>6104325715.7417631</v>
      </c>
      <c r="C1966" s="39">
        <f t="shared" si="96"/>
        <v>7223800000</v>
      </c>
      <c r="D1966" s="76">
        <f t="shared" si="97"/>
        <v>1119474284.2582369</v>
      </c>
    </row>
    <row r="1967" spans="1:4" x14ac:dyDescent="0.3">
      <c r="A1967">
        <v>951000</v>
      </c>
      <c r="B1967" s="29">
        <f t="shared" si="95"/>
        <v>6107520223.4324236</v>
      </c>
      <c r="C1967" s="39">
        <f t="shared" si="96"/>
        <v>7227600000</v>
      </c>
      <c r="D1967" s="76">
        <f t="shared" si="97"/>
        <v>1120079776.5675764</v>
      </c>
    </row>
    <row r="1968" spans="1:4" x14ac:dyDescent="0.3">
      <c r="A1968">
        <v>951500</v>
      </c>
      <c r="B1968" s="29">
        <f t="shared" si="95"/>
        <v>6110714731.1230831</v>
      </c>
      <c r="C1968" s="39">
        <f t="shared" si="96"/>
        <v>7231400000</v>
      </c>
      <c r="D1968" s="76">
        <f t="shared" si="97"/>
        <v>1120685268.8769169</v>
      </c>
    </row>
    <row r="1969" spans="1:4" x14ac:dyDescent="0.3">
      <c r="A1969">
        <v>952000</v>
      </c>
      <c r="B1969" s="29">
        <f t="shared" si="95"/>
        <v>6113909238.8137436</v>
      </c>
      <c r="C1969" s="39">
        <f t="shared" si="96"/>
        <v>7235200000</v>
      </c>
      <c r="D1969" s="76">
        <f t="shared" si="97"/>
        <v>1121290761.1862564</v>
      </c>
    </row>
    <row r="1970" spans="1:4" x14ac:dyDescent="0.3">
      <c r="A1970">
        <v>952500</v>
      </c>
      <c r="B1970" s="29">
        <f t="shared" si="95"/>
        <v>6117103746.5044031</v>
      </c>
      <c r="C1970" s="39">
        <f t="shared" si="96"/>
        <v>7239000000</v>
      </c>
      <c r="D1970" s="76">
        <f t="shared" si="97"/>
        <v>1121896253.4955969</v>
      </c>
    </row>
    <row r="1971" spans="1:4" x14ac:dyDescent="0.3">
      <c r="A1971">
        <v>953000</v>
      </c>
      <c r="B1971" s="29">
        <f t="shared" si="95"/>
        <v>6120298254.1950636</v>
      </c>
      <c r="C1971" s="39">
        <f t="shared" si="96"/>
        <v>7242800000</v>
      </c>
      <c r="D1971" s="76">
        <f t="shared" si="97"/>
        <v>1122501745.8049364</v>
      </c>
    </row>
    <row r="1972" spans="1:4" x14ac:dyDescent="0.3">
      <c r="A1972">
        <v>953500</v>
      </c>
      <c r="B1972" s="29">
        <f t="shared" si="95"/>
        <v>6123492761.8857231</v>
      </c>
      <c r="C1972" s="39">
        <f t="shared" si="96"/>
        <v>7246600000</v>
      </c>
      <c r="D1972" s="76">
        <f t="shared" si="97"/>
        <v>1123107238.1142769</v>
      </c>
    </row>
    <row r="1973" spans="1:4" x14ac:dyDescent="0.3">
      <c r="A1973">
        <v>954000</v>
      </c>
      <c r="B1973" s="29">
        <f t="shared" si="95"/>
        <v>6126687269.5763836</v>
      </c>
      <c r="C1973" s="39">
        <f t="shared" si="96"/>
        <v>7250400000</v>
      </c>
      <c r="D1973" s="76">
        <f t="shared" si="97"/>
        <v>1123712730.4236164</v>
      </c>
    </row>
    <row r="1974" spans="1:4" x14ac:dyDescent="0.3">
      <c r="A1974">
        <v>954500</v>
      </c>
      <c r="B1974" s="29">
        <f t="shared" si="95"/>
        <v>6129881777.2670431</v>
      </c>
      <c r="C1974" s="39">
        <f t="shared" si="96"/>
        <v>7254200000</v>
      </c>
      <c r="D1974" s="76">
        <f t="shared" si="97"/>
        <v>1124318222.7329569</v>
      </c>
    </row>
    <row r="1975" spans="1:4" x14ac:dyDescent="0.3">
      <c r="A1975">
        <v>955000</v>
      </c>
      <c r="B1975" s="29">
        <f t="shared" si="95"/>
        <v>6133076284.9577036</v>
      </c>
      <c r="C1975" s="39">
        <f t="shared" si="96"/>
        <v>7258000000</v>
      </c>
      <c r="D1975" s="76">
        <f t="shared" si="97"/>
        <v>1124923715.0422964</v>
      </c>
    </row>
    <row r="1976" spans="1:4" x14ac:dyDescent="0.3">
      <c r="A1976">
        <v>955500</v>
      </c>
      <c r="B1976" s="29">
        <f t="shared" si="95"/>
        <v>6136270792.6483631</v>
      </c>
      <c r="C1976" s="39">
        <f t="shared" si="96"/>
        <v>7261800000</v>
      </c>
      <c r="D1976" s="76">
        <f t="shared" si="97"/>
        <v>1125529207.3516369</v>
      </c>
    </row>
    <row r="1977" spans="1:4" x14ac:dyDescent="0.3">
      <c r="A1977">
        <v>956000</v>
      </c>
      <c r="B1977" s="29">
        <f t="shared" si="95"/>
        <v>6139465300.3390236</v>
      </c>
      <c r="C1977" s="39">
        <f t="shared" si="96"/>
        <v>7265600000</v>
      </c>
      <c r="D1977" s="76">
        <f t="shared" si="97"/>
        <v>1126134699.6609764</v>
      </c>
    </row>
    <row r="1978" spans="1:4" x14ac:dyDescent="0.3">
      <c r="A1978">
        <v>956500</v>
      </c>
      <c r="B1978" s="29">
        <f t="shared" si="95"/>
        <v>6142659808.0296831</v>
      </c>
      <c r="C1978" s="39">
        <f t="shared" si="96"/>
        <v>7269400000</v>
      </c>
      <c r="D1978" s="76">
        <f t="shared" si="97"/>
        <v>1126740191.9703169</v>
      </c>
    </row>
    <row r="1979" spans="1:4" x14ac:dyDescent="0.3">
      <c r="A1979">
        <v>957000</v>
      </c>
      <c r="B1979" s="29">
        <f t="shared" si="95"/>
        <v>6145854315.7203436</v>
      </c>
      <c r="C1979" s="39">
        <f t="shared" si="96"/>
        <v>7273200000</v>
      </c>
      <c r="D1979" s="76">
        <f t="shared" si="97"/>
        <v>1127345684.2796564</v>
      </c>
    </row>
    <row r="1980" spans="1:4" x14ac:dyDescent="0.3">
      <c r="A1980">
        <v>957500</v>
      </c>
      <c r="B1980" s="29">
        <f t="shared" si="95"/>
        <v>6149048823.4110031</v>
      </c>
      <c r="C1980" s="39">
        <f t="shared" si="96"/>
        <v>7277000000</v>
      </c>
      <c r="D1980" s="76">
        <f t="shared" si="97"/>
        <v>1127951176.5889969</v>
      </c>
    </row>
    <row r="1981" spans="1:4" x14ac:dyDescent="0.3">
      <c r="A1981">
        <v>958000</v>
      </c>
      <c r="B1981" s="29">
        <f t="shared" si="95"/>
        <v>6152243331.1016636</v>
      </c>
      <c r="C1981" s="39">
        <f t="shared" si="96"/>
        <v>7280800000</v>
      </c>
      <c r="D1981" s="76">
        <f t="shared" si="97"/>
        <v>1128556668.8983364</v>
      </c>
    </row>
    <row r="1982" spans="1:4" x14ac:dyDescent="0.3">
      <c r="A1982">
        <v>958500</v>
      </c>
      <c r="B1982" s="29">
        <f t="shared" si="95"/>
        <v>6155437838.7923231</v>
      </c>
      <c r="C1982" s="39">
        <f t="shared" si="96"/>
        <v>7284600000</v>
      </c>
      <c r="D1982" s="76">
        <f t="shared" si="97"/>
        <v>1129162161.2076769</v>
      </c>
    </row>
    <row r="1983" spans="1:4" x14ac:dyDescent="0.3">
      <c r="A1983">
        <v>959000</v>
      </c>
      <c r="B1983" s="29">
        <f t="shared" si="95"/>
        <v>6158632346.4829836</v>
      </c>
      <c r="C1983" s="39">
        <f t="shared" si="96"/>
        <v>7288400000</v>
      </c>
      <c r="D1983" s="76">
        <f t="shared" si="97"/>
        <v>1129767653.5170164</v>
      </c>
    </row>
    <row r="1984" spans="1:4" x14ac:dyDescent="0.3">
      <c r="A1984">
        <v>959500</v>
      </c>
      <c r="B1984" s="29">
        <f t="shared" si="95"/>
        <v>6161826854.1736431</v>
      </c>
      <c r="C1984" s="39">
        <f t="shared" si="96"/>
        <v>7292200000</v>
      </c>
      <c r="D1984" s="76">
        <f t="shared" si="97"/>
        <v>1130373145.8263569</v>
      </c>
    </row>
    <row r="1985" spans="1:4" x14ac:dyDescent="0.3">
      <c r="A1985">
        <v>960000</v>
      </c>
      <c r="B1985" s="29">
        <f t="shared" si="95"/>
        <v>6165021361.8643036</v>
      </c>
      <c r="C1985" s="39">
        <f t="shared" si="96"/>
        <v>7296000000</v>
      </c>
      <c r="D1985" s="76">
        <f t="shared" si="97"/>
        <v>1130978638.1356964</v>
      </c>
    </row>
    <row r="1986" spans="1:4" x14ac:dyDescent="0.3">
      <c r="A1986">
        <v>960500</v>
      </c>
      <c r="B1986" s="29">
        <f t="shared" ref="B1986:B2049" si="98">$B$54+($B$60*A1986)</f>
        <v>6168215869.5549631</v>
      </c>
      <c r="C1986" s="39">
        <f t="shared" ref="C1986:C2049" si="99">$E$50*A1986</f>
        <v>7299800000</v>
      </c>
      <c r="D1986" s="76">
        <f t="shared" ref="D1986:D2049" si="100">C1986-B1986</f>
        <v>1131584130.4450369</v>
      </c>
    </row>
    <row r="1987" spans="1:4" x14ac:dyDescent="0.3">
      <c r="A1987">
        <v>961000</v>
      </c>
      <c r="B1987" s="29">
        <f t="shared" si="98"/>
        <v>6171410377.2456236</v>
      </c>
      <c r="C1987" s="39">
        <f t="shared" si="99"/>
        <v>7303600000</v>
      </c>
      <c r="D1987" s="76">
        <f t="shared" si="100"/>
        <v>1132189622.7543764</v>
      </c>
    </row>
    <row r="1988" spans="1:4" x14ac:dyDescent="0.3">
      <c r="A1988">
        <v>961500</v>
      </c>
      <c r="B1988" s="29">
        <f t="shared" si="98"/>
        <v>6174604884.9362831</v>
      </c>
      <c r="C1988" s="39">
        <f t="shared" si="99"/>
        <v>7307400000</v>
      </c>
      <c r="D1988" s="76">
        <f t="shared" si="100"/>
        <v>1132795115.0637169</v>
      </c>
    </row>
    <row r="1989" spans="1:4" x14ac:dyDescent="0.3">
      <c r="A1989">
        <v>962000</v>
      </c>
      <c r="B1989" s="29">
        <f t="shared" si="98"/>
        <v>6177799392.6269436</v>
      </c>
      <c r="C1989" s="39">
        <f t="shared" si="99"/>
        <v>7311200000</v>
      </c>
      <c r="D1989" s="76">
        <f t="shared" si="100"/>
        <v>1133400607.3730564</v>
      </c>
    </row>
    <row r="1990" spans="1:4" x14ac:dyDescent="0.3">
      <c r="A1990">
        <v>962500</v>
      </c>
      <c r="B1990" s="29">
        <f t="shared" si="98"/>
        <v>6180993900.3176031</v>
      </c>
      <c r="C1990" s="39">
        <f t="shared" si="99"/>
        <v>7315000000</v>
      </c>
      <c r="D1990" s="76">
        <f t="shared" si="100"/>
        <v>1134006099.6823969</v>
      </c>
    </row>
    <row r="1991" spans="1:4" x14ac:dyDescent="0.3">
      <c r="A1991">
        <v>963000</v>
      </c>
      <c r="B1991" s="29">
        <f t="shared" si="98"/>
        <v>6184188408.0082636</v>
      </c>
      <c r="C1991" s="39">
        <f t="shared" si="99"/>
        <v>7318800000</v>
      </c>
      <c r="D1991" s="76">
        <f t="shared" si="100"/>
        <v>1134611591.9917364</v>
      </c>
    </row>
    <row r="1992" spans="1:4" x14ac:dyDescent="0.3">
      <c r="A1992">
        <v>963500</v>
      </c>
      <c r="B1992" s="29">
        <f t="shared" si="98"/>
        <v>6187382915.6989231</v>
      </c>
      <c r="C1992" s="39">
        <f t="shared" si="99"/>
        <v>7322600000</v>
      </c>
      <c r="D1992" s="76">
        <f t="shared" si="100"/>
        <v>1135217084.3010769</v>
      </c>
    </row>
    <row r="1993" spans="1:4" x14ac:dyDescent="0.3">
      <c r="A1993">
        <v>964000</v>
      </c>
      <c r="B1993" s="29">
        <f t="shared" si="98"/>
        <v>6190577423.3895836</v>
      </c>
      <c r="C1993" s="39">
        <f t="shared" si="99"/>
        <v>7326400000</v>
      </c>
      <c r="D1993" s="76">
        <f t="shared" si="100"/>
        <v>1135822576.6104164</v>
      </c>
    </row>
    <row r="1994" spans="1:4" x14ac:dyDescent="0.3">
      <c r="A1994">
        <v>964500</v>
      </c>
      <c r="B1994" s="29">
        <f t="shared" si="98"/>
        <v>6193771931.0802431</v>
      </c>
      <c r="C1994" s="39">
        <f t="shared" si="99"/>
        <v>7330200000</v>
      </c>
      <c r="D1994" s="76">
        <f t="shared" si="100"/>
        <v>1136428068.9197569</v>
      </c>
    </row>
    <row r="1995" spans="1:4" x14ac:dyDescent="0.3">
      <c r="A1995">
        <v>965000</v>
      </c>
      <c r="B1995" s="29">
        <f t="shared" si="98"/>
        <v>6196966438.7709036</v>
      </c>
      <c r="C1995" s="39">
        <f t="shared" si="99"/>
        <v>7334000000</v>
      </c>
      <c r="D1995" s="76">
        <f t="shared" si="100"/>
        <v>1137033561.2290964</v>
      </c>
    </row>
    <row r="1996" spans="1:4" x14ac:dyDescent="0.3">
      <c r="A1996">
        <v>965500</v>
      </c>
      <c r="B1996" s="29">
        <f t="shared" si="98"/>
        <v>6200160946.4615631</v>
      </c>
      <c r="C1996" s="39">
        <f t="shared" si="99"/>
        <v>7337800000</v>
      </c>
      <c r="D1996" s="76">
        <f t="shared" si="100"/>
        <v>1137639053.5384369</v>
      </c>
    </row>
    <row r="1997" spans="1:4" x14ac:dyDescent="0.3">
      <c r="A1997">
        <v>966000</v>
      </c>
      <c r="B1997" s="29">
        <f t="shared" si="98"/>
        <v>6203355454.1522236</v>
      </c>
      <c r="C1997" s="39">
        <f t="shared" si="99"/>
        <v>7341600000</v>
      </c>
      <c r="D1997" s="76">
        <f t="shared" si="100"/>
        <v>1138244545.8477764</v>
      </c>
    </row>
    <row r="1998" spans="1:4" x14ac:dyDescent="0.3">
      <c r="A1998">
        <v>966500</v>
      </c>
      <c r="B1998" s="29">
        <f t="shared" si="98"/>
        <v>6206549961.8428831</v>
      </c>
      <c r="C1998" s="39">
        <f t="shared" si="99"/>
        <v>7345400000</v>
      </c>
      <c r="D1998" s="76">
        <f t="shared" si="100"/>
        <v>1138850038.1571169</v>
      </c>
    </row>
    <row r="1999" spans="1:4" x14ac:dyDescent="0.3">
      <c r="A1999">
        <v>967000</v>
      </c>
      <c r="B1999" s="29">
        <f t="shared" si="98"/>
        <v>6209744469.5335436</v>
      </c>
      <c r="C1999" s="39">
        <f t="shared" si="99"/>
        <v>7349200000</v>
      </c>
      <c r="D1999" s="76">
        <f t="shared" si="100"/>
        <v>1139455530.4664564</v>
      </c>
    </row>
    <row r="2000" spans="1:4" x14ac:dyDescent="0.3">
      <c r="A2000">
        <v>967500</v>
      </c>
      <c r="B2000" s="29">
        <f t="shared" si="98"/>
        <v>6212938977.2242031</v>
      </c>
      <c r="C2000" s="39">
        <f t="shared" si="99"/>
        <v>7353000000</v>
      </c>
      <c r="D2000" s="76">
        <f t="shared" si="100"/>
        <v>1140061022.7757969</v>
      </c>
    </row>
    <row r="2001" spans="1:4" x14ac:dyDescent="0.3">
      <c r="A2001">
        <v>968000</v>
      </c>
      <c r="B2001" s="29">
        <f t="shared" si="98"/>
        <v>6216133484.9148636</v>
      </c>
      <c r="C2001" s="39">
        <f t="shared" si="99"/>
        <v>7356800000</v>
      </c>
      <c r="D2001" s="76">
        <f t="shared" si="100"/>
        <v>1140666515.0851364</v>
      </c>
    </row>
    <row r="2002" spans="1:4" x14ac:dyDescent="0.3">
      <c r="A2002">
        <v>968500</v>
      </c>
      <c r="B2002" s="29">
        <f t="shared" si="98"/>
        <v>6219327992.6055231</v>
      </c>
      <c r="C2002" s="39">
        <f t="shared" si="99"/>
        <v>7360600000</v>
      </c>
      <c r="D2002" s="76">
        <f t="shared" si="100"/>
        <v>1141272007.3944769</v>
      </c>
    </row>
    <row r="2003" spans="1:4" x14ac:dyDescent="0.3">
      <c r="A2003">
        <v>969000</v>
      </c>
      <c r="B2003" s="29">
        <f t="shared" si="98"/>
        <v>6222522500.2961836</v>
      </c>
      <c r="C2003" s="39">
        <f t="shared" si="99"/>
        <v>7364400000</v>
      </c>
      <c r="D2003" s="76">
        <f t="shared" si="100"/>
        <v>1141877499.7038164</v>
      </c>
    </row>
    <row r="2004" spans="1:4" x14ac:dyDescent="0.3">
      <c r="A2004">
        <v>969500</v>
      </c>
      <c r="B2004" s="29">
        <f t="shared" si="98"/>
        <v>6225717007.9868431</v>
      </c>
      <c r="C2004" s="39">
        <f t="shared" si="99"/>
        <v>7368200000</v>
      </c>
      <c r="D2004" s="76">
        <f t="shared" si="100"/>
        <v>1142482992.0131569</v>
      </c>
    </row>
    <row r="2005" spans="1:4" x14ac:dyDescent="0.3">
      <c r="A2005">
        <v>970000</v>
      </c>
      <c r="B2005" s="29">
        <f t="shared" si="98"/>
        <v>6228911515.6775036</v>
      </c>
      <c r="C2005" s="39">
        <f t="shared" si="99"/>
        <v>7372000000</v>
      </c>
      <c r="D2005" s="76">
        <f t="shared" si="100"/>
        <v>1143088484.3224964</v>
      </c>
    </row>
    <row r="2006" spans="1:4" x14ac:dyDescent="0.3">
      <c r="A2006">
        <v>970500</v>
      </c>
      <c r="B2006" s="29">
        <f t="shared" si="98"/>
        <v>6232106023.3681631</v>
      </c>
      <c r="C2006" s="39">
        <f t="shared" si="99"/>
        <v>7375800000</v>
      </c>
      <c r="D2006" s="76">
        <f t="shared" si="100"/>
        <v>1143693976.6318369</v>
      </c>
    </row>
    <row r="2007" spans="1:4" x14ac:dyDescent="0.3">
      <c r="A2007">
        <v>971000</v>
      </c>
      <c r="B2007" s="29">
        <f t="shared" si="98"/>
        <v>6235300531.0588236</v>
      </c>
      <c r="C2007" s="39">
        <f t="shared" si="99"/>
        <v>7379600000</v>
      </c>
      <c r="D2007" s="76">
        <f t="shared" si="100"/>
        <v>1144299468.9411764</v>
      </c>
    </row>
    <row r="2008" spans="1:4" x14ac:dyDescent="0.3">
      <c r="A2008">
        <v>971500</v>
      </c>
      <c r="B2008" s="29">
        <f t="shared" si="98"/>
        <v>6238495038.7494831</v>
      </c>
      <c r="C2008" s="39">
        <f t="shared" si="99"/>
        <v>7383400000</v>
      </c>
      <c r="D2008" s="76">
        <f t="shared" si="100"/>
        <v>1144904961.2505169</v>
      </c>
    </row>
    <row r="2009" spans="1:4" x14ac:dyDescent="0.3">
      <c r="A2009">
        <v>972000</v>
      </c>
      <c r="B2009" s="29">
        <f t="shared" si="98"/>
        <v>6241689546.4401436</v>
      </c>
      <c r="C2009" s="39">
        <f t="shared" si="99"/>
        <v>7387200000</v>
      </c>
      <c r="D2009" s="76">
        <f t="shared" si="100"/>
        <v>1145510453.5598564</v>
      </c>
    </row>
    <row r="2010" spans="1:4" x14ac:dyDescent="0.3">
      <c r="A2010">
        <v>972500</v>
      </c>
      <c r="B2010" s="29">
        <f t="shared" si="98"/>
        <v>6244884054.1308031</v>
      </c>
      <c r="C2010" s="39">
        <f t="shared" si="99"/>
        <v>7391000000</v>
      </c>
      <c r="D2010" s="76">
        <f t="shared" si="100"/>
        <v>1146115945.8691969</v>
      </c>
    </row>
    <row r="2011" spans="1:4" x14ac:dyDescent="0.3">
      <c r="A2011">
        <v>973000</v>
      </c>
      <c r="B2011" s="29">
        <f t="shared" si="98"/>
        <v>6248078561.8214636</v>
      </c>
      <c r="C2011" s="39">
        <f t="shared" si="99"/>
        <v>7394800000</v>
      </c>
      <c r="D2011" s="76">
        <f t="shared" si="100"/>
        <v>1146721438.1785364</v>
      </c>
    </row>
    <row r="2012" spans="1:4" x14ac:dyDescent="0.3">
      <c r="A2012">
        <v>973500</v>
      </c>
      <c r="B2012" s="29">
        <f t="shared" si="98"/>
        <v>6251273069.5121231</v>
      </c>
      <c r="C2012" s="39">
        <f t="shared" si="99"/>
        <v>7398600000</v>
      </c>
      <c r="D2012" s="76">
        <f t="shared" si="100"/>
        <v>1147326930.4878769</v>
      </c>
    </row>
    <row r="2013" spans="1:4" x14ac:dyDescent="0.3">
      <c r="A2013">
        <v>974000</v>
      </c>
      <c r="B2013" s="29">
        <f t="shared" si="98"/>
        <v>6254467577.2027836</v>
      </c>
      <c r="C2013" s="39">
        <f t="shared" si="99"/>
        <v>7402400000</v>
      </c>
      <c r="D2013" s="76">
        <f t="shared" si="100"/>
        <v>1147932422.7972164</v>
      </c>
    </row>
    <row r="2014" spans="1:4" x14ac:dyDescent="0.3">
      <c r="A2014">
        <v>974500</v>
      </c>
      <c r="B2014" s="29">
        <f t="shared" si="98"/>
        <v>6257662084.8934431</v>
      </c>
      <c r="C2014" s="39">
        <f t="shared" si="99"/>
        <v>7406200000</v>
      </c>
      <c r="D2014" s="76">
        <f t="shared" si="100"/>
        <v>1148537915.1065569</v>
      </c>
    </row>
    <row r="2015" spans="1:4" x14ac:dyDescent="0.3">
      <c r="A2015">
        <v>975000</v>
      </c>
      <c r="B2015" s="29">
        <f t="shared" si="98"/>
        <v>6260856592.5841036</v>
      </c>
      <c r="C2015" s="39">
        <f t="shared" si="99"/>
        <v>7410000000</v>
      </c>
      <c r="D2015" s="76">
        <f t="shared" si="100"/>
        <v>1149143407.4158964</v>
      </c>
    </row>
    <row r="2016" spans="1:4" x14ac:dyDescent="0.3">
      <c r="A2016">
        <v>975500</v>
      </c>
      <c r="B2016" s="29">
        <f t="shared" si="98"/>
        <v>6264051100.2747631</v>
      </c>
      <c r="C2016" s="39">
        <f t="shared" si="99"/>
        <v>7413800000</v>
      </c>
      <c r="D2016" s="76">
        <f t="shared" si="100"/>
        <v>1149748899.7252369</v>
      </c>
    </row>
    <row r="2017" spans="1:4" x14ac:dyDescent="0.3">
      <c r="A2017">
        <v>976000</v>
      </c>
      <c r="B2017" s="29">
        <f t="shared" si="98"/>
        <v>6267245607.9654236</v>
      </c>
      <c r="C2017" s="39">
        <f t="shared" si="99"/>
        <v>7417600000</v>
      </c>
      <c r="D2017" s="76">
        <f t="shared" si="100"/>
        <v>1150354392.0345764</v>
      </c>
    </row>
    <row r="2018" spans="1:4" x14ac:dyDescent="0.3">
      <c r="A2018">
        <v>976500</v>
      </c>
      <c r="B2018" s="29">
        <f t="shared" si="98"/>
        <v>6270440115.6560831</v>
      </c>
      <c r="C2018" s="39">
        <f t="shared" si="99"/>
        <v>7421400000</v>
      </c>
      <c r="D2018" s="76">
        <f t="shared" si="100"/>
        <v>1150959884.3439169</v>
      </c>
    </row>
    <row r="2019" spans="1:4" x14ac:dyDescent="0.3">
      <c r="A2019">
        <v>977000</v>
      </c>
      <c r="B2019" s="29">
        <f t="shared" si="98"/>
        <v>6273634623.3467436</v>
      </c>
      <c r="C2019" s="39">
        <f t="shared" si="99"/>
        <v>7425200000</v>
      </c>
      <c r="D2019" s="76">
        <f t="shared" si="100"/>
        <v>1151565376.6532564</v>
      </c>
    </row>
    <row r="2020" spans="1:4" x14ac:dyDescent="0.3">
      <c r="A2020">
        <v>977500</v>
      </c>
      <c r="B2020" s="29">
        <f t="shared" si="98"/>
        <v>6276829131.0374031</v>
      </c>
      <c r="C2020" s="39">
        <f t="shared" si="99"/>
        <v>7429000000</v>
      </c>
      <c r="D2020" s="76">
        <f t="shared" si="100"/>
        <v>1152170868.9625969</v>
      </c>
    </row>
    <row r="2021" spans="1:4" x14ac:dyDescent="0.3">
      <c r="A2021">
        <v>978000</v>
      </c>
      <c r="B2021" s="29">
        <f t="shared" si="98"/>
        <v>6280023638.7280636</v>
      </c>
      <c r="C2021" s="39">
        <f t="shared" si="99"/>
        <v>7432800000</v>
      </c>
      <c r="D2021" s="76">
        <f t="shared" si="100"/>
        <v>1152776361.2719364</v>
      </c>
    </row>
    <row r="2022" spans="1:4" x14ac:dyDescent="0.3">
      <c r="A2022">
        <v>978500</v>
      </c>
      <c r="B2022" s="29">
        <f t="shared" si="98"/>
        <v>6283218146.4187231</v>
      </c>
      <c r="C2022" s="39">
        <f t="shared" si="99"/>
        <v>7436600000</v>
      </c>
      <c r="D2022" s="76">
        <f t="shared" si="100"/>
        <v>1153381853.5812769</v>
      </c>
    </row>
    <row r="2023" spans="1:4" x14ac:dyDescent="0.3">
      <c r="A2023">
        <v>979000</v>
      </c>
      <c r="B2023" s="29">
        <f t="shared" si="98"/>
        <v>6286412654.1093836</v>
      </c>
      <c r="C2023" s="39">
        <f t="shared" si="99"/>
        <v>7440400000</v>
      </c>
      <c r="D2023" s="76">
        <f t="shared" si="100"/>
        <v>1153987345.8906164</v>
      </c>
    </row>
    <row r="2024" spans="1:4" x14ac:dyDescent="0.3">
      <c r="A2024">
        <v>979500</v>
      </c>
      <c r="B2024" s="29">
        <f t="shared" si="98"/>
        <v>6289607161.8000431</v>
      </c>
      <c r="C2024" s="39">
        <f t="shared" si="99"/>
        <v>7444200000</v>
      </c>
      <c r="D2024" s="76">
        <f t="shared" si="100"/>
        <v>1154592838.1999569</v>
      </c>
    </row>
    <row r="2025" spans="1:4" x14ac:dyDescent="0.3">
      <c r="A2025">
        <v>980000</v>
      </c>
      <c r="B2025" s="29">
        <f t="shared" si="98"/>
        <v>6292801669.4907036</v>
      </c>
      <c r="C2025" s="39">
        <f t="shared" si="99"/>
        <v>7448000000</v>
      </c>
      <c r="D2025" s="76">
        <f t="shared" si="100"/>
        <v>1155198330.5092964</v>
      </c>
    </row>
    <row r="2026" spans="1:4" x14ac:dyDescent="0.3">
      <c r="A2026">
        <v>980500</v>
      </c>
      <c r="B2026" s="29">
        <f t="shared" si="98"/>
        <v>6295996177.1813631</v>
      </c>
      <c r="C2026" s="39">
        <f t="shared" si="99"/>
        <v>7451800000</v>
      </c>
      <c r="D2026" s="76">
        <f t="shared" si="100"/>
        <v>1155803822.8186369</v>
      </c>
    </row>
    <row r="2027" spans="1:4" x14ac:dyDescent="0.3">
      <c r="A2027">
        <v>981000</v>
      </c>
      <c r="B2027" s="29">
        <f t="shared" si="98"/>
        <v>6299190684.8720236</v>
      </c>
      <c r="C2027" s="39">
        <f t="shared" si="99"/>
        <v>7455600000</v>
      </c>
      <c r="D2027" s="76">
        <f t="shared" si="100"/>
        <v>1156409315.1279764</v>
      </c>
    </row>
    <row r="2028" spans="1:4" x14ac:dyDescent="0.3">
      <c r="A2028">
        <v>981500</v>
      </c>
      <c r="B2028" s="29">
        <f t="shared" si="98"/>
        <v>6302385192.5626831</v>
      </c>
      <c r="C2028" s="39">
        <f t="shared" si="99"/>
        <v>7459400000</v>
      </c>
      <c r="D2028" s="76">
        <f t="shared" si="100"/>
        <v>1157014807.4373169</v>
      </c>
    </row>
    <row r="2029" spans="1:4" x14ac:dyDescent="0.3">
      <c r="A2029">
        <v>982000</v>
      </c>
      <c r="B2029" s="29">
        <f t="shared" si="98"/>
        <v>6305579700.2533436</v>
      </c>
      <c r="C2029" s="39">
        <f t="shared" si="99"/>
        <v>7463200000</v>
      </c>
      <c r="D2029" s="76">
        <f t="shared" si="100"/>
        <v>1157620299.7466564</v>
      </c>
    </row>
    <row r="2030" spans="1:4" x14ac:dyDescent="0.3">
      <c r="A2030">
        <v>982500</v>
      </c>
      <c r="B2030" s="29">
        <f t="shared" si="98"/>
        <v>6308774207.9440031</v>
      </c>
      <c r="C2030" s="39">
        <f t="shared" si="99"/>
        <v>7467000000</v>
      </c>
      <c r="D2030" s="76">
        <f t="shared" si="100"/>
        <v>1158225792.0559969</v>
      </c>
    </row>
    <row r="2031" spans="1:4" x14ac:dyDescent="0.3">
      <c r="A2031">
        <v>983000</v>
      </c>
      <c r="B2031" s="29">
        <f t="shared" si="98"/>
        <v>6311968715.6346636</v>
      </c>
      <c r="C2031" s="39">
        <f t="shared" si="99"/>
        <v>7470800000</v>
      </c>
      <c r="D2031" s="76">
        <f t="shared" si="100"/>
        <v>1158831284.3653364</v>
      </c>
    </row>
    <row r="2032" spans="1:4" x14ac:dyDescent="0.3">
      <c r="A2032">
        <v>983500</v>
      </c>
      <c r="B2032" s="29">
        <f t="shared" si="98"/>
        <v>6315163223.3253231</v>
      </c>
      <c r="C2032" s="39">
        <f t="shared" si="99"/>
        <v>7474600000</v>
      </c>
      <c r="D2032" s="76">
        <f t="shared" si="100"/>
        <v>1159436776.6746769</v>
      </c>
    </row>
    <row r="2033" spans="1:4" x14ac:dyDescent="0.3">
      <c r="A2033">
        <v>984000</v>
      </c>
      <c r="B2033" s="29">
        <f t="shared" si="98"/>
        <v>6318357731.0159836</v>
      </c>
      <c r="C2033" s="39">
        <f t="shared" si="99"/>
        <v>7478400000</v>
      </c>
      <c r="D2033" s="76">
        <f t="shared" si="100"/>
        <v>1160042268.9840164</v>
      </c>
    </row>
    <row r="2034" spans="1:4" x14ac:dyDescent="0.3">
      <c r="A2034">
        <v>984500</v>
      </c>
      <c r="B2034" s="29">
        <f t="shared" si="98"/>
        <v>6321552238.7066431</v>
      </c>
      <c r="C2034" s="39">
        <f t="shared" si="99"/>
        <v>7482200000</v>
      </c>
      <c r="D2034" s="76">
        <f t="shared" si="100"/>
        <v>1160647761.2933569</v>
      </c>
    </row>
    <row r="2035" spans="1:4" x14ac:dyDescent="0.3">
      <c r="A2035">
        <v>985000</v>
      </c>
      <c r="B2035" s="29">
        <f t="shared" si="98"/>
        <v>6324746746.3973036</v>
      </c>
      <c r="C2035" s="39">
        <f t="shared" si="99"/>
        <v>7486000000</v>
      </c>
      <c r="D2035" s="76">
        <f t="shared" si="100"/>
        <v>1161253253.6026964</v>
      </c>
    </row>
    <row r="2036" spans="1:4" x14ac:dyDescent="0.3">
      <c r="A2036">
        <v>985500</v>
      </c>
      <c r="B2036" s="29">
        <f t="shared" si="98"/>
        <v>6327941254.0879631</v>
      </c>
      <c r="C2036" s="39">
        <f t="shared" si="99"/>
        <v>7489800000</v>
      </c>
      <c r="D2036" s="76">
        <f t="shared" si="100"/>
        <v>1161858745.9120369</v>
      </c>
    </row>
    <row r="2037" spans="1:4" x14ac:dyDescent="0.3">
      <c r="A2037">
        <v>986000</v>
      </c>
      <c r="B2037" s="29">
        <f t="shared" si="98"/>
        <v>6331135761.7786236</v>
      </c>
      <c r="C2037" s="39">
        <f t="shared" si="99"/>
        <v>7493600000</v>
      </c>
      <c r="D2037" s="76">
        <f t="shared" si="100"/>
        <v>1162464238.2213764</v>
      </c>
    </row>
    <row r="2038" spans="1:4" x14ac:dyDescent="0.3">
      <c r="A2038">
        <v>986500</v>
      </c>
      <c r="B2038" s="29">
        <f t="shared" si="98"/>
        <v>6334330269.4692831</v>
      </c>
      <c r="C2038" s="39">
        <f t="shared" si="99"/>
        <v>7497400000</v>
      </c>
      <c r="D2038" s="76">
        <f t="shared" si="100"/>
        <v>1163069730.5307169</v>
      </c>
    </row>
    <row r="2039" spans="1:4" x14ac:dyDescent="0.3">
      <c r="A2039">
        <v>987000</v>
      </c>
      <c r="B2039" s="29">
        <f t="shared" si="98"/>
        <v>6337524777.1599436</v>
      </c>
      <c r="C2039" s="39">
        <f t="shared" si="99"/>
        <v>7501200000</v>
      </c>
      <c r="D2039" s="76">
        <f t="shared" si="100"/>
        <v>1163675222.8400564</v>
      </c>
    </row>
    <row r="2040" spans="1:4" x14ac:dyDescent="0.3">
      <c r="A2040">
        <v>987500</v>
      </c>
      <c r="B2040" s="29">
        <f t="shared" si="98"/>
        <v>6340719284.8506031</v>
      </c>
      <c r="C2040" s="39">
        <f t="shared" si="99"/>
        <v>7505000000</v>
      </c>
      <c r="D2040" s="76">
        <f t="shared" si="100"/>
        <v>1164280715.1493969</v>
      </c>
    </row>
    <row r="2041" spans="1:4" x14ac:dyDescent="0.3">
      <c r="A2041">
        <v>988000</v>
      </c>
      <c r="B2041" s="29">
        <f t="shared" si="98"/>
        <v>6343913792.5412636</v>
      </c>
      <c r="C2041" s="39">
        <f t="shared" si="99"/>
        <v>7508800000</v>
      </c>
      <c r="D2041" s="76">
        <f t="shared" si="100"/>
        <v>1164886207.4587364</v>
      </c>
    </row>
    <row r="2042" spans="1:4" x14ac:dyDescent="0.3">
      <c r="A2042">
        <v>988500</v>
      </c>
      <c r="B2042" s="29">
        <f t="shared" si="98"/>
        <v>6347108300.2319231</v>
      </c>
      <c r="C2042" s="39">
        <f t="shared" si="99"/>
        <v>7512600000</v>
      </c>
      <c r="D2042" s="76">
        <f t="shared" si="100"/>
        <v>1165491699.7680769</v>
      </c>
    </row>
    <row r="2043" spans="1:4" x14ac:dyDescent="0.3">
      <c r="A2043">
        <v>989000</v>
      </c>
      <c r="B2043" s="29">
        <f t="shared" si="98"/>
        <v>6350302807.9225836</v>
      </c>
      <c r="C2043" s="39">
        <f t="shared" si="99"/>
        <v>7516400000</v>
      </c>
      <c r="D2043" s="76">
        <f t="shared" si="100"/>
        <v>1166097192.0774164</v>
      </c>
    </row>
    <row r="2044" spans="1:4" x14ac:dyDescent="0.3">
      <c r="A2044">
        <v>989500</v>
      </c>
      <c r="B2044" s="29">
        <f t="shared" si="98"/>
        <v>6353497315.6132431</v>
      </c>
      <c r="C2044" s="39">
        <f t="shared" si="99"/>
        <v>7520200000</v>
      </c>
      <c r="D2044" s="76">
        <f t="shared" si="100"/>
        <v>1166702684.3867569</v>
      </c>
    </row>
    <row r="2045" spans="1:4" x14ac:dyDescent="0.3">
      <c r="A2045">
        <v>990000</v>
      </c>
      <c r="B2045" s="29">
        <f t="shared" si="98"/>
        <v>6356691823.3039036</v>
      </c>
      <c r="C2045" s="39">
        <f t="shared" si="99"/>
        <v>7524000000</v>
      </c>
      <c r="D2045" s="76">
        <f t="shared" si="100"/>
        <v>1167308176.6960964</v>
      </c>
    </row>
    <row r="2046" spans="1:4" x14ac:dyDescent="0.3">
      <c r="A2046">
        <v>990500</v>
      </c>
      <c r="B2046" s="29">
        <f t="shared" si="98"/>
        <v>6359886330.9945631</v>
      </c>
      <c r="C2046" s="39">
        <f t="shared" si="99"/>
        <v>7527800000</v>
      </c>
      <c r="D2046" s="76">
        <f t="shared" si="100"/>
        <v>1167913669.0054369</v>
      </c>
    </row>
    <row r="2047" spans="1:4" x14ac:dyDescent="0.3">
      <c r="A2047">
        <v>991000</v>
      </c>
      <c r="B2047" s="29">
        <f t="shared" si="98"/>
        <v>6363080838.6852236</v>
      </c>
      <c r="C2047" s="39">
        <f t="shared" si="99"/>
        <v>7531600000</v>
      </c>
      <c r="D2047" s="76">
        <f t="shared" si="100"/>
        <v>1168519161.3147764</v>
      </c>
    </row>
    <row r="2048" spans="1:4" x14ac:dyDescent="0.3">
      <c r="A2048">
        <v>991500</v>
      </c>
      <c r="B2048" s="29">
        <f t="shared" si="98"/>
        <v>6366275346.3758831</v>
      </c>
      <c r="C2048" s="39">
        <f t="shared" si="99"/>
        <v>7535400000</v>
      </c>
      <c r="D2048" s="76">
        <f t="shared" si="100"/>
        <v>1169124653.6241169</v>
      </c>
    </row>
    <row r="2049" spans="1:4" x14ac:dyDescent="0.3">
      <c r="A2049">
        <v>992000</v>
      </c>
      <c r="B2049" s="29">
        <f t="shared" si="98"/>
        <v>6369469854.0665436</v>
      </c>
      <c r="C2049" s="39">
        <f t="shared" si="99"/>
        <v>7539200000</v>
      </c>
      <c r="D2049" s="76">
        <f t="shared" si="100"/>
        <v>1169730145.9334564</v>
      </c>
    </row>
    <row r="2050" spans="1:4" x14ac:dyDescent="0.3">
      <c r="A2050">
        <v>992500</v>
      </c>
      <c r="B2050" s="29">
        <f t="shared" ref="B2050:B2113" si="101">$B$54+($B$60*A2050)</f>
        <v>6372664361.7572031</v>
      </c>
      <c r="C2050" s="39">
        <f t="shared" ref="C2050:C2113" si="102">$E$50*A2050</f>
        <v>7543000000</v>
      </c>
      <c r="D2050" s="76">
        <f t="shared" ref="D2050:D2113" si="103">C2050-B2050</f>
        <v>1170335638.2427969</v>
      </c>
    </row>
    <row r="2051" spans="1:4" x14ac:dyDescent="0.3">
      <c r="A2051">
        <v>993000</v>
      </c>
      <c r="B2051" s="29">
        <f t="shared" si="101"/>
        <v>6375858869.4478636</v>
      </c>
      <c r="C2051" s="39">
        <f t="shared" si="102"/>
        <v>7546800000</v>
      </c>
      <c r="D2051" s="76">
        <f t="shared" si="103"/>
        <v>1170941130.5521364</v>
      </c>
    </row>
    <row r="2052" spans="1:4" x14ac:dyDescent="0.3">
      <c r="A2052">
        <v>993500</v>
      </c>
      <c r="B2052" s="29">
        <f t="shared" si="101"/>
        <v>6379053377.1385231</v>
      </c>
      <c r="C2052" s="39">
        <f t="shared" si="102"/>
        <v>7550600000</v>
      </c>
      <c r="D2052" s="76">
        <f t="shared" si="103"/>
        <v>1171546622.8614769</v>
      </c>
    </row>
    <row r="2053" spans="1:4" x14ac:dyDescent="0.3">
      <c r="A2053">
        <v>994000</v>
      </c>
      <c r="B2053" s="29">
        <f t="shared" si="101"/>
        <v>6382247884.8291836</v>
      </c>
      <c r="C2053" s="39">
        <f t="shared" si="102"/>
        <v>7554400000</v>
      </c>
      <c r="D2053" s="76">
        <f t="shared" si="103"/>
        <v>1172152115.1708164</v>
      </c>
    </row>
    <row r="2054" spans="1:4" x14ac:dyDescent="0.3">
      <c r="A2054">
        <v>994500</v>
      </c>
      <c r="B2054" s="29">
        <f t="shared" si="101"/>
        <v>6385442392.5198431</v>
      </c>
      <c r="C2054" s="39">
        <f t="shared" si="102"/>
        <v>7558200000</v>
      </c>
      <c r="D2054" s="76">
        <f t="shared" si="103"/>
        <v>1172757607.4801569</v>
      </c>
    </row>
    <row r="2055" spans="1:4" x14ac:dyDescent="0.3">
      <c r="A2055">
        <v>995000</v>
      </c>
      <c r="B2055" s="29">
        <f t="shared" si="101"/>
        <v>6388636900.2105036</v>
      </c>
      <c r="C2055" s="39">
        <f t="shared" si="102"/>
        <v>7562000000</v>
      </c>
      <c r="D2055" s="76">
        <f t="shared" si="103"/>
        <v>1173363099.7894964</v>
      </c>
    </row>
    <row r="2056" spans="1:4" x14ac:dyDescent="0.3">
      <c r="A2056">
        <v>995500</v>
      </c>
      <c r="B2056" s="29">
        <f t="shared" si="101"/>
        <v>6391831407.9011631</v>
      </c>
      <c r="C2056" s="39">
        <f t="shared" si="102"/>
        <v>7565800000</v>
      </c>
      <c r="D2056" s="76">
        <f t="shared" si="103"/>
        <v>1173968592.0988369</v>
      </c>
    </row>
    <row r="2057" spans="1:4" x14ac:dyDescent="0.3">
      <c r="A2057">
        <v>996000</v>
      </c>
      <c r="B2057" s="29">
        <f t="shared" si="101"/>
        <v>6395025915.5918236</v>
      </c>
      <c r="C2057" s="39">
        <f t="shared" si="102"/>
        <v>7569600000</v>
      </c>
      <c r="D2057" s="76">
        <f t="shared" si="103"/>
        <v>1174574084.4081764</v>
      </c>
    </row>
    <row r="2058" spans="1:4" x14ac:dyDescent="0.3">
      <c r="A2058">
        <v>996500</v>
      </c>
      <c r="B2058" s="29">
        <f t="shared" si="101"/>
        <v>6398220423.2824831</v>
      </c>
      <c r="C2058" s="39">
        <f t="shared" si="102"/>
        <v>7573400000</v>
      </c>
      <c r="D2058" s="76">
        <f t="shared" si="103"/>
        <v>1175179576.7175169</v>
      </c>
    </row>
    <row r="2059" spans="1:4" x14ac:dyDescent="0.3">
      <c r="A2059">
        <v>997000</v>
      </c>
      <c r="B2059" s="29">
        <f t="shared" si="101"/>
        <v>6401414930.9731436</v>
      </c>
      <c r="C2059" s="39">
        <f t="shared" si="102"/>
        <v>7577200000</v>
      </c>
      <c r="D2059" s="76">
        <f t="shared" si="103"/>
        <v>1175785069.0268564</v>
      </c>
    </row>
    <row r="2060" spans="1:4" x14ac:dyDescent="0.3">
      <c r="A2060">
        <v>997500</v>
      </c>
      <c r="B2060" s="29">
        <f t="shared" si="101"/>
        <v>6404609438.6638031</v>
      </c>
      <c r="C2060" s="39">
        <f t="shared" si="102"/>
        <v>7581000000</v>
      </c>
      <c r="D2060" s="76">
        <f t="shared" si="103"/>
        <v>1176390561.3361969</v>
      </c>
    </row>
    <row r="2061" spans="1:4" x14ac:dyDescent="0.3">
      <c r="A2061">
        <v>998000</v>
      </c>
      <c r="B2061" s="29">
        <f t="shared" si="101"/>
        <v>6407803946.3544636</v>
      </c>
      <c r="C2061" s="39">
        <f t="shared" si="102"/>
        <v>7584800000</v>
      </c>
      <c r="D2061" s="76">
        <f t="shared" si="103"/>
        <v>1176996053.6455364</v>
      </c>
    </row>
    <row r="2062" spans="1:4" x14ac:dyDescent="0.3">
      <c r="A2062">
        <v>998500</v>
      </c>
      <c r="B2062" s="29">
        <f t="shared" si="101"/>
        <v>6410998454.0451231</v>
      </c>
      <c r="C2062" s="39">
        <f t="shared" si="102"/>
        <v>7588600000</v>
      </c>
      <c r="D2062" s="76">
        <f t="shared" si="103"/>
        <v>1177601545.9548769</v>
      </c>
    </row>
    <row r="2063" spans="1:4" x14ac:dyDescent="0.3">
      <c r="A2063">
        <v>999000</v>
      </c>
      <c r="B2063" s="29">
        <f t="shared" si="101"/>
        <v>6414192961.7357836</v>
      </c>
      <c r="C2063" s="39">
        <f t="shared" si="102"/>
        <v>7592400000</v>
      </c>
      <c r="D2063" s="76">
        <f t="shared" si="103"/>
        <v>1178207038.2642164</v>
      </c>
    </row>
    <row r="2064" spans="1:4" x14ac:dyDescent="0.3">
      <c r="A2064">
        <v>999500</v>
      </c>
      <c r="B2064" s="29">
        <f t="shared" si="101"/>
        <v>6417387469.4264431</v>
      </c>
      <c r="C2064" s="39">
        <f t="shared" si="102"/>
        <v>7596200000</v>
      </c>
      <c r="D2064" s="76">
        <f t="shared" si="103"/>
        <v>1178812530.5735569</v>
      </c>
    </row>
    <row r="2065" spans="1:4" x14ac:dyDescent="0.3">
      <c r="A2065">
        <v>1000000</v>
      </c>
      <c r="B2065" s="29">
        <f t="shared" si="101"/>
        <v>6420581977.1171036</v>
      </c>
      <c r="C2065" s="39">
        <f t="shared" si="102"/>
        <v>7600000000</v>
      </c>
      <c r="D2065" s="76">
        <f t="shared" si="103"/>
        <v>1179418022.8828964</v>
      </c>
    </row>
    <row r="2066" spans="1:4" x14ac:dyDescent="0.3">
      <c r="A2066">
        <v>1000500</v>
      </c>
      <c r="B2066" s="29">
        <f t="shared" si="101"/>
        <v>6423776484.8077631</v>
      </c>
      <c r="C2066" s="39">
        <f t="shared" si="102"/>
        <v>7603800000</v>
      </c>
      <c r="D2066" s="76">
        <f t="shared" si="103"/>
        <v>1180023515.1922369</v>
      </c>
    </row>
    <row r="2067" spans="1:4" x14ac:dyDescent="0.3">
      <c r="A2067">
        <v>1001000</v>
      </c>
      <c r="B2067" s="29">
        <f t="shared" si="101"/>
        <v>6426970992.4984236</v>
      </c>
      <c r="C2067" s="39">
        <f t="shared" si="102"/>
        <v>7607600000</v>
      </c>
      <c r="D2067" s="76">
        <f t="shared" si="103"/>
        <v>1180629007.5015764</v>
      </c>
    </row>
    <row r="2068" spans="1:4" x14ac:dyDescent="0.3">
      <c r="A2068">
        <v>1001500</v>
      </c>
      <c r="B2068" s="29">
        <f t="shared" si="101"/>
        <v>6430165500.1890831</v>
      </c>
      <c r="C2068" s="39">
        <f t="shared" si="102"/>
        <v>7611400000</v>
      </c>
      <c r="D2068" s="76">
        <f t="shared" si="103"/>
        <v>1181234499.8109169</v>
      </c>
    </row>
    <row r="2069" spans="1:4" x14ac:dyDescent="0.3">
      <c r="A2069">
        <v>1002000</v>
      </c>
      <c r="B2069" s="29">
        <f t="shared" si="101"/>
        <v>6433360007.8797436</v>
      </c>
      <c r="C2069" s="39">
        <f t="shared" si="102"/>
        <v>7615200000</v>
      </c>
      <c r="D2069" s="76">
        <f t="shared" si="103"/>
        <v>1181839992.1202564</v>
      </c>
    </row>
    <row r="2070" spans="1:4" x14ac:dyDescent="0.3">
      <c r="A2070">
        <v>1002500</v>
      </c>
      <c r="B2070" s="29">
        <f t="shared" si="101"/>
        <v>6436554515.5704031</v>
      </c>
      <c r="C2070" s="39">
        <f t="shared" si="102"/>
        <v>7619000000</v>
      </c>
      <c r="D2070" s="76">
        <f t="shared" si="103"/>
        <v>1182445484.4295969</v>
      </c>
    </row>
    <row r="2071" spans="1:4" x14ac:dyDescent="0.3">
      <c r="A2071">
        <v>1003000</v>
      </c>
      <c r="B2071" s="29">
        <f t="shared" si="101"/>
        <v>6439749023.2610636</v>
      </c>
      <c r="C2071" s="39">
        <f t="shared" si="102"/>
        <v>7622800000</v>
      </c>
      <c r="D2071" s="76">
        <f t="shared" si="103"/>
        <v>1183050976.7389364</v>
      </c>
    </row>
    <row r="2072" spans="1:4" x14ac:dyDescent="0.3">
      <c r="A2072">
        <v>1003500</v>
      </c>
      <c r="B2072" s="29">
        <f t="shared" si="101"/>
        <v>6442943530.9517231</v>
      </c>
      <c r="C2072" s="39">
        <f t="shared" si="102"/>
        <v>7626600000</v>
      </c>
      <c r="D2072" s="76">
        <f t="shared" si="103"/>
        <v>1183656469.0482769</v>
      </c>
    </row>
    <row r="2073" spans="1:4" x14ac:dyDescent="0.3">
      <c r="A2073">
        <v>1004000</v>
      </c>
      <c r="B2073" s="29">
        <f t="shared" si="101"/>
        <v>6446138038.6423836</v>
      </c>
      <c r="C2073" s="39">
        <f t="shared" si="102"/>
        <v>7630400000</v>
      </c>
      <c r="D2073" s="76">
        <f t="shared" si="103"/>
        <v>1184261961.3576164</v>
      </c>
    </row>
    <row r="2074" spans="1:4" x14ac:dyDescent="0.3">
      <c r="A2074">
        <v>1004500</v>
      </c>
      <c r="B2074" s="29">
        <f t="shared" si="101"/>
        <v>6449332546.3330431</v>
      </c>
      <c r="C2074" s="39">
        <f t="shared" si="102"/>
        <v>7634200000</v>
      </c>
      <c r="D2074" s="76">
        <f t="shared" si="103"/>
        <v>1184867453.6669569</v>
      </c>
    </row>
    <row r="2075" spans="1:4" x14ac:dyDescent="0.3">
      <c r="A2075">
        <v>1005000</v>
      </c>
      <c r="B2075" s="29">
        <f t="shared" si="101"/>
        <v>6452527054.0237036</v>
      </c>
      <c r="C2075" s="39">
        <f t="shared" si="102"/>
        <v>7638000000</v>
      </c>
      <c r="D2075" s="76">
        <f t="shared" si="103"/>
        <v>1185472945.9762964</v>
      </c>
    </row>
    <row r="2076" spans="1:4" x14ac:dyDescent="0.3">
      <c r="A2076">
        <v>1005500</v>
      </c>
      <c r="B2076" s="29">
        <f t="shared" si="101"/>
        <v>6455721561.7143631</v>
      </c>
      <c r="C2076" s="39">
        <f t="shared" si="102"/>
        <v>7641800000</v>
      </c>
      <c r="D2076" s="76">
        <f t="shared" si="103"/>
        <v>1186078438.2856369</v>
      </c>
    </row>
    <row r="2077" spans="1:4" x14ac:dyDescent="0.3">
      <c r="A2077">
        <v>1006000</v>
      </c>
      <c r="B2077" s="29">
        <f t="shared" si="101"/>
        <v>6458916069.4050236</v>
      </c>
      <c r="C2077" s="39">
        <f t="shared" si="102"/>
        <v>7645600000</v>
      </c>
      <c r="D2077" s="76">
        <f t="shared" si="103"/>
        <v>1186683930.5949764</v>
      </c>
    </row>
    <row r="2078" spans="1:4" x14ac:dyDescent="0.3">
      <c r="A2078">
        <v>1006500</v>
      </c>
      <c r="B2078" s="29">
        <f t="shared" si="101"/>
        <v>6462110577.0956831</v>
      </c>
      <c r="C2078" s="39">
        <f t="shared" si="102"/>
        <v>7649400000</v>
      </c>
      <c r="D2078" s="76">
        <f t="shared" si="103"/>
        <v>1187289422.9043169</v>
      </c>
    </row>
    <row r="2079" spans="1:4" x14ac:dyDescent="0.3">
      <c r="A2079">
        <v>1007000</v>
      </c>
      <c r="B2079" s="29">
        <f t="shared" si="101"/>
        <v>6465305084.7863436</v>
      </c>
      <c r="C2079" s="39">
        <f t="shared" si="102"/>
        <v>7653200000</v>
      </c>
      <c r="D2079" s="76">
        <f t="shared" si="103"/>
        <v>1187894915.2136564</v>
      </c>
    </row>
    <row r="2080" spans="1:4" x14ac:dyDescent="0.3">
      <c r="A2080">
        <v>1007500</v>
      </c>
      <c r="B2080" s="29">
        <f t="shared" si="101"/>
        <v>6468499592.4770031</v>
      </c>
      <c r="C2080" s="39">
        <f t="shared" si="102"/>
        <v>7657000000</v>
      </c>
      <c r="D2080" s="76">
        <f t="shared" si="103"/>
        <v>1188500407.5229969</v>
      </c>
    </row>
    <row r="2081" spans="1:4" x14ac:dyDescent="0.3">
      <c r="A2081">
        <v>1008000</v>
      </c>
      <c r="B2081" s="29">
        <f t="shared" si="101"/>
        <v>6471694100.1676636</v>
      </c>
      <c r="C2081" s="39">
        <f t="shared" si="102"/>
        <v>7660800000</v>
      </c>
      <c r="D2081" s="76">
        <f t="shared" si="103"/>
        <v>1189105899.8323364</v>
      </c>
    </row>
    <row r="2082" spans="1:4" x14ac:dyDescent="0.3">
      <c r="A2082">
        <v>1008500</v>
      </c>
      <c r="B2082" s="29">
        <f t="shared" si="101"/>
        <v>6474888607.8583231</v>
      </c>
      <c r="C2082" s="39">
        <f t="shared" si="102"/>
        <v>7664600000</v>
      </c>
      <c r="D2082" s="76">
        <f t="shared" si="103"/>
        <v>1189711392.1416769</v>
      </c>
    </row>
    <row r="2083" spans="1:4" x14ac:dyDescent="0.3">
      <c r="A2083">
        <v>1009000</v>
      </c>
      <c r="B2083" s="29">
        <f t="shared" si="101"/>
        <v>6478083115.5489836</v>
      </c>
      <c r="C2083" s="39">
        <f t="shared" si="102"/>
        <v>7668400000</v>
      </c>
      <c r="D2083" s="76">
        <f t="shared" si="103"/>
        <v>1190316884.4510164</v>
      </c>
    </row>
    <row r="2084" spans="1:4" x14ac:dyDescent="0.3">
      <c r="A2084">
        <v>1009500</v>
      </c>
      <c r="B2084" s="29">
        <f t="shared" si="101"/>
        <v>6481277623.2396431</v>
      </c>
      <c r="C2084" s="39">
        <f t="shared" si="102"/>
        <v>7672200000</v>
      </c>
      <c r="D2084" s="76">
        <f t="shared" si="103"/>
        <v>1190922376.7603569</v>
      </c>
    </row>
    <row r="2085" spans="1:4" x14ac:dyDescent="0.3">
      <c r="A2085">
        <v>1010000</v>
      </c>
      <c r="B2085" s="29">
        <f t="shared" si="101"/>
        <v>6484472130.9303036</v>
      </c>
      <c r="C2085" s="39">
        <f t="shared" si="102"/>
        <v>7676000000</v>
      </c>
      <c r="D2085" s="76">
        <f t="shared" si="103"/>
        <v>1191527869.0696964</v>
      </c>
    </row>
    <row r="2086" spans="1:4" x14ac:dyDescent="0.3">
      <c r="A2086">
        <v>1010500</v>
      </c>
      <c r="B2086" s="29">
        <f t="shared" si="101"/>
        <v>6487666638.6209631</v>
      </c>
      <c r="C2086" s="39">
        <f t="shared" si="102"/>
        <v>7679800000</v>
      </c>
      <c r="D2086" s="76">
        <f t="shared" si="103"/>
        <v>1192133361.3790369</v>
      </c>
    </row>
    <row r="2087" spans="1:4" x14ac:dyDescent="0.3">
      <c r="A2087">
        <v>1011000</v>
      </c>
      <c r="B2087" s="29">
        <f t="shared" si="101"/>
        <v>6490861146.3116236</v>
      </c>
      <c r="C2087" s="39">
        <f t="shared" si="102"/>
        <v>7683600000</v>
      </c>
      <c r="D2087" s="76">
        <f t="shared" si="103"/>
        <v>1192738853.6883764</v>
      </c>
    </row>
    <row r="2088" spans="1:4" x14ac:dyDescent="0.3">
      <c r="A2088">
        <v>1011500</v>
      </c>
      <c r="B2088" s="29">
        <f t="shared" si="101"/>
        <v>6494055654.0022831</v>
      </c>
      <c r="C2088" s="39">
        <f t="shared" si="102"/>
        <v>7687400000</v>
      </c>
      <c r="D2088" s="76">
        <f t="shared" si="103"/>
        <v>1193344345.9977169</v>
      </c>
    </row>
    <row r="2089" spans="1:4" x14ac:dyDescent="0.3">
      <c r="A2089">
        <v>1012000</v>
      </c>
      <c r="B2089" s="29">
        <f t="shared" si="101"/>
        <v>6497250161.6929436</v>
      </c>
      <c r="C2089" s="39">
        <f t="shared" si="102"/>
        <v>7691200000</v>
      </c>
      <c r="D2089" s="76">
        <f t="shared" si="103"/>
        <v>1193949838.3070564</v>
      </c>
    </row>
    <row r="2090" spans="1:4" x14ac:dyDescent="0.3">
      <c r="A2090">
        <v>1012500</v>
      </c>
      <c r="B2090" s="29">
        <f t="shared" si="101"/>
        <v>6500444669.3836031</v>
      </c>
      <c r="C2090" s="39">
        <f t="shared" si="102"/>
        <v>7695000000</v>
      </c>
      <c r="D2090" s="76">
        <f t="shared" si="103"/>
        <v>1194555330.6163969</v>
      </c>
    </row>
    <row r="2091" spans="1:4" x14ac:dyDescent="0.3">
      <c r="A2091">
        <v>1013000</v>
      </c>
      <c r="B2091" s="29">
        <f t="shared" si="101"/>
        <v>6503639177.0742636</v>
      </c>
      <c r="C2091" s="39">
        <f t="shared" si="102"/>
        <v>7698800000</v>
      </c>
      <c r="D2091" s="76">
        <f t="shared" si="103"/>
        <v>1195160822.9257364</v>
      </c>
    </row>
    <row r="2092" spans="1:4" x14ac:dyDescent="0.3">
      <c r="A2092">
        <v>1013500</v>
      </c>
      <c r="B2092" s="29">
        <f t="shared" si="101"/>
        <v>6506833684.7649231</v>
      </c>
      <c r="C2092" s="39">
        <f t="shared" si="102"/>
        <v>7702600000</v>
      </c>
      <c r="D2092" s="76">
        <f t="shared" si="103"/>
        <v>1195766315.2350769</v>
      </c>
    </row>
    <row r="2093" spans="1:4" x14ac:dyDescent="0.3">
      <c r="A2093">
        <v>1014000</v>
      </c>
      <c r="B2093" s="29">
        <f t="shared" si="101"/>
        <v>6510028192.4555836</v>
      </c>
      <c r="C2093" s="39">
        <f t="shared" si="102"/>
        <v>7706400000</v>
      </c>
      <c r="D2093" s="76">
        <f t="shared" si="103"/>
        <v>1196371807.5444164</v>
      </c>
    </row>
    <row r="2094" spans="1:4" x14ac:dyDescent="0.3">
      <c r="A2094">
        <v>1014500</v>
      </c>
      <c r="B2094" s="29">
        <f t="shared" si="101"/>
        <v>6513222700.1462431</v>
      </c>
      <c r="C2094" s="39">
        <f t="shared" si="102"/>
        <v>7710200000</v>
      </c>
      <c r="D2094" s="76">
        <f t="shared" si="103"/>
        <v>1196977299.8537569</v>
      </c>
    </row>
    <row r="2095" spans="1:4" x14ac:dyDescent="0.3">
      <c r="A2095">
        <v>1015000</v>
      </c>
      <c r="B2095" s="29">
        <f t="shared" si="101"/>
        <v>6516417207.8369036</v>
      </c>
      <c r="C2095" s="39">
        <f t="shared" si="102"/>
        <v>7714000000</v>
      </c>
      <c r="D2095" s="76">
        <f t="shared" si="103"/>
        <v>1197582792.1630964</v>
      </c>
    </row>
    <row r="2096" spans="1:4" x14ac:dyDescent="0.3">
      <c r="A2096">
        <v>1015500</v>
      </c>
      <c r="B2096" s="29">
        <f t="shared" si="101"/>
        <v>6519611715.5275631</v>
      </c>
      <c r="C2096" s="39">
        <f t="shared" si="102"/>
        <v>7717800000</v>
      </c>
      <c r="D2096" s="76">
        <f t="shared" si="103"/>
        <v>1198188284.4724369</v>
      </c>
    </row>
    <row r="2097" spans="1:4" x14ac:dyDescent="0.3">
      <c r="A2097">
        <v>1016000</v>
      </c>
      <c r="B2097" s="29">
        <f t="shared" si="101"/>
        <v>6522806223.2182236</v>
      </c>
      <c r="C2097" s="39">
        <f t="shared" si="102"/>
        <v>7721600000</v>
      </c>
      <c r="D2097" s="76">
        <f t="shared" si="103"/>
        <v>1198793776.7817764</v>
      </c>
    </row>
    <row r="2098" spans="1:4" x14ac:dyDescent="0.3">
      <c r="A2098">
        <v>1016500</v>
      </c>
      <c r="B2098" s="29">
        <f t="shared" si="101"/>
        <v>6526000730.9088831</v>
      </c>
      <c r="C2098" s="39">
        <f t="shared" si="102"/>
        <v>7725400000</v>
      </c>
      <c r="D2098" s="76">
        <f t="shared" si="103"/>
        <v>1199399269.0911169</v>
      </c>
    </row>
    <row r="2099" spans="1:4" x14ac:dyDescent="0.3">
      <c r="A2099">
        <v>1017000</v>
      </c>
      <c r="B2099" s="29">
        <f t="shared" si="101"/>
        <v>6529195238.5995436</v>
      </c>
      <c r="C2099" s="39">
        <f t="shared" si="102"/>
        <v>7729200000</v>
      </c>
      <c r="D2099" s="76">
        <f t="shared" si="103"/>
        <v>1200004761.4004564</v>
      </c>
    </row>
    <row r="2100" spans="1:4" x14ac:dyDescent="0.3">
      <c r="A2100">
        <v>1017500</v>
      </c>
      <c r="B2100" s="29">
        <f t="shared" si="101"/>
        <v>6532389746.2902031</v>
      </c>
      <c r="C2100" s="39">
        <f t="shared" si="102"/>
        <v>7733000000</v>
      </c>
      <c r="D2100" s="76">
        <f t="shared" si="103"/>
        <v>1200610253.7097969</v>
      </c>
    </row>
    <row r="2101" spans="1:4" x14ac:dyDescent="0.3">
      <c r="A2101">
        <v>1018000</v>
      </c>
      <c r="B2101" s="29">
        <f t="shared" si="101"/>
        <v>6535584253.9808636</v>
      </c>
      <c r="C2101" s="39">
        <f t="shared" si="102"/>
        <v>7736800000</v>
      </c>
      <c r="D2101" s="76">
        <f t="shared" si="103"/>
        <v>1201215746.0191364</v>
      </c>
    </row>
    <row r="2102" spans="1:4" x14ac:dyDescent="0.3">
      <c r="A2102">
        <v>1018500</v>
      </c>
      <c r="B2102" s="29">
        <f t="shared" si="101"/>
        <v>6538778761.6715231</v>
      </c>
      <c r="C2102" s="39">
        <f t="shared" si="102"/>
        <v>7740600000</v>
      </c>
      <c r="D2102" s="76">
        <f t="shared" si="103"/>
        <v>1201821238.3284769</v>
      </c>
    </row>
    <row r="2103" spans="1:4" x14ac:dyDescent="0.3">
      <c r="A2103">
        <v>1019000</v>
      </c>
      <c r="B2103" s="29">
        <f t="shared" si="101"/>
        <v>6541973269.3621836</v>
      </c>
      <c r="C2103" s="39">
        <f t="shared" si="102"/>
        <v>7744400000</v>
      </c>
      <c r="D2103" s="76">
        <f t="shared" si="103"/>
        <v>1202426730.6378164</v>
      </c>
    </row>
    <row r="2104" spans="1:4" x14ac:dyDescent="0.3">
      <c r="A2104">
        <v>1019500</v>
      </c>
      <c r="B2104" s="29">
        <f t="shared" si="101"/>
        <v>6545167777.0528431</v>
      </c>
      <c r="C2104" s="39">
        <f t="shared" si="102"/>
        <v>7748200000</v>
      </c>
      <c r="D2104" s="76">
        <f t="shared" si="103"/>
        <v>1203032222.9471569</v>
      </c>
    </row>
    <row r="2105" spans="1:4" x14ac:dyDescent="0.3">
      <c r="A2105">
        <v>1020000</v>
      </c>
      <c r="B2105" s="29">
        <f t="shared" si="101"/>
        <v>6548362284.7435036</v>
      </c>
      <c r="C2105" s="39">
        <f t="shared" si="102"/>
        <v>7752000000</v>
      </c>
      <c r="D2105" s="76">
        <f t="shared" si="103"/>
        <v>1203637715.2564964</v>
      </c>
    </row>
    <row r="2106" spans="1:4" x14ac:dyDescent="0.3">
      <c r="A2106">
        <v>1020500</v>
      </c>
      <c r="B2106" s="29">
        <f t="shared" si="101"/>
        <v>6551556792.4341631</v>
      </c>
      <c r="C2106" s="39">
        <f t="shared" si="102"/>
        <v>7755800000</v>
      </c>
      <c r="D2106" s="76">
        <f t="shared" si="103"/>
        <v>1204243207.5658369</v>
      </c>
    </row>
    <row r="2107" spans="1:4" x14ac:dyDescent="0.3">
      <c r="A2107">
        <v>1021000</v>
      </c>
      <c r="B2107" s="29">
        <f t="shared" si="101"/>
        <v>6554751300.1248236</v>
      </c>
      <c r="C2107" s="39">
        <f t="shared" si="102"/>
        <v>7759600000</v>
      </c>
      <c r="D2107" s="76">
        <f t="shared" si="103"/>
        <v>1204848699.8751764</v>
      </c>
    </row>
    <row r="2108" spans="1:4" x14ac:dyDescent="0.3">
      <c r="A2108">
        <v>1021500</v>
      </c>
      <c r="B2108" s="29">
        <f t="shared" si="101"/>
        <v>6557945807.8154831</v>
      </c>
      <c r="C2108" s="39">
        <f t="shared" si="102"/>
        <v>7763400000</v>
      </c>
      <c r="D2108" s="76">
        <f t="shared" si="103"/>
        <v>1205454192.1845169</v>
      </c>
    </row>
    <row r="2109" spans="1:4" x14ac:dyDescent="0.3">
      <c r="A2109">
        <v>1022000</v>
      </c>
      <c r="B2109" s="29">
        <f t="shared" si="101"/>
        <v>6561140315.5061436</v>
      </c>
      <c r="C2109" s="39">
        <f t="shared" si="102"/>
        <v>7767200000</v>
      </c>
      <c r="D2109" s="76">
        <f t="shared" si="103"/>
        <v>1206059684.4938564</v>
      </c>
    </row>
    <row r="2110" spans="1:4" x14ac:dyDescent="0.3">
      <c r="A2110">
        <v>1022500</v>
      </c>
      <c r="B2110" s="29">
        <f t="shared" si="101"/>
        <v>6564334823.1968031</v>
      </c>
      <c r="C2110" s="39">
        <f t="shared" si="102"/>
        <v>7771000000</v>
      </c>
      <c r="D2110" s="76">
        <f t="shared" si="103"/>
        <v>1206665176.8031969</v>
      </c>
    </row>
    <row r="2111" spans="1:4" x14ac:dyDescent="0.3">
      <c r="A2111">
        <v>1023000</v>
      </c>
      <c r="B2111" s="29">
        <f t="shared" si="101"/>
        <v>6567529330.8874636</v>
      </c>
      <c r="C2111" s="39">
        <f t="shared" si="102"/>
        <v>7774800000</v>
      </c>
      <c r="D2111" s="76">
        <f t="shared" si="103"/>
        <v>1207270669.1125364</v>
      </c>
    </row>
    <row r="2112" spans="1:4" x14ac:dyDescent="0.3">
      <c r="A2112">
        <v>1023500</v>
      </c>
      <c r="B2112" s="29">
        <f t="shared" si="101"/>
        <v>6570723838.5781231</v>
      </c>
      <c r="C2112" s="39">
        <f t="shared" si="102"/>
        <v>7778600000</v>
      </c>
      <c r="D2112" s="76">
        <f t="shared" si="103"/>
        <v>1207876161.4218769</v>
      </c>
    </row>
    <row r="2113" spans="1:4" x14ac:dyDescent="0.3">
      <c r="A2113">
        <v>1024000</v>
      </c>
      <c r="B2113" s="29">
        <f t="shared" si="101"/>
        <v>6573918346.2687836</v>
      </c>
      <c r="C2113" s="39">
        <f t="shared" si="102"/>
        <v>7782400000</v>
      </c>
      <c r="D2113" s="76">
        <f t="shared" si="103"/>
        <v>1208481653.7312164</v>
      </c>
    </row>
    <row r="2114" spans="1:4" x14ac:dyDescent="0.3">
      <c r="A2114">
        <v>1024500</v>
      </c>
      <c r="B2114" s="29">
        <f t="shared" ref="B2114:B2131" si="104">$B$54+($B$60*A2114)</f>
        <v>6577112853.9594431</v>
      </c>
      <c r="C2114" s="39">
        <f t="shared" ref="C2114:C2131" si="105">$E$50*A2114</f>
        <v>7786200000</v>
      </c>
      <c r="D2114" s="76">
        <f t="shared" ref="D2114:D2131" si="106">C2114-B2114</f>
        <v>1209087146.0405569</v>
      </c>
    </row>
    <row r="2115" spans="1:4" x14ac:dyDescent="0.3">
      <c r="A2115">
        <v>1025000</v>
      </c>
      <c r="B2115" s="29">
        <f t="shared" si="104"/>
        <v>6580307361.6501036</v>
      </c>
      <c r="C2115" s="39">
        <f t="shared" si="105"/>
        <v>7790000000</v>
      </c>
      <c r="D2115" s="76">
        <f t="shared" si="106"/>
        <v>1209692638.3498964</v>
      </c>
    </row>
    <row r="2116" spans="1:4" x14ac:dyDescent="0.3">
      <c r="A2116">
        <v>1025500</v>
      </c>
      <c r="B2116" s="29">
        <f t="shared" si="104"/>
        <v>6583501869.3407631</v>
      </c>
      <c r="C2116" s="39">
        <f t="shared" si="105"/>
        <v>7793800000</v>
      </c>
      <c r="D2116" s="76">
        <f t="shared" si="106"/>
        <v>1210298130.6592369</v>
      </c>
    </row>
    <row r="2117" spans="1:4" x14ac:dyDescent="0.3">
      <c r="A2117">
        <v>1026000</v>
      </c>
      <c r="B2117" s="29">
        <f t="shared" si="104"/>
        <v>6586696377.0314236</v>
      </c>
      <c r="C2117" s="39">
        <f t="shared" si="105"/>
        <v>7797600000</v>
      </c>
      <c r="D2117" s="76">
        <f t="shared" si="106"/>
        <v>1210903622.9685764</v>
      </c>
    </row>
    <row r="2118" spans="1:4" x14ac:dyDescent="0.3">
      <c r="A2118">
        <v>1026500</v>
      </c>
      <c r="B2118" s="29">
        <f t="shared" si="104"/>
        <v>6589890884.7220831</v>
      </c>
      <c r="C2118" s="39">
        <f t="shared" si="105"/>
        <v>7801400000</v>
      </c>
      <c r="D2118" s="76">
        <f t="shared" si="106"/>
        <v>1211509115.2779169</v>
      </c>
    </row>
    <row r="2119" spans="1:4" x14ac:dyDescent="0.3">
      <c r="A2119">
        <v>1027000</v>
      </c>
      <c r="B2119" s="29">
        <f t="shared" si="104"/>
        <v>6593085392.4127436</v>
      </c>
      <c r="C2119" s="39">
        <f t="shared" si="105"/>
        <v>7805200000</v>
      </c>
      <c r="D2119" s="76">
        <f t="shared" si="106"/>
        <v>1212114607.5872564</v>
      </c>
    </row>
    <row r="2120" spans="1:4" x14ac:dyDescent="0.3">
      <c r="A2120">
        <v>1027500</v>
      </c>
      <c r="B2120" s="29">
        <f t="shared" si="104"/>
        <v>6596279900.1034031</v>
      </c>
      <c r="C2120" s="39">
        <f t="shared" si="105"/>
        <v>7809000000</v>
      </c>
      <c r="D2120" s="76">
        <f t="shared" si="106"/>
        <v>1212720099.8965969</v>
      </c>
    </row>
    <row r="2121" spans="1:4" x14ac:dyDescent="0.3">
      <c r="A2121">
        <v>1028000</v>
      </c>
      <c r="B2121" s="29">
        <f t="shared" si="104"/>
        <v>6599474407.7940636</v>
      </c>
      <c r="C2121" s="39">
        <f t="shared" si="105"/>
        <v>7812800000</v>
      </c>
      <c r="D2121" s="76">
        <f t="shared" si="106"/>
        <v>1213325592.2059364</v>
      </c>
    </row>
    <row r="2122" spans="1:4" x14ac:dyDescent="0.3">
      <c r="A2122">
        <v>1028500</v>
      </c>
      <c r="B2122" s="29">
        <f t="shared" si="104"/>
        <v>6602668915.4847231</v>
      </c>
      <c r="C2122" s="39">
        <f t="shared" si="105"/>
        <v>7816600000</v>
      </c>
      <c r="D2122" s="76">
        <f t="shared" si="106"/>
        <v>1213931084.5152769</v>
      </c>
    </row>
    <row r="2123" spans="1:4" x14ac:dyDescent="0.3">
      <c r="A2123">
        <v>1029000</v>
      </c>
      <c r="B2123" s="29">
        <f t="shared" si="104"/>
        <v>6605863423.1753836</v>
      </c>
      <c r="C2123" s="39">
        <f t="shared" si="105"/>
        <v>7820400000</v>
      </c>
      <c r="D2123" s="76">
        <f t="shared" si="106"/>
        <v>1214536576.8246164</v>
      </c>
    </row>
    <row r="2124" spans="1:4" x14ac:dyDescent="0.3">
      <c r="A2124">
        <v>1029500</v>
      </c>
      <c r="B2124" s="29">
        <f t="shared" si="104"/>
        <v>6609057930.8660431</v>
      </c>
      <c r="C2124" s="39">
        <f t="shared" si="105"/>
        <v>7824200000</v>
      </c>
      <c r="D2124" s="76">
        <f t="shared" si="106"/>
        <v>1215142069.1339569</v>
      </c>
    </row>
    <row r="2125" spans="1:4" x14ac:dyDescent="0.3">
      <c r="A2125">
        <v>1030000</v>
      </c>
      <c r="B2125" s="29">
        <f t="shared" si="104"/>
        <v>6612252438.5567036</v>
      </c>
      <c r="C2125" s="39">
        <f t="shared" si="105"/>
        <v>7828000000</v>
      </c>
      <c r="D2125" s="76">
        <f t="shared" si="106"/>
        <v>1215747561.4432964</v>
      </c>
    </row>
    <row r="2126" spans="1:4" x14ac:dyDescent="0.3">
      <c r="A2126">
        <v>1030500</v>
      </c>
      <c r="B2126" s="29">
        <f t="shared" si="104"/>
        <v>6615446946.2473631</v>
      </c>
      <c r="C2126" s="39">
        <f t="shared" si="105"/>
        <v>7831800000</v>
      </c>
      <c r="D2126" s="76">
        <f t="shared" si="106"/>
        <v>1216353053.7526369</v>
      </c>
    </row>
    <row r="2127" spans="1:4" x14ac:dyDescent="0.3">
      <c r="A2127">
        <v>1031000</v>
      </c>
      <c r="B2127" s="29">
        <f t="shared" si="104"/>
        <v>6618641453.9380236</v>
      </c>
      <c r="C2127" s="39">
        <f t="shared" si="105"/>
        <v>7835600000</v>
      </c>
      <c r="D2127" s="76">
        <f t="shared" si="106"/>
        <v>1216958546.0619764</v>
      </c>
    </row>
    <row r="2128" spans="1:4" x14ac:dyDescent="0.3">
      <c r="A2128">
        <v>1031500</v>
      </c>
      <c r="B2128" s="29">
        <f t="shared" si="104"/>
        <v>6621835961.6286831</v>
      </c>
      <c r="C2128" s="39">
        <f t="shared" si="105"/>
        <v>7839400000</v>
      </c>
      <c r="D2128" s="76">
        <f t="shared" si="106"/>
        <v>1217564038.3713169</v>
      </c>
    </row>
    <row r="2129" spans="1:4" x14ac:dyDescent="0.3">
      <c r="A2129">
        <v>1032000</v>
      </c>
      <c r="B2129" s="29">
        <f t="shared" si="104"/>
        <v>6625030469.3193436</v>
      </c>
      <c r="C2129" s="39">
        <f t="shared" si="105"/>
        <v>7843200000</v>
      </c>
      <c r="D2129" s="76">
        <f t="shared" si="106"/>
        <v>1218169530.6806564</v>
      </c>
    </row>
    <row r="2130" spans="1:4" x14ac:dyDescent="0.3">
      <c r="A2130">
        <v>1032500</v>
      </c>
      <c r="B2130" s="29">
        <f t="shared" si="104"/>
        <v>6628224977.0100031</v>
      </c>
      <c r="C2130" s="39">
        <f t="shared" si="105"/>
        <v>7847000000</v>
      </c>
      <c r="D2130" s="76">
        <f t="shared" si="106"/>
        <v>1218775022.9899969</v>
      </c>
    </row>
    <row r="2131" spans="1:4" x14ac:dyDescent="0.3">
      <c r="A2131">
        <v>1033000</v>
      </c>
      <c r="B2131" s="29">
        <f t="shared" si="104"/>
        <v>6631419484.7006636</v>
      </c>
      <c r="C2131" s="39">
        <f t="shared" si="105"/>
        <v>7850800000</v>
      </c>
      <c r="D2131" s="76">
        <f t="shared" si="106"/>
        <v>1219380515.2993364</v>
      </c>
    </row>
    <row r="2132" spans="1:4" x14ac:dyDescent="0.3">
      <c r="A2132">
        <v>1033500</v>
      </c>
    </row>
    <row r="2133" spans="1:4" x14ac:dyDescent="0.3">
      <c r="A2133">
        <v>1034000</v>
      </c>
    </row>
    <row r="2134" spans="1:4" x14ac:dyDescent="0.3">
      <c r="A2134">
        <v>1034500</v>
      </c>
    </row>
    <row r="2135" spans="1:4" x14ac:dyDescent="0.3">
      <c r="A2135">
        <v>1035000</v>
      </c>
    </row>
    <row r="2136" spans="1:4" x14ac:dyDescent="0.3">
      <c r="A2136">
        <v>1035500</v>
      </c>
    </row>
    <row r="2137" spans="1:4" x14ac:dyDescent="0.3">
      <c r="A2137">
        <v>1036000</v>
      </c>
    </row>
    <row r="2138" spans="1:4" x14ac:dyDescent="0.3">
      <c r="A2138">
        <v>1036500</v>
      </c>
    </row>
    <row r="2139" spans="1:4" x14ac:dyDescent="0.3">
      <c r="A2139">
        <v>1037000</v>
      </c>
    </row>
    <row r="2140" spans="1:4" x14ac:dyDescent="0.3">
      <c r="A2140">
        <v>1037500</v>
      </c>
    </row>
    <row r="2141" spans="1:4" x14ac:dyDescent="0.3">
      <c r="A2141">
        <v>1038000</v>
      </c>
    </row>
    <row r="2142" spans="1:4" x14ac:dyDescent="0.3">
      <c r="A2142">
        <v>1038500</v>
      </c>
    </row>
    <row r="2143" spans="1:4" x14ac:dyDescent="0.3">
      <c r="A2143">
        <v>1039000</v>
      </c>
    </row>
    <row r="2144" spans="1:4" x14ac:dyDescent="0.3">
      <c r="A2144">
        <v>1039500</v>
      </c>
    </row>
    <row r="2145" spans="1:1" x14ac:dyDescent="0.3">
      <c r="A2145">
        <v>1040000</v>
      </c>
    </row>
    <row r="2146" spans="1:1" x14ac:dyDescent="0.3">
      <c r="A2146">
        <v>1040500</v>
      </c>
    </row>
    <row r="2147" spans="1:1" x14ac:dyDescent="0.3">
      <c r="A2147">
        <v>1041000</v>
      </c>
    </row>
    <row r="2148" spans="1:1" x14ac:dyDescent="0.3">
      <c r="A2148">
        <v>1041500</v>
      </c>
    </row>
    <row r="2149" spans="1:1" x14ac:dyDescent="0.3">
      <c r="A2149">
        <v>1042000</v>
      </c>
    </row>
    <row r="2150" spans="1:1" x14ac:dyDescent="0.3">
      <c r="A2150">
        <v>1042500</v>
      </c>
    </row>
    <row r="2151" spans="1:1" x14ac:dyDescent="0.3">
      <c r="A2151">
        <v>1043000</v>
      </c>
    </row>
    <row r="2152" spans="1:1" x14ac:dyDescent="0.3">
      <c r="A2152">
        <v>1043500</v>
      </c>
    </row>
    <row r="2153" spans="1:1" x14ac:dyDescent="0.3">
      <c r="A2153">
        <v>1044000</v>
      </c>
    </row>
    <row r="2154" spans="1:1" x14ac:dyDescent="0.3">
      <c r="A2154">
        <v>1044500</v>
      </c>
    </row>
    <row r="2155" spans="1:1" x14ac:dyDescent="0.3">
      <c r="A2155">
        <v>1045000</v>
      </c>
    </row>
    <row r="2156" spans="1:1" x14ac:dyDescent="0.3">
      <c r="A2156">
        <v>1045500</v>
      </c>
    </row>
    <row r="2157" spans="1:1" x14ac:dyDescent="0.3">
      <c r="A2157">
        <v>1046000</v>
      </c>
    </row>
    <row r="2158" spans="1:1" x14ac:dyDescent="0.3">
      <c r="A2158">
        <v>1046500</v>
      </c>
    </row>
    <row r="2159" spans="1:1" x14ac:dyDescent="0.3">
      <c r="A2159">
        <v>1047000</v>
      </c>
    </row>
    <row r="2160" spans="1:1" x14ac:dyDescent="0.3">
      <c r="A2160">
        <v>1047500</v>
      </c>
    </row>
    <row r="2161" spans="1:1" x14ac:dyDescent="0.3">
      <c r="A2161">
        <v>1048000</v>
      </c>
    </row>
    <row r="2162" spans="1:1" x14ac:dyDescent="0.3">
      <c r="A2162">
        <v>1048500</v>
      </c>
    </row>
    <row r="2163" spans="1:1" x14ac:dyDescent="0.3">
      <c r="A2163">
        <v>1049000</v>
      </c>
    </row>
    <row r="2164" spans="1:1" x14ac:dyDescent="0.3">
      <c r="A2164">
        <v>1049500</v>
      </c>
    </row>
    <row r="2165" spans="1:1" x14ac:dyDescent="0.3">
      <c r="A2165">
        <v>1050000</v>
      </c>
    </row>
    <row r="2166" spans="1:1" x14ac:dyDescent="0.3">
      <c r="A2166">
        <v>1050500</v>
      </c>
    </row>
    <row r="2167" spans="1:1" x14ac:dyDescent="0.3">
      <c r="A2167">
        <v>1051000</v>
      </c>
    </row>
    <row r="2168" spans="1:1" x14ac:dyDescent="0.3">
      <c r="A2168">
        <v>1051500</v>
      </c>
    </row>
    <row r="2169" spans="1:1" x14ac:dyDescent="0.3">
      <c r="A2169">
        <v>1052000</v>
      </c>
    </row>
    <row r="2170" spans="1:1" x14ac:dyDescent="0.3">
      <c r="A2170">
        <v>1052500</v>
      </c>
    </row>
    <row r="2171" spans="1:1" x14ac:dyDescent="0.3">
      <c r="A2171">
        <v>1053000</v>
      </c>
    </row>
    <row r="2172" spans="1:1" x14ac:dyDescent="0.3">
      <c r="A2172">
        <v>1053500</v>
      </c>
    </row>
    <row r="2173" spans="1:1" x14ac:dyDescent="0.3">
      <c r="A2173">
        <v>1054000</v>
      </c>
    </row>
    <row r="2174" spans="1:1" x14ac:dyDescent="0.3">
      <c r="A2174">
        <v>1054500</v>
      </c>
    </row>
    <row r="2175" spans="1:1" x14ac:dyDescent="0.3">
      <c r="A2175">
        <v>1055000</v>
      </c>
    </row>
    <row r="2176" spans="1:1" x14ac:dyDescent="0.3">
      <c r="A2176">
        <v>1055500</v>
      </c>
    </row>
    <row r="2177" spans="1:1" x14ac:dyDescent="0.3">
      <c r="A2177">
        <v>1056000</v>
      </c>
    </row>
    <row r="2178" spans="1:1" x14ac:dyDescent="0.3">
      <c r="A2178">
        <v>1056500</v>
      </c>
    </row>
    <row r="2179" spans="1:1" x14ac:dyDescent="0.3">
      <c r="A2179">
        <v>1057000</v>
      </c>
    </row>
    <row r="2180" spans="1:1" x14ac:dyDescent="0.3">
      <c r="A2180">
        <v>1057500</v>
      </c>
    </row>
    <row r="2181" spans="1:1" x14ac:dyDescent="0.3">
      <c r="A2181">
        <v>1058000</v>
      </c>
    </row>
    <row r="2182" spans="1:1" x14ac:dyDescent="0.3">
      <c r="A2182">
        <v>1058500</v>
      </c>
    </row>
    <row r="2183" spans="1:1" x14ac:dyDescent="0.3">
      <c r="A2183">
        <v>1059000</v>
      </c>
    </row>
    <row r="2184" spans="1:1" x14ac:dyDescent="0.3">
      <c r="A2184">
        <v>1059500</v>
      </c>
    </row>
    <row r="2185" spans="1:1" x14ac:dyDescent="0.3">
      <c r="A2185">
        <v>1060000</v>
      </c>
    </row>
    <row r="2186" spans="1:1" x14ac:dyDescent="0.3">
      <c r="A2186">
        <v>1060500</v>
      </c>
    </row>
    <row r="2187" spans="1:1" x14ac:dyDescent="0.3">
      <c r="A2187">
        <v>1061000</v>
      </c>
    </row>
    <row r="2188" spans="1:1" x14ac:dyDescent="0.3">
      <c r="A2188">
        <v>1061500</v>
      </c>
    </row>
    <row r="2189" spans="1:1" x14ac:dyDescent="0.3">
      <c r="A2189">
        <v>1062000</v>
      </c>
    </row>
    <row r="2190" spans="1:1" x14ac:dyDescent="0.3">
      <c r="A2190">
        <v>1062500</v>
      </c>
    </row>
    <row r="2191" spans="1:1" x14ac:dyDescent="0.3">
      <c r="A2191">
        <v>1063000</v>
      </c>
    </row>
    <row r="2192" spans="1:1" x14ac:dyDescent="0.3">
      <c r="A2192">
        <v>1063500</v>
      </c>
    </row>
    <row r="2193" spans="1:1" x14ac:dyDescent="0.3">
      <c r="A2193">
        <v>1064000</v>
      </c>
    </row>
    <row r="2194" spans="1:1" x14ac:dyDescent="0.3">
      <c r="A2194">
        <v>1064500</v>
      </c>
    </row>
    <row r="2195" spans="1:1" x14ac:dyDescent="0.3">
      <c r="A2195">
        <v>1065000</v>
      </c>
    </row>
    <row r="2196" spans="1:1" x14ac:dyDescent="0.3">
      <c r="A2196">
        <v>1065500</v>
      </c>
    </row>
    <row r="2197" spans="1:1" x14ac:dyDescent="0.3">
      <c r="A2197">
        <v>1066000</v>
      </c>
    </row>
    <row r="2198" spans="1:1" x14ac:dyDescent="0.3">
      <c r="A2198">
        <v>1066500</v>
      </c>
    </row>
    <row r="2199" spans="1:1" x14ac:dyDescent="0.3">
      <c r="A2199">
        <v>1067000</v>
      </c>
    </row>
    <row r="2200" spans="1:1" x14ac:dyDescent="0.3">
      <c r="A2200">
        <v>1067500</v>
      </c>
    </row>
    <row r="2201" spans="1:1" x14ac:dyDescent="0.3">
      <c r="A2201">
        <v>1068000</v>
      </c>
    </row>
    <row r="2202" spans="1:1" x14ac:dyDescent="0.3">
      <c r="A2202">
        <v>1068500</v>
      </c>
    </row>
    <row r="2203" spans="1:1" x14ac:dyDescent="0.3">
      <c r="A2203">
        <v>1069000</v>
      </c>
    </row>
    <row r="2204" spans="1:1" x14ac:dyDescent="0.3">
      <c r="A2204">
        <v>1069500</v>
      </c>
    </row>
    <row r="2205" spans="1:1" x14ac:dyDescent="0.3">
      <c r="A2205">
        <v>1070000</v>
      </c>
    </row>
    <row r="2206" spans="1:1" x14ac:dyDescent="0.3">
      <c r="A2206">
        <v>1070500</v>
      </c>
    </row>
    <row r="2207" spans="1:1" x14ac:dyDescent="0.3">
      <c r="A2207">
        <v>1071000</v>
      </c>
    </row>
    <row r="2208" spans="1:1" x14ac:dyDescent="0.3">
      <c r="A2208">
        <v>1071500</v>
      </c>
    </row>
    <row r="2209" spans="1:1" x14ac:dyDescent="0.3">
      <c r="A2209">
        <v>1072000</v>
      </c>
    </row>
    <row r="2210" spans="1:1" x14ac:dyDescent="0.3">
      <c r="A2210">
        <v>1072500</v>
      </c>
    </row>
    <row r="2211" spans="1:1" x14ac:dyDescent="0.3">
      <c r="A2211">
        <v>1073000</v>
      </c>
    </row>
    <row r="2212" spans="1:1" x14ac:dyDescent="0.3">
      <c r="A2212">
        <v>1073500</v>
      </c>
    </row>
    <row r="2213" spans="1:1" x14ac:dyDescent="0.3">
      <c r="A2213">
        <v>1074000</v>
      </c>
    </row>
    <row r="2214" spans="1:1" x14ac:dyDescent="0.3">
      <c r="A2214">
        <v>1074500</v>
      </c>
    </row>
    <row r="2215" spans="1:1" x14ac:dyDescent="0.3">
      <c r="A2215">
        <v>1075000</v>
      </c>
    </row>
    <row r="2216" spans="1:1" x14ac:dyDescent="0.3">
      <c r="A2216">
        <v>1075500</v>
      </c>
    </row>
    <row r="2217" spans="1:1" x14ac:dyDescent="0.3">
      <c r="A2217">
        <v>1076000</v>
      </c>
    </row>
    <row r="2218" spans="1:1" x14ac:dyDescent="0.3">
      <c r="A2218">
        <v>1076500</v>
      </c>
    </row>
    <row r="2219" spans="1:1" x14ac:dyDescent="0.3">
      <c r="A2219">
        <v>1077000</v>
      </c>
    </row>
    <row r="2220" spans="1:1" x14ac:dyDescent="0.3">
      <c r="A2220">
        <v>1077500</v>
      </c>
    </row>
    <row r="2221" spans="1:1" x14ac:dyDescent="0.3">
      <c r="A2221">
        <v>1078000</v>
      </c>
    </row>
    <row r="2222" spans="1:1" x14ac:dyDescent="0.3">
      <c r="A2222">
        <v>1078500</v>
      </c>
    </row>
    <row r="2223" spans="1:1" x14ac:dyDescent="0.3">
      <c r="A2223">
        <v>1079000</v>
      </c>
    </row>
    <row r="2224" spans="1:1" x14ac:dyDescent="0.3">
      <c r="A2224">
        <v>1079500</v>
      </c>
    </row>
    <row r="2225" spans="1:1" x14ac:dyDescent="0.3">
      <c r="A2225">
        <v>1080000</v>
      </c>
    </row>
    <row r="2226" spans="1:1" x14ac:dyDescent="0.3">
      <c r="A2226">
        <v>1080500</v>
      </c>
    </row>
    <row r="2227" spans="1:1" x14ac:dyDescent="0.3">
      <c r="A2227">
        <v>1081000</v>
      </c>
    </row>
    <row r="2228" spans="1:1" x14ac:dyDescent="0.3">
      <c r="A2228">
        <v>1081500</v>
      </c>
    </row>
    <row r="2229" spans="1:1" x14ac:dyDescent="0.3">
      <c r="A2229">
        <v>1082000</v>
      </c>
    </row>
    <row r="2230" spans="1:1" x14ac:dyDescent="0.3">
      <c r="A2230">
        <v>1082500</v>
      </c>
    </row>
    <row r="2231" spans="1:1" x14ac:dyDescent="0.3">
      <c r="A2231">
        <v>1083000</v>
      </c>
    </row>
    <row r="2232" spans="1:1" x14ac:dyDescent="0.3">
      <c r="A2232">
        <v>1083500</v>
      </c>
    </row>
    <row r="2233" spans="1:1" x14ac:dyDescent="0.3">
      <c r="A2233">
        <v>1084000</v>
      </c>
    </row>
    <row r="2234" spans="1:1" x14ac:dyDescent="0.3">
      <c r="A2234">
        <v>1084500</v>
      </c>
    </row>
    <row r="2235" spans="1:1" x14ac:dyDescent="0.3">
      <c r="A2235">
        <v>1085000</v>
      </c>
    </row>
    <row r="2236" spans="1:1" x14ac:dyDescent="0.3">
      <c r="A2236">
        <v>1085500</v>
      </c>
    </row>
    <row r="2237" spans="1:1" x14ac:dyDescent="0.3">
      <c r="A2237">
        <v>1086000</v>
      </c>
    </row>
    <row r="2238" spans="1:1" x14ac:dyDescent="0.3">
      <c r="A2238">
        <v>1086500</v>
      </c>
    </row>
    <row r="2239" spans="1:1" x14ac:dyDescent="0.3">
      <c r="A2239">
        <v>1087000</v>
      </c>
    </row>
    <row r="2240" spans="1:1" x14ac:dyDescent="0.3">
      <c r="A2240">
        <v>1087500</v>
      </c>
    </row>
    <row r="2241" spans="1:1" x14ac:dyDescent="0.3">
      <c r="A2241">
        <v>1088000</v>
      </c>
    </row>
    <row r="2242" spans="1:1" x14ac:dyDescent="0.3">
      <c r="A2242">
        <v>1088500</v>
      </c>
    </row>
    <row r="2243" spans="1:1" x14ac:dyDescent="0.3">
      <c r="A2243">
        <v>1089000</v>
      </c>
    </row>
    <row r="2244" spans="1:1" x14ac:dyDescent="0.3">
      <c r="A2244">
        <v>1089500</v>
      </c>
    </row>
    <row r="2245" spans="1:1" x14ac:dyDescent="0.3">
      <c r="A2245">
        <v>1090000</v>
      </c>
    </row>
    <row r="2246" spans="1:1" x14ac:dyDescent="0.3">
      <c r="A2246">
        <v>1090500</v>
      </c>
    </row>
    <row r="2247" spans="1:1" x14ac:dyDescent="0.3">
      <c r="A2247">
        <v>1091000</v>
      </c>
    </row>
    <row r="2248" spans="1:1" x14ac:dyDescent="0.3">
      <c r="A2248">
        <v>1091500</v>
      </c>
    </row>
    <row r="2249" spans="1:1" x14ac:dyDescent="0.3">
      <c r="A2249">
        <v>1092000</v>
      </c>
    </row>
    <row r="2250" spans="1:1" x14ac:dyDescent="0.3">
      <c r="A2250">
        <v>1092500</v>
      </c>
    </row>
    <row r="2251" spans="1:1" x14ac:dyDescent="0.3">
      <c r="A2251">
        <v>1093000</v>
      </c>
    </row>
    <row r="2252" spans="1:1" x14ac:dyDescent="0.3">
      <c r="A2252">
        <v>1093500</v>
      </c>
    </row>
    <row r="2253" spans="1:1" x14ac:dyDescent="0.3">
      <c r="A2253">
        <v>1094000</v>
      </c>
    </row>
    <row r="2254" spans="1:1" x14ac:dyDescent="0.3">
      <c r="A2254">
        <v>1094500</v>
      </c>
    </row>
    <row r="2255" spans="1:1" x14ac:dyDescent="0.3">
      <c r="A2255">
        <v>1095000</v>
      </c>
    </row>
    <row r="2256" spans="1:1" x14ac:dyDescent="0.3">
      <c r="A2256">
        <v>1095500</v>
      </c>
    </row>
    <row r="2257" spans="1:1" x14ac:dyDescent="0.3">
      <c r="A2257">
        <v>1096000</v>
      </c>
    </row>
    <row r="2258" spans="1:1" x14ac:dyDescent="0.3">
      <c r="A2258">
        <v>1096500</v>
      </c>
    </row>
    <row r="2259" spans="1:1" x14ac:dyDescent="0.3">
      <c r="A2259">
        <v>1097000</v>
      </c>
    </row>
    <row r="2260" spans="1:1" x14ac:dyDescent="0.3">
      <c r="A2260">
        <v>1097500</v>
      </c>
    </row>
    <row r="2261" spans="1:1" x14ac:dyDescent="0.3">
      <c r="A2261">
        <v>1098000</v>
      </c>
    </row>
    <row r="2262" spans="1:1" x14ac:dyDescent="0.3">
      <c r="A2262">
        <v>1098500</v>
      </c>
    </row>
    <row r="2263" spans="1:1" x14ac:dyDescent="0.3">
      <c r="A2263">
        <v>1099000</v>
      </c>
    </row>
    <row r="2264" spans="1:1" x14ac:dyDescent="0.3">
      <c r="A2264">
        <v>1099500</v>
      </c>
    </row>
    <row r="2265" spans="1:1" x14ac:dyDescent="0.3">
      <c r="A2265">
        <v>1100000</v>
      </c>
    </row>
    <row r="2266" spans="1:1" x14ac:dyDescent="0.3">
      <c r="A2266">
        <v>1100500</v>
      </c>
    </row>
    <row r="2267" spans="1:1" x14ac:dyDescent="0.3">
      <c r="A2267">
        <v>1101000</v>
      </c>
    </row>
    <row r="2268" spans="1:1" x14ac:dyDescent="0.3">
      <c r="A2268">
        <v>1101500</v>
      </c>
    </row>
    <row r="2269" spans="1:1" x14ac:dyDescent="0.3">
      <c r="A2269">
        <v>1102000</v>
      </c>
    </row>
    <row r="2270" spans="1:1" x14ac:dyDescent="0.3">
      <c r="A2270">
        <v>1102500</v>
      </c>
    </row>
    <row r="2271" spans="1:1" x14ac:dyDescent="0.3">
      <c r="A2271">
        <v>1103000</v>
      </c>
    </row>
    <row r="2272" spans="1:1" x14ac:dyDescent="0.3">
      <c r="A2272">
        <v>1103500</v>
      </c>
    </row>
    <row r="2273" spans="1:1" x14ac:dyDescent="0.3">
      <c r="A2273">
        <v>1104000</v>
      </c>
    </row>
    <row r="2274" spans="1:1" x14ac:dyDescent="0.3">
      <c r="A2274">
        <v>1104500</v>
      </c>
    </row>
    <row r="2275" spans="1:1" x14ac:dyDescent="0.3">
      <c r="A2275">
        <v>1105000</v>
      </c>
    </row>
    <row r="2276" spans="1:1" x14ac:dyDescent="0.3">
      <c r="A2276">
        <v>1105500</v>
      </c>
    </row>
    <row r="2277" spans="1:1" x14ac:dyDescent="0.3">
      <c r="A2277">
        <v>1106000</v>
      </c>
    </row>
    <row r="2278" spans="1:1" x14ac:dyDescent="0.3">
      <c r="A2278">
        <v>1106500</v>
      </c>
    </row>
    <row r="2279" spans="1:1" x14ac:dyDescent="0.3">
      <c r="A2279">
        <v>1107000</v>
      </c>
    </row>
    <row r="2280" spans="1:1" x14ac:dyDescent="0.3">
      <c r="A2280">
        <v>1107500</v>
      </c>
    </row>
    <row r="2281" spans="1:1" x14ac:dyDescent="0.3">
      <c r="A2281">
        <v>1108000</v>
      </c>
    </row>
    <row r="2282" spans="1:1" x14ac:dyDescent="0.3">
      <c r="A2282">
        <v>1108500</v>
      </c>
    </row>
    <row r="2283" spans="1:1" x14ac:dyDescent="0.3">
      <c r="A2283">
        <v>1109000</v>
      </c>
    </row>
    <row r="2284" spans="1:1" x14ac:dyDescent="0.3">
      <c r="A2284">
        <v>1109500</v>
      </c>
    </row>
    <row r="2285" spans="1:1" x14ac:dyDescent="0.3">
      <c r="A2285">
        <v>1110000</v>
      </c>
    </row>
    <row r="2286" spans="1:1" x14ac:dyDescent="0.3">
      <c r="A2286">
        <v>1110500</v>
      </c>
    </row>
    <row r="2287" spans="1:1" x14ac:dyDescent="0.3">
      <c r="A2287">
        <v>1111000</v>
      </c>
    </row>
    <row r="2288" spans="1:1" x14ac:dyDescent="0.3">
      <c r="A2288">
        <v>1111500</v>
      </c>
    </row>
    <row r="2289" spans="1:1" x14ac:dyDescent="0.3">
      <c r="A2289">
        <v>1112000</v>
      </c>
    </row>
    <row r="2290" spans="1:1" x14ac:dyDescent="0.3">
      <c r="A2290">
        <v>1112500</v>
      </c>
    </row>
    <row r="2291" spans="1:1" x14ac:dyDescent="0.3">
      <c r="A2291">
        <v>1113000</v>
      </c>
    </row>
    <row r="2292" spans="1:1" x14ac:dyDescent="0.3">
      <c r="A2292">
        <v>1113500</v>
      </c>
    </row>
    <row r="2293" spans="1:1" x14ac:dyDescent="0.3">
      <c r="A2293">
        <v>1114000</v>
      </c>
    </row>
    <row r="2294" spans="1:1" x14ac:dyDescent="0.3">
      <c r="A2294">
        <v>1114500</v>
      </c>
    </row>
    <row r="2295" spans="1:1" x14ac:dyDescent="0.3">
      <c r="A2295">
        <v>1115000</v>
      </c>
    </row>
    <row r="2296" spans="1:1" x14ac:dyDescent="0.3">
      <c r="A2296">
        <v>1115500</v>
      </c>
    </row>
    <row r="2297" spans="1:1" x14ac:dyDescent="0.3">
      <c r="A2297">
        <v>1116000</v>
      </c>
    </row>
    <row r="2298" spans="1:1" x14ac:dyDescent="0.3">
      <c r="A2298">
        <v>1116500</v>
      </c>
    </row>
    <row r="2299" spans="1:1" x14ac:dyDescent="0.3">
      <c r="A2299">
        <v>1117000</v>
      </c>
    </row>
    <row r="2300" spans="1:1" x14ac:dyDescent="0.3">
      <c r="A2300">
        <v>1117500</v>
      </c>
    </row>
    <row r="2301" spans="1:1" x14ac:dyDescent="0.3">
      <c r="A2301">
        <v>1118000</v>
      </c>
    </row>
    <row r="2302" spans="1:1" x14ac:dyDescent="0.3">
      <c r="A2302">
        <v>1118500</v>
      </c>
    </row>
    <row r="2303" spans="1:1" x14ac:dyDescent="0.3">
      <c r="A2303">
        <v>1119000</v>
      </c>
    </row>
    <row r="2304" spans="1:1" x14ac:dyDescent="0.3">
      <c r="A2304">
        <v>1119500</v>
      </c>
    </row>
    <row r="2305" spans="1:1" x14ac:dyDescent="0.3">
      <c r="A2305">
        <v>1120000</v>
      </c>
    </row>
    <row r="2306" spans="1:1" x14ac:dyDescent="0.3">
      <c r="A2306">
        <v>1120500</v>
      </c>
    </row>
    <row r="2307" spans="1:1" x14ac:dyDescent="0.3">
      <c r="A2307">
        <v>1121000</v>
      </c>
    </row>
    <row r="2308" spans="1:1" x14ac:dyDescent="0.3">
      <c r="A2308">
        <v>1121500</v>
      </c>
    </row>
    <row r="2309" spans="1:1" x14ac:dyDescent="0.3">
      <c r="A2309">
        <v>1122000</v>
      </c>
    </row>
    <row r="2310" spans="1:1" x14ac:dyDescent="0.3">
      <c r="A2310">
        <v>1122500</v>
      </c>
    </row>
    <row r="2311" spans="1:1" x14ac:dyDescent="0.3">
      <c r="A2311">
        <v>1123000</v>
      </c>
    </row>
    <row r="2312" spans="1:1" x14ac:dyDescent="0.3">
      <c r="A2312">
        <v>1123500</v>
      </c>
    </row>
    <row r="2313" spans="1:1" x14ac:dyDescent="0.3">
      <c r="A2313">
        <v>1124000</v>
      </c>
    </row>
    <row r="2314" spans="1:1" x14ac:dyDescent="0.3">
      <c r="A2314">
        <v>1124500</v>
      </c>
    </row>
    <row r="2315" spans="1:1" x14ac:dyDescent="0.3">
      <c r="A2315">
        <v>1125000</v>
      </c>
    </row>
    <row r="2316" spans="1:1" x14ac:dyDescent="0.3">
      <c r="A2316">
        <v>1125500</v>
      </c>
    </row>
    <row r="2317" spans="1:1" x14ac:dyDescent="0.3">
      <c r="A2317">
        <v>1126000</v>
      </c>
    </row>
    <row r="2318" spans="1:1" x14ac:dyDescent="0.3">
      <c r="A2318">
        <v>1126500</v>
      </c>
    </row>
    <row r="2319" spans="1:1" x14ac:dyDescent="0.3">
      <c r="A2319">
        <v>1127000</v>
      </c>
    </row>
    <row r="2320" spans="1:1" x14ac:dyDescent="0.3">
      <c r="A2320">
        <v>1127500</v>
      </c>
    </row>
    <row r="2321" spans="1:1" x14ac:dyDescent="0.3">
      <c r="A2321">
        <v>1128000</v>
      </c>
    </row>
    <row r="2322" spans="1:1" x14ac:dyDescent="0.3">
      <c r="A2322">
        <v>1128500</v>
      </c>
    </row>
    <row r="2323" spans="1:1" x14ac:dyDescent="0.3">
      <c r="A2323">
        <v>1129000</v>
      </c>
    </row>
    <row r="2324" spans="1:1" x14ac:dyDescent="0.3">
      <c r="A2324">
        <v>1129500</v>
      </c>
    </row>
    <row r="2325" spans="1:1" x14ac:dyDescent="0.3">
      <c r="A2325">
        <v>1130000</v>
      </c>
    </row>
    <row r="2326" spans="1:1" x14ac:dyDescent="0.3">
      <c r="A2326">
        <v>1130500</v>
      </c>
    </row>
    <row r="2327" spans="1:1" x14ac:dyDescent="0.3">
      <c r="A2327">
        <v>1131000</v>
      </c>
    </row>
    <row r="2328" spans="1:1" x14ac:dyDescent="0.3">
      <c r="A2328">
        <v>1131500</v>
      </c>
    </row>
    <row r="2329" spans="1:1" x14ac:dyDescent="0.3">
      <c r="A2329">
        <v>1132000</v>
      </c>
    </row>
    <row r="2330" spans="1:1" x14ac:dyDescent="0.3">
      <c r="A2330">
        <v>1132500</v>
      </c>
    </row>
    <row r="2331" spans="1:1" x14ac:dyDescent="0.3">
      <c r="A2331">
        <v>1133000</v>
      </c>
    </row>
    <row r="2332" spans="1:1" x14ac:dyDescent="0.3">
      <c r="A2332">
        <v>1133500</v>
      </c>
    </row>
    <row r="2333" spans="1:1" x14ac:dyDescent="0.3">
      <c r="A2333">
        <v>1134000</v>
      </c>
    </row>
    <row r="2334" spans="1:1" x14ac:dyDescent="0.3">
      <c r="A2334">
        <v>1134500</v>
      </c>
    </row>
    <row r="2335" spans="1:1" x14ac:dyDescent="0.3">
      <c r="A2335">
        <v>1135000</v>
      </c>
    </row>
    <row r="2336" spans="1:1" x14ac:dyDescent="0.3">
      <c r="A2336">
        <v>1135500</v>
      </c>
    </row>
    <row r="2337" spans="1:1" x14ac:dyDescent="0.3">
      <c r="A2337">
        <v>1136000</v>
      </c>
    </row>
    <row r="2338" spans="1:1" x14ac:dyDescent="0.3">
      <c r="A2338">
        <v>1136500</v>
      </c>
    </row>
    <row r="2339" spans="1:1" x14ac:dyDescent="0.3">
      <c r="A2339">
        <v>1137000</v>
      </c>
    </row>
    <row r="2340" spans="1:1" x14ac:dyDescent="0.3">
      <c r="A2340">
        <v>1137500</v>
      </c>
    </row>
    <row r="2341" spans="1:1" x14ac:dyDescent="0.3">
      <c r="A2341">
        <v>1138000</v>
      </c>
    </row>
    <row r="2342" spans="1:1" x14ac:dyDescent="0.3">
      <c r="A2342">
        <v>1138500</v>
      </c>
    </row>
    <row r="2343" spans="1:1" x14ac:dyDescent="0.3">
      <c r="A2343">
        <v>1139000</v>
      </c>
    </row>
    <row r="2344" spans="1:1" x14ac:dyDescent="0.3">
      <c r="A2344">
        <v>1139500</v>
      </c>
    </row>
    <row r="2345" spans="1:1" x14ac:dyDescent="0.3">
      <c r="A2345">
        <v>1140000</v>
      </c>
    </row>
    <row r="2346" spans="1:1" x14ac:dyDescent="0.3">
      <c r="A2346">
        <v>1140500</v>
      </c>
    </row>
    <row r="2347" spans="1:1" x14ac:dyDescent="0.3">
      <c r="A2347">
        <v>1141000</v>
      </c>
    </row>
    <row r="2348" spans="1:1" x14ac:dyDescent="0.3">
      <c r="A2348">
        <v>1141500</v>
      </c>
    </row>
    <row r="2349" spans="1:1" x14ac:dyDescent="0.3">
      <c r="A2349">
        <v>1142000</v>
      </c>
    </row>
    <row r="2350" spans="1:1" x14ac:dyDescent="0.3">
      <c r="A2350">
        <v>1142500</v>
      </c>
    </row>
    <row r="2351" spans="1:1" x14ac:dyDescent="0.3">
      <c r="A2351">
        <v>1143000</v>
      </c>
    </row>
    <row r="2352" spans="1:1" x14ac:dyDescent="0.3">
      <c r="A2352">
        <v>1143500</v>
      </c>
    </row>
    <row r="2353" spans="1:1" x14ac:dyDescent="0.3">
      <c r="A2353">
        <v>1144000</v>
      </c>
    </row>
    <row r="2354" spans="1:1" x14ac:dyDescent="0.3">
      <c r="A2354">
        <v>1144500</v>
      </c>
    </row>
    <row r="2355" spans="1:1" x14ac:dyDescent="0.3">
      <c r="A2355">
        <v>1145000</v>
      </c>
    </row>
    <row r="2356" spans="1:1" x14ac:dyDescent="0.3">
      <c r="A2356">
        <v>1145500</v>
      </c>
    </row>
    <row r="2357" spans="1:1" x14ac:dyDescent="0.3">
      <c r="A2357">
        <v>1146000</v>
      </c>
    </row>
    <row r="2358" spans="1:1" x14ac:dyDescent="0.3">
      <c r="A2358">
        <v>1146500</v>
      </c>
    </row>
    <row r="2359" spans="1:1" x14ac:dyDescent="0.3">
      <c r="A2359">
        <v>1147000</v>
      </c>
    </row>
    <row r="2360" spans="1:1" x14ac:dyDescent="0.3">
      <c r="A2360">
        <v>1147500</v>
      </c>
    </row>
    <row r="2361" spans="1:1" x14ac:dyDescent="0.3">
      <c r="A2361">
        <v>1148000</v>
      </c>
    </row>
    <row r="2362" spans="1:1" x14ac:dyDescent="0.3">
      <c r="A2362">
        <v>1148500</v>
      </c>
    </row>
    <row r="2363" spans="1:1" x14ac:dyDescent="0.3">
      <c r="A2363">
        <v>1149000</v>
      </c>
    </row>
    <row r="2364" spans="1:1" x14ac:dyDescent="0.3">
      <c r="A2364">
        <v>1149500</v>
      </c>
    </row>
    <row r="2365" spans="1:1" x14ac:dyDescent="0.3">
      <c r="A2365">
        <v>1150000</v>
      </c>
    </row>
    <row r="2366" spans="1:1" x14ac:dyDescent="0.3">
      <c r="A2366">
        <v>1150500</v>
      </c>
    </row>
    <row r="2367" spans="1:1" x14ac:dyDescent="0.3">
      <c r="A2367">
        <v>1151000</v>
      </c>
    </row>
    <row r="2368" spans="1:1" x14ac:dyDescent="0.3">
      <c r="A2368">
        <v>1151500</v>
      </c>
    </row>
    <row r="2369" spans="1:1" x14ac:dyDescent="0.3">
      <c r="A2369">
        <v>1152000</v>
      </c>
    </row>
    <row r="2370" spans="1:1" x14ac:dyDescent="0.3">
      <c r="A2370">
        <v>1152500</v>
      </c>
    </row>
    <row r="2371" spans="1:1" x14ac:dyDescent="0.3">
      <c r="A2371">
        <v>1153000</v>
      </c>
    </row>
    <row r="2372" spans="1:1" x14ac:dyDescent="0.3">
      <c r="A2372">
        <v>1153500</v>
      </c>
    </row>
    <row r="2373" spans="1:1" x14ac:dyDescent="0.3">
      <c r="A2373">
        <v>1154000</v>
      </c>
    </row>
    <row r="2374" spans="1:1" x14ac:dyDescent="0.3">
      <c r="A2374">
        <v>1154500</v>
      </c>
    </row>
    <row r="2375" spans="1:1" x14ac:dyDescent="0.3">
      <c r="A2375">
        <v>1155000</v>
      </c>
    </row>
    <row r="2376" spans="1:1" x14ac:dyDescent="0.3">
      <c r="A2376">
        <v>1155500</v>
      </c>
    </row>
    <row r="2377" spans="1:1" x14ac:dyDescent="0.3">
      <c r="A2377">
        <v>1156000</v>
      </c>
    </row>
    <row r="2378" spans="1:1" x14ac:dyDescent="0.3">
      <c r="A2378">
        <v>1156500</v>
      </c>
    </row>
    <row r="2379" spans="1:1" x14ac:dyDescent="0.3">
      <c r="A2379">
        <v>1157000</v>
      </c>
    </row>
    <row r="2380" spans="1:1" x14ac:dyDescent="0.3">
      <c r="A2380">
        <v>1157500</v>
      </c>
    </row>
    <row r="2381" spans="1:1" x14ac:dyDescent="0.3">
      <c r="A2381">
        <v>1158000</v>
      </c>
    </row>
    <row r="2382" spans="1:1" x14ac:dyDescent="0.3">
      <c r="A2382">
        <v>1158500</v>
      </c>
    </row>
    <row r="2383" spans="1:1" x14ac:dyDescent="0.3">
      <c r="A2383">
        <v>1159000</v>
      </c>
    </row>
    <row r="2384" spans="1:1" x14ac:dyDescent="0.3">
      <c r="A2384">
        <v>1159500</v>
      </c>
    </row>
    <row r="2385" spans="1:1" x14ac:dyDescent="0.3">
      <c r="A2385">
        <v>1160000</v>
      </c>
    </row>
    <row r="2386" spans="1:1" x14ac:dyDescent="0.3">
      <c r="A2386">
        <v>1160500</v>
      </c>
    </row>
    <row r="2387" spans="1:1" x14ac:dyDescent="0.3">
      <c r="A2387">
        <v>1161000</v>
      </c>
    </row>
    <row r="2388" spans="1:1" x14ac:dyDescent="0.3">
      <c r="A2388">
        <v>1161500</v>
      </c>
    </row>
    <row r="2389" spans="1:1" x14ac:dyDescent="0.3">
      <c r="A2389">
        <v>1162000</v>
      </c>
    </row>
    <row r="2390" spans="1:1" x14ac:dyDescent="0.3">
      <c r="A2390">
        <v>1162500</v>
      </c>
    </row>
    <row r="2391" spans="1:1" x14ac:dyDescent="0.3">
      <c r="A2391">
        <v>1163000</v>
      </c>
    </row>
    <row r="2392" spans="1:1" x14ac:dyDescent="0.3">
      <c r="A2392">
        <v>1163500</v>
      </c>
    </row>
    <row r="2393" spans="1:1" x14ac:dyDescent="0.3">
      <c r="A2393">
        <v>1164000</v>
      </c>
    </row>
    <row r="2394" spans="1:1" x14ac:dyDescent="0.3">
      <c r="A2394">
        <v>1164500</v>
      </c>
    </row>
    <row r="2395" spans="1:1" x14ac:dyDescent="0.3">
      <c r="A2395">
        <v>1165000</v>
      </c>
    </row>
    <row r="2396" spans="1:1" x14ac:dyDescent="0.3">
      <c r="A2396">
        <v>1165500</v>
      </c>
    </row>
    <row r="2397" spans="1:1" x14ac:dyDescent="0.3">
      <c r="A2397">
        <v>1166000</v>
      </c>
    </row>
    <row r="2398" spans="1:1" x14ac:dyDescent="0.3">
      <c r="A2398">
        <v>1166500</v>
      </c>
    </row>
    <row r="2399" spans="1:1" x14ac:dyDescent="0.3">
      <c r="A2399">
        <v>1167000</v>
      </c>
    </row>
    <row r="2400" spans="1:1" x14ac:dyDescent="0.3">
      <c r="A2400">
        <v>1167500</v>
      </c>
    </row>
    <row r="2401" spans="1:1" x14ac:dyDescent="0.3">
      <c r="A2401">
        <v>1168000</v>
      </c>
    </row>
    <row r="2402" spans="1:1" x14ac:dyDescent="0.3">
      <c r="A2402">
        <v>1168500</v>
      </c>
    </row>
    <row r="2403" spans="1:1" x14ac:dyDescent="0.3">
      <c r="A2403">
        <v>1169000</v>
      </c>
    </row>
    <row r="2404" spans="1:1" x14ac:dyDescent="0.3">
      <c r="A2404">
        <v>1169500</v>
      </c>
    </row>
    <row r="2405" spans="1:1" x14ac:dyDescent="0.3">
      <c r="A2405">
        <v>1170000</v>
      </c>
    </row>
    <row r="2406" spans="1:1" x14ac:dyDescent="0.3">
      <c r="A2406">
        <v>1170500</v>
      </c>
    </row>
    <row r="2407" spans="1:1" x14ac:dyDescent="0.3">
      <c r="A2407">
        <v>1171000</v>
      </c>
    </row>
    <row r="2408" spans="1:1" x14ac:dyDescent="0.3">
      <c r="A2408">
        <v>1171500</v>
      </c>
    </row>
    <row r="2409" spans="1:1" x14ac:dyDescent="0.3">
      <c r="A2409">
        <v>1172000</v>
      </c>
    </row>
    <row r="2410" spans="1:1" x14ac:dyDescent="0.3">
      <c r="A2410">
        <v>1172500</v>
      </c>
    </row>
    <row r="2411" spans="1:1" x14ac:dyDescent="0.3">
      <c r="A2411">
        <v>1173000</v>
      </c>
    </row>
    <row r="2412" spans="1:1" x14ac:dyDescent="0.3">
      <c r="A2412">
        <v>1173500</v>
      </c>
    </row>
    <row r="2413" spans="1:1" x14ac:dyDescent="0.3">
      <c r="A2413">
        <v>1174000</v>
      </c>
    </row>
    <row r="2414" spans="1:1" x14ac:dyDescent="0.3">
      <c r="A2414">
        <v>1174500</v>
      </c>
    </row>
    <row r="2415" spans="1:1" x14ac:dyDescent="0.3">
      <c r="A2415">
        <v>1175000</v>
      </c>
    </row>
    <row r="2416" spans="1:1" x14ac:dyDescent="0.3">
      <c r="A2416">
        <v>1175500</v>
      </c>
    </row>
    <row r="2417" spans="1:1" x14ac:dyDescent="0.3">
      <c r="A2417">
        <v>1176000</v>
      </c>
    </row>
    <row r="2418" spans="1:1" x14ac:dyDescent="0.3">
      <c r="A2418">
        <v>1176500</v>
      </c>
    </row>
    <row r="2419" spans="1:1" x14ac:dyDescent="0.3">
      <c r="A2419">
        <v>1177000</v>
      </c>
    </row>
    <row r="2420" spans="1:1" x14ac:dyDescent="0.3">
      <c r="A2420">
        <v>1177500</v>
      </c>
    </row>
    <row r="2421" spans="1:1" x14ac:dyDescent="0.3">
      <c r="A2421">
        <v>1178000</v>
      </c>
    </row>
    <row r="2422" spans="1:1" x14ac:dyDescent="0.3">
      <c r="A2422">
        <v>1178500</v>
      </c>
    </row>
    <row r="2423" spans="1:1" x14ac:dyDescent="0.3">
      <c r="A2423">
        <v>1179000</v>
      </c>
    </row>
    <row r="2424" spans="1:1" x14ac:dyDescent="0.3">
      <c r="A2424">
        <v>1179500</v>
      </c>
    </row>
    <row r="2425" spans="1:1" x14ac:dyDescent="0.3">
      <c r="A2425">
        <v>1180000</v>
      </c>
    </row>
    <row r="2426" spans="1:1" x14ac:dyDescent="0.3">
      <c r="A2426">
        <v>1180500</v>
      </c>
    </row>
    <row r="2427" spans="1:1" x14ac:dyDescent="0.3">
      <c r="A2427">
        <v>1181000</v>
      </c>
    </row>
    <row r="2428" spans="1:1" x14ac:dyDescent="0.3">
      <c r="A2428">
        <v>1181500</v>
      </c>
    </row>
    <row r="2429" spans="1:1" x14ac:dyDescent="0.3">
      <c r="A2429">
        <v>1182000</v>
      </c>
    </row>
    <row r="2430" spans="1:1" x14ac:dyDescent="0.3">
      <c r="A2430">
        <v>1182500</v>
      </c>
    </row>
    <row r="2431" spans="1:1" x14ac:dyDescent="0.3">
      <c r="A2431">
        <v>1183000</v>
      </c>
    </row>
    <row r="2432" spans="1:1" x14ac:dyDescent="0.3">
      <c r="A2432">
        <v>1183500</v>
      </c>
    </row>
    <row r="2433" spans="1:1" x14ac:dyDescent="0.3">
      <c r="A2433">
        <v>1184000</v>
      </c>
    </row>
    <row r="2434" spans="1:1" x14ac:dyDescent="0.3">
      <c r="A2434">
        <v>1184500</v>
      </c>
    </row>
    <row r="2435" spans="1:1" x14ac:dyDescent="0.3">
      <c r="A2435">
        <v>1185000</v>
      </c>
    </row>
    <row r="2436" spans="1:1" x14ac:dyDescent="0.3">
      <c r="A2436">
        <v>1185500</v>
      </c>
    </row>
    <row r="2437" spans="1:1" x14ac:dyDescent="0.3">
      <c r="A2437">
        <v>1186000</v>
      </c>
    </row>
    <row r="2438" spans="1:1" x14ac:dyDescent="0.3">
      <c r="A2438">
        <v>1186500</v>
      </c>
    </row>
    <row r="2439" spans="1:1" x14ac:dyDescent="0.3">
      <c r="A2439">
        <v>1187000</v>
      </c>
    </row>
    <row r="2440" spans="1:1" x14ac:dyDescent="0.3">
      <c r="A2440">
        <v>1187500</v>
      </c>
    </row>
    <row r="2441" spans="1:1" x14ac:dyDescent="0.3">
      <c r="A2441">
        <v>1188000</v>
      </c>
    </row>
    <row r="2442" spans="1:1" x14ac:dyDescent="0.3">
      <c r="A2442">
        <v>1188500</v>
      </c>
    </row>
    <row r="2443" spans="1:1" x14ac:dyDescent="0.3">
      <c r="A2443">
        <v>1189000</v>
      </c>
    </row>
    <row r="2444" spans="1:1" x14ac:dyDescent="0.3">
      <c r="A2444">
        <v>1189500</v>
      </c>
    </row>
    <row r="2445" spans="1:1" x14ac:dyDescent="0.3">
      <c r="A2445">
        <v>1190000</v>
      </c>
    </row>
    <row r="2446" spans="1:1" x14ac:dyDescent="0.3">
      <c r="A2446">
        <v>1190500</v>
      </c>
    </row>
    <row r="2447" spans="1:1" x14ac:dyDescent="0.3">
      <c r="A2447">
        <v>1191000</v>
      </c>
    </row>
    <row r="2448" spans="1:1" x14ac:dyDescent="0.3">
      <c r="A2448">
        <v>1191500</v>
      </c>
    </row>
    <row r="2449" spans="1:1" x14ac:dyDescent="0.3">
      <c r="A2449">
        <v>1192000</v>
      </c>
    </row>
    <row r="2450" spans="1:1" x14ac:dyDescent="0.3">
      <c r="A2450">
        <v>1192500</v>
      </c>
    </row>
    <row r="2451" spans="1:1" x14ac:dyDescent="0.3">
      <c r="A2451">
        <v>1193000</v>
      </c>
    </row>
    <row r="2452" spans="1:1" x14ac:dyDescent="0.3">
      <c r="A2452">
        <v>1193500</v>
      </c>
    </row>
    <row r="2453" spans="1:1" x14ac:dyDescent="0.3">
      <c r="A2453">
        <v>1194000</v>
      </c>
    </row>
    <row r="2454" spans="1:1" x14ac:dyDescent="0.3">
      <c r="A2454">
        <v>1194500</v>
      </c>
    </row>
    <row r="2455" spans="1:1" x14ac:dyDescent="0.3">
      <c r="A2455">
        <v>1195000</v>
      </c>
    </row>
    <row r="2456" spans="1:1" x14ac:dyDescent="0.3">
      <c r="A2456">
        <v>1195500</v>
      </c>
    </row>
    <row r="2457" spans="1:1" x14ac:dyDescent="0.3">
      <c r="A2457">
        <v>1196000</v>
      </c>
    </row>
    <row r="2458" spans="1:1" x14ac:dyDescent="0.3">
      <c r="A2458">
        <v>1196500</v>
      </c>
    </row>
    <row r="2459" spans="1:1" x14ac:dyDescent="0.3">
      <c r="A2459">
        <v>1197000</v>
      </c>
    </row>
    <row r="2460" spans="1:1" x14ac:dyDescent="0.3">
      <c r="A2460">
        <v>1197500</v>
      </c>
    </row>
    <row r="2461" spans="1:1" x14ac:dyDescent="0.3">
      <c r="A2461">
        <v>1198000</v>
      </c>
    </row>
    <row r="2462" spans="1:1" x14ac:dyDescent="0.3">
      <c r="A2462">
        <v>1198500</v>
      </c>
    </row>
    <row r="2463" spans="1:1" x14ac:dyDescent="0.3">
      <c r="A2463">
        <v>1199000</v>
      </c>
    </row>
    <row r="2464" spans="1:1" x14ac:dyDescent="0.3">
      <c r="A2464">
        <v>1199500</v>
      </c>
    </row>
    <row r="2465" spans="1:1" x14ac:dyDescent="0.3">
      <c r="A2465">
        <v>1200000</v>
      </c>
    </row>
    <row r="2466" spans="1:1" x14ac:dyDescent="0.3">
      <c r="A2466">
        <v>1200500</v>
      </c>
    </row>
    <row r="2467" spans="1:1" x14ac:dyDescent="0.3">
      <c r="A2467">
        <v>1201000</v>
      </c>
    </row>
    <row r="2468" spans="1:1" x14ac:dyDescent="0.3">
      <c r="A2468">
        <v>1201500</v>
      </c>
    </row>
    <row r="2469" spans="1:1" x14ac:dyDescent="0.3">
      <c r="A2469">
        <v>1202000</v>
      </c>
    </row>
    <row r="2470" spans="1:1" x14ac:dyDescent="0.3">
      <c r="A2470">
        <v>1202500</v>
      </c>
    </row>
    <row r="2471" spans="1:1" x14ac:dyDescent="0.3">
      <c r="A2471">
        <v>1203000</v>
      </c>
    </row>
    <row r="2472" spans="1:1" x14ac:dyDescent="0.3">
      <c r="A2472">
        <v>1203500</v>
      </c>
    </row>
    <row r="2473" spans="1:1" x14ac:dyDescent="0.3">
      <c r="A2473">
        <v>1204000</v>
      </c>
    </row>
    <row r="2474" spans="1:1" x14ac:dyDescent="0.3">
      <c r="A2474">
        <v>1204500</v>
      </c>
    </row>
    <row r="2475" spans="1:1" x14ac:dyDescent="0.3">
      <c r="A2475">
        <v>1205000</v>
      </c>
    </row>
    <row r="2476" spans="1:1" x14ac:dyDescent="0.3">
      <c r="A2476">
        <v>1205500</v>
      </c>
    </row>
    <row r="2477" spans="1:1" x14ac:dyDescent="0.3">
      <c r="A2477">
        <v>1206000</v>
      </c>
    </row>
    <row r="2478" spans="1:1" x14ac:dyDescent="0.3">
      <c r="A2478">
        <v>1206500</v>
      </c>
    </row>
    <row r="2479" spans="1:1" x14ac:dyDescent="0.3">
      <c r="A2479">
        <v>1207000</v>
      </c>
    </row>
    <row r="2480" spans="1:1" x14ac:dyDescent="0.3">
      <c r="A2480">
        <v>1207500</v>
      </c>
    </row>
    <row r="2481" spans="1:1" x14ac:dyDescent="0.3">
      <c r="A2481">
        <v>1208000</v>
      </c>
    </row>
    <row r="2482" spans="1:1" x14ac:dyDescent="0.3">
      <c r="A2482">
        <v>1208500</v>
      </c>
    </row>
    <row r="2483" spans="1:1" x14ac:dyDescent="0.3">
      <c r="A2483">
        <v>1209000</v>
      </c>
    </row>
    <row r="2484" spans="1:1" x14ac:dyDescent="0.3">
      <c r="A2484">
        <v>1209500</v>
      </c>
    </row>
    <row r="2485" spans="1:1" x14ac:dyDescent="0.3">
      <c r="A2485">
        <v>1210000</v>
      </c>
    </row>
    <row r="2486" spans="1:1" x14ac:dyDescent="0.3">
      <c r="A2486">
        <v>1210500</v>
      </c>
    </row>
    <row r="2487" spans="1:1" x14ac:dyDescent="0.3">
      <c r="A2487">
        <v>1211000</v>
      </c>
    </row>
    <row r="2488" spans="1:1" x14ac:dyDescent="0.3">
      <c r="A2488">
        <v>1211500</v>
      </c>
    </row>
    <row r="2489" spans="1:1" x14ac:dyDescent="0.3">
      <c r="A2489">
        <v>1212000</v>
      </c>
    </row>
    <row r="2490" spans="1:1" x14ac:dyDescent="0.3">
      <c r="A2490">
        <v>1212500</v>
      </c>
    </row>
    <row r="2491" spans="1:1" x14ac:dyDescent="0.3">
      <c r="A2491">
        <v>1213000</v>
      </c>
    </row>
    <row r="2492" spans="1:1" x14ac:dyDescent="0.3">
      <c r="A2492">
        <v>1213500</v>
      </c>
    </row>
    <row r="2493" spans="1:1" x14ac:dyDescent="0.3">
      <c r="A2493">
        <v>1214000</v>
      </c>
    </row>
    <row r="2494" spans="1:1" x14ac:dyDescent="0.3">
      <c r="A2494">
        <v>1214500</v>
      </c>
    </row>
    <row r="2495" spans="1:1" x14ac:dyDescent="0.3">
      <c r="A2495">
        <v>1215000</v>
      </c>
    </row>
    <row r="2496" spans="1:1" x14ac:dyDescent="0.3">
      <c r="A2496">
        <v>1215500</v>
      </c>
    </row>
    <row r="2497" spans="1:1" x14ac:dyDescent="0.3">
      <c r="A2497">
        <v>1216000</v>
      </c>
    </row>
    <row r="2498" spans="1:1" x14ac:dyDescent="0.3">
      <c r="A2498">
        <v>1216500</v>
      </c>
    </row>
    <row r="2499" spans="1:1" x14ac:dyDescent="0.3">
      <c r="A2499">
        <v>1217000</v>
      </c>
    </row>
    <row r="2500" spans="1:1" x14ac:dyDescent="0.3">
      <c r="A2500">
        <v>1217500</v>
      </c>
    </row>
    <row r="2501" spans="1:1" x14ac:dyDescent="0.3">
      <c r="A2501">
        <v>1218000</v>
      </c>
    </row>
    <row r="2502" spans="1:1" x14ac:dyDescent="0.3">
      <c r="A2502">
        <v>1218500</v>
      </c>
    </row>
    <row r="2503" spans="1:1" x14ac:dyDescent="0.3">
      <c r="A2503">
        <v>1219000</v>
      </c>
    </row>
    <row r="2504" spans="1:1" x14ac:dyDescent="0.3">
      <c r="A2504">
        <v>1219500</v>
      </c>
    </row>
    <row r="2505" spans="1:1" x14ac:dyDescent="0.3">
      <c r="A2505">
        <v>1220000</v>
      </c>
    </row>
    <row r="2506" spans="1:1" x14ac:dyDescent="0.3">
      <c r="A2506">
        <v>1220500</v>
      </c>
    </row>
    <row r="2507" spans="1:1" x14ac:dyDescent="0.3">
      <c r="A2507">
        <v>1221000</v>
      </c>
    </row>
    <row r="2508" spans="1:1" x14ac:dyDescent="0.3">
      <c r="A2508">
        <v>1221500</v>
      </c>
    </row>
    <row r="2509" spans="1:1" x14ac:dyDescent="0.3">
      <c r="A2509">
        <v>1222000</v>
      </c>
    </row>
    <row r="2510" spans="1:1" x14ac:dyDescent="0.3">
      <c r="A2510">
        <v>1222500</v>
      </c>
    </row>
    <row r="2511" spans="1:1" x14ac:dyDescent="0.3">
      <c r="A2511">
        <v>1223000</v>
      </c>
    </row>
    <row r="2512" spans="1:1" x14ac:dyDescent="0.3">
      <c r="A2512">
        <v>1223500</v>
      </c>
    </row>
    <row r="2513" spans="1:1" x14ac:dyDescent="0.3">
      <c r="A2513">
        <v>1224000</v>
      </c>
    </row>
    <row r="2514" spans="1:1" x14ac:dyDescent="0.3">
      <c r="A2514">
        <v>1224500</v>
      </c>
    </row>
    <row r="2515" spans="1:1" x14ac:dyDescent="0.3">
      <c r="A2515">
        <v>1225000</v>
      </c>
    </row>
    <row r="2516" spans="1:1" x14ac:dyDescent="0.3">
      <c r="A2516">
        <v>1225500</v>
      </c>
    </row>
    <row r="2517" spans="1:1" x14ac:dyDescent="0.3">
      <c r="A2517">
        <v>1226000</v>
      </c>
    </row>
    <row r="2518" spans="1:1" x14ac:dyDescent="0.3">
      <c r="A2518">
        <v>1226500</v>
      </c>
    </row>
    <row r="2519" spans="1:1" x14ac:dyDescent="0.3">
      <c r="A2519">
        <v>1227000</v>
      </c>
    </row>
    <row r="2520" spans="1:1" x14ac:dyDescent="0.3">
      <c r="A2520">
        <v>1227500</v>
      </c>
    </row>
    <row r="2521" spans="1:1" x14ac:dyDescent="0.3">
      <c r="A2521">
        <v>1228000</v>
      </c>
    </row>
    <row r="2522" spans="1:1" x14ac:dyDescent="0.3">
      <c r="A2522">
        <v>1228500</v>
      </c>
    </row>
    <row r="2523" spans="1:1" x14ac:dyDescent="0.3">
      <c r="A2523">
        <v>1229000</v>
      </c>
    </row>
    <row r="2524" spans="1:1" x14ac:dyDescent="0.3">
      <c r="A2524">
        <v>1229500</v>
      </c>
    </row>
    <row r="2525" spans="1:1" x14ac:dyDescent="0.3">
      <c r="A2525">
        <v>1230000</v>
      </c>
    </row>
    <row r="2526" spans="1:1" x14ac:dyDescent="0.3">
      <c r="A2526">
        <v>1230500</v>
      </c>
    </row>
    <row r="2527" spans="1:1" x14ac:dyDescent="0.3">
      <c r="A2527">
        <v>1231000</v>
      </c>
    </row>
    <row r="2528" spans="1:1" x14ac:dyDescent="0.3">
      <c r="A2528">
        <v>1231500</v>
      </c>
    </row>
    <row r="2529" spans="1:1" x14ac:dyDescent="0.3">
      <c r="A2529">
        <v>1232000</v>
      </c>
    </row>
    <row r="2530" spans="1:1" x14ac:dyDescent="0.3">
      <c r="A2530">
        <v>1232500</v>
      </c>
    </row>
    <row r="2531" spans="1:1" x14ac:dyDescent="0.3">
      <c r="A2531">
        <v>1233000</v>
      </c>
    </row>
    <row r="2532" spans="1:1" x14ac:dyDescent="0.3">
      <c r="A2532">
        <v>1233500</v>
      </c>
    </row>
    <row r="2533" spans="1:1" x14ac:dyDescent="0.3">
      <c r="A2533">
        <v>1234000</v>
      </c>
    </row>
    <row r="2534" spans="1:1" x14ac:dyDescent="0.3">
      <c r="A2534">
        <v>1234500</v>
      </c>
    </row>
    <row r="2535" spans="1:1" x14ac:dyDescent="0.3">
      <c r="A2535">
        <v>1235000</v>
      </c>
    </row>
    <row r="2536" spans="1:1" x14ac:dyDescent="0.3">
      <c r="A2536">
        <v>1235500</v>
      </c>
    </row>
    <row r="2537" spans="1:1" x14ac:dyDescent="0.3">
      <c r="A2537">
        <v>1236000</v>
      </c>
    </row>
    <row r="2538" spans="1:1" x14ac:dyDescent="0.3">
      <c r="A2538">
        <v>1236500</v>
      </c>
    </row>
    <row r="2539" spans="1:1" x14ac:dyDescent="0.3">
      <c r="A2539">
        <v>1237000</v>
      </c>
    </row>
    <row r="2540" spans="1:1" x14ac:dyDescent="0.3">
      <c r="A2540">
        <v>1237500</v>
      </c>
    </row>
    <row r="2541" spans="1:1" x14ac:dyDescent="0.3">
      <c r="A2541">
        <v>1238000</v>
      </c>
    </row>
    <row r="2542" spans="1:1" x14ac:dyDescent="0.3">
      <c r="A2542">
        <v>1238500</v>
      </c>
    </row>
    <row r="2543" spans="1:1" x14ac:dyDescent="0.3">
      <c r="A2543">
        <v>1239000</v>
      </c>
    </row>
    <row r="2544" spans="1:1" x14ac:dyDescent="0.3">
      <c r="A2544">
        <v>1239500</v>
      </c>
    </row>
    <row r="2545" spans="1:1" x14ac:dyDescent="0.3">
      <c r="A2545">
        <v>1240000</v>
      </c>
    </row>
    <row r="2546" spans="1:1" x14ac:dyDescent="0.3">
      <c r="A2546">
        <v>1240500</v>
      </c>
    </row>
    <row r="2547" spans="1:1" x14ac:dyDescent="0.3">
      <c r="A2547">
        <v>1241000</v>
      </c>
    </row>
    <row r="2548" spans="1:1" x14ac:dyDescent="0.3">
      <c r="A2548">
        <v>1241500</v>
      </c>
    </row>
    <row r="2549" spans="1:1" x14ac:dyDescent="0.3">
      <c r="A2549">
        <v>1242000</v>
      </c>
    </row>
    <row r="2550" spans="1:1" x14ac:dyDescent="0.3">
      <c r="A2550">
        <v>1242500</v>
      </c>
    </row>
    <row r="2551" spans="1:1" x14ac:dyDescent="0.3">
      <c r="A2551">
        <v>1243000</v>
      </c>
    </row>
    <row r="2552" spans="1:1" x14ac:dyDescent="0.3">
      <c r="A2552">
        <v>1243500</v>
      </c>
    </row>
    <row r="2553" spans="1:1" x14ac:dyDescent="0.3">
      <c r="A2553">
        <v>1244000</v>
      </c>
    </row>
    <row r="2554" spans="1:1" x14ac:dyDescent="0.3">
      <c r="A2554">
        <v>1244500</v>
      </c>
    </row>
    <row r="2555" spans="1:1" x14ac:dyDescent="0.3">
      <c r="A2555">
        <v>1245000</v>
      </c>
    </row>
    <row r="2556" spans="1:1" x14ac:dyDescent="0.3">
      <c r="A2556">
        <v>1245500</v>
      </c>
    </row>
    <row r="2557" spans="1:1" x14ac:dyDescent="0.3">
      <c r="A2557">
        <v>1246000</v>
      </c>
    </row>
    <row r="2558" spans="1:1" x14ac:dyDescent="0.3">
      <c r="A2558">
        <v>1246500</v>
      </c>
    </row>
    <row r="2559" spans="1:1" x14ac:dyDescent="0.3">
      <c r="A2559">
        <v>1247000</v>
      </c>
    </row>
    <row r="2560" spans="1:1" x14ac:dyDescent="0.3">
      <c r="A2560">
        <v>1247500</v>
      </c>
    </row>
    <row r="2561" spans="1:1" x14ac:dyDescent="0.3">
      <c r="A2561">
        <v>1248000</v>
      </c>
    </row>
    <row r="2562" spans="1:1" x14ac:dyDescent="0.3">
      <c r="A2562">
        <v>1248500</v>
      </c>
    </row>
    <row r="2563" spans="1:1" x14ac:dyDescent="0.3">
      <c r="A2563">
        <v>1249000</v>
      </c>
    </row>
    <row r="2564" spans="1:1" x14ac:dyDescent="0.3">
      <c r="A2564">
        <v>1249500</v>
      </c>
    </row>
    <row r="2565" spans="1:1" x14ac:dyDescent="0.3">
      <c r="A2565">
        <v>1250000</v>
      </c>
    </row>
    <row r="2566" spans="1:1" x14ac:dyDescent="0.3">
      <c r="A2566">
        <v>1250500</v>
      </c>
    </row>
    <row r="2567" spans="1:1" x14ac:dyDescent="0.3">
      <c r="A2567">
        <v>1251000</v>
      </c>
    </row>
    <row r="2568" spans="1:1" x14ac:dyDescent="0.3">
      <c r="A2568">
        <v>1251500</v>
      </c>
    </row>
    <row r="2569" spans="1:1" x14ac:dyDescent="0.3">
      <c r="A2569">
        <v>1252000</v>
      </c>
    </row>
    <row r="2570" spans="1:1" x14ac:dyDescent="0.3">
      <c r="A2570">
        <v>1252500</v>
      </c>
    </row>
    <row r="2571" spans="1:1" x14ac:dyDescent="0.3">
      <c r="A2571">
        <v>1253000</v>
      </c>
    </row>
    <row r="2572" spans="1:1" x14ac:dyDescent="0.3">
      <c r="A2572">
        <v>1253500</v>
      </c>
    </row>
    <row r="2573" spans="1:1" x14ac:dyDescent="0.3">
      <c r="A2573">
        <v>1254000</v>
      </c>
    </row>
    <row r="2574" spans="1:1" x14ac:dyDescent="0.3">
      <c r="A2574">
        <v>1254500</v>
      </c>
    </row>
    <row r="2575" spans="1:1" x14ac:dyDescent="0.3">
      <c r="A2575">
        <v>1255000</v>
      </c>
    </row>
    <row r="2576" spans="1:1" x14ac:dyDescent="0.3">
      <c r="A2576">
        <v>1255500</v>
      </c>
    </row>
    <row r="2577" spans="1:1" x14ac:dyDescent="0.3">
      <c r="A2577">
        <v>1256000</v>
      </c>
    </row>
    <row r="2578" spans="1:1" x14ac:dyDescent="0.3">
      <c r="A2578">
        <v>1256500</v>
      </c>
    </row>
    <row r="2579" spans="1:1" x14ac:dyDescent="0.3">
      <c r="A2579">
        <v>1257000</v>
      </c>
    </row>
    <row r="2580" spans="1:1" x14ac:dyDescent="0.3">
      <c r="A2580">
        <v>1257500</v>
      </c>
    </row>
    <row r="2581" spans="1:1" x14ac:dyDescent="0.3">
      <c r="A2581">
        <v>1258000</v>
      </c>
    </row>
    <row r="2582" spans="1:1" x14ac:dyDescent="0.3">
      <c r="A2582">
        <v>1258500</v>
      </c>
    </row>
    <row r="2583" spans="1:1" x14ac:dyDescent="0.3">
      <c r="A2583">
        <v>1259000</v>
      </c>
    </row>
    <row r="2584" spans="1:1" x14ac:dyDescent="0.3">
      <c r="A2584">
        <v>1259500</v>
      </c>
    </row>
    <row r="2585" spans="1:1" x14ac:dyDescent="0.3">
      <c r="A2585">
        <v>1260000</v>
      </c>
    </row>
    <row r="2586" spans="1:1" x14ac:dyDescent="0.3">
      <c r="A2586">
        <v>1260500</v>
      </c>
    </row>
    <row r="2587" spans="1:1" x14ac:dyDescent="0.3">
      <c r="A2587">
        <v>1261000</v>
      </c>
    </row>
    <row r="2588" spans="1:1" x14ac:dyDescent="0.3">
      <c r="A2588">
        <v>1261500</v>
      </c>
    </row>
    <row r="2589" spans="1:1" x14ac:dyDescent="0.3">
      <c r="A2589">
        <v>1262000</v>
      </c>
    </row>
    <row r="2590" spans="1:1" x14ac:dyDescent="0.3">
      <c r="A2590">
        <v>1262500</v>
      </c>
    </row>
    <row r="2591" spans="1:1" x14ac:dyDescent="0.3">
      <c r="A2591">
        <v>1263000</v>
      </c>
    </row>
    <row r="2592" spans="1:1" x14ac:dyDescent="0.3">
      <c r="A2592">
        <v>1263500</v>
      </c>
    </row>
    <row r="2593" spans="1:1" x14ac:dyDescent="0.3">
      <c r="A2593">
        <v>1264000</v>
      </c>
    </row>
    <row r="2594" spans="1:1" x14ac:dyDescent="0.3">
      <c r="A2594">
        <v>1264500</v>
      </c>
    </row>
    <row r="2595" spans="1:1" x14ac:dyDescent="0.3">
      <c r="A2595">
        <v>1265000</v>
      </c>
    </row>
    <row r="2596" spans="1:1" x14ac:dyDescent="0.3">
      <c r="A2596">
        <v>1265500</v>
      </c>
    </row>
    <row r="2597" spans="1:1" x14ac:dyDescent="0.3">
      <c r="A2597">
        <v>1266000</v>
      </c>
    </row>
    <row r="2598" spans="1:1" x14ac:dyDescent="0.3">
      <c r="A2598">
        <v>1266500</v>
      </c>
    </row>
    <row r="2599" spans="1:1" x14ac:dyDescent="0.3">
      <c r="A2599">
        <v>1267000</v>
      </c>
    </row>
    <row r="2600" spans="1:1" x14ac:dyDescent="0.3">
      <c r="A2600">
        <v>1267500</v>
      </c>
    </row>
    <row r="2601" spans="1:1" x14ac:dyDescent="0.3">
      <c r="A2601">
        <v>1268000</v>
      </c>
    </row>
    <row r="2602" spans="1:1" x14ac:dyDescent="0.3">
      <c r="A2602">
        <v>1268500</v>
      </c>
    </row>
    <row r="2603" spans="1:1" x14ac:dyDescent="0.3">
      <c r="A2603">
        <v>1269000</v>
      </c>
    </row>
    <row r="2604" spans="1:1" x14ac:dyDescent="0.3">
      <c r="A2604">
        <v>1269500</v>
      </c>
    </row>
    <row r="2605" spans="1:1" x14ac:dyDescent="0.3">
      <c r="A2605">
        <v>1270000</v>
      </c>
    </row>
    <row r="2606" spans="1:1" x14ac:dyDescent="0.3">
      <c r="A2606">
        <v>1270500</v>
      </c>
    </row>
    <row r="2607" spans="1:1" x14ac:dyDescent="0.3">
      <c r="A2607">
        <v>1271000</v>
      </c>
    </row>
    <row r="2608" spans="1:1" x14ac:dyDescent="0.3">
      <c r="A2608">
        <v>1271500</v>
      </c>
    </row>
    <row r="2609" spans="1:1" x14ac:dyDescent="0.3">
      <c r="A2609">
        <v>1272000</v>
      </c>
    </row>
    <row r="2610" spans="1:1" x14ac:dyDescent="0.3">
      <c r="A2610">
        <v>1272500</v>
      </c>
    </row>
    <row r="2611" spans="1:1" x14ac:dyDescent="0.3">
      <c r="A2611">
        <v>1273000</v>
      </c>
    </row>
    <row r="2612" spans="1:1" x14ac:dyDescent="0.3">
      <c r="A2612">
        <v>1273500</v>
      </c>
    </row>
    <row r="2613" spans="1:1" x14ac:dyDescent="0.3">
      <c r="A2613">
        <v>1274000</v>
      </c>
    </row>
    <row r="2614" spans="1:1" x14ac:dyDescent="0.3">
      <c r="A2614">
        <v>1274500</v>
      </c>
    </row>
    <row r="2615" spans="1:1" x14ac:dyDescent="0.3">
      <c r="A2615">
        <v>1275000</v>
      </c>
    </row>
    <row r="2616" spans="1:1" x14ac:dyDescent="0.3">
      <c r="A2616">
        <v>1275500</v>
      </c>
    </row>
    <row r="2617" spans="1:1" x14ac:dyDescent="0.3">
      <c r="A2617">
        <v>1276000</v>
      </c>
    </row>
    <row r="2618" spans="1:1" x14ac:dyDescent="0.3">
      <c r="A2618">
        <v>1276500</v>
      </c>
    </row>
    <row r="2619" spans="1:1" x14ac:dyDescent="0.3">
      <c r="A2619">
        <v>1277000</v>
      </c>
    </row>
    <row r="2620" spans="1:1" x14ac:dyDescent="0.3">
      <c r="A2620">
        <v>1277500</v>
      </c>
    </row>
    <row r="2621" spans="1:1" x14ac:dyDescent="0.3">
      <c r="A2621">
        <v>1278000</v>
      </c>
    </row>
    <row r="2622" spans="1:1" x14ac:dyDescent="0.3">
      <c r="A2622">
        <v>1278500</v>
      </c>
    </row>
    <row r="2623" spans="1:1" x14ac:dyDescent="0.3">
      <c r="A2623">
        <v>1279000</v>
      </c>
    </row>
    <row r="2624" spans="1:1" x14ac:dyDescent="0.3">
      <c r="A2624">
        <v>1279500</v>
      </c>
    </row>
    <row r="2625" spans="1:1" x14ac:dyDescent="0.3">
      <c r="A2625">
        <v>1280000</v>
      </c>
    </row>
    <row r="2626" spans="1:1" x14ac:dyDescent="0.3">
      <c r="A2626">
        <v>1280500</v>
      </c>
    </row>
  </sheetData>
  <mergeCells count="4">
    <mergeCell ref="E52:E53"/>
    <mergeCell ref="H52:H53"/>
    <mergeCell ref="E58:E59"/>
    <mergeCell ref="H58:H5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AC03-CB34-4022-B39F-F6383F11FE42}">
  <dimension ref="A1:L56"/>
  <sheetViews>
    <sheetView tabSelected="1" topLeftCell="A47" workbookViewId="0">
      <selection activeCell="D58" sqref="D58"/>
    </sheetView>
  </sheetViews>
  <sheetFormatPr baseColWidth="10" defaultColWidth="8.88671875" defaultRowHeight="14.4" x14ac:dyDescent="0.3"/>
  <cols>
    <col min="1" max="1" width="34.33203125" customWidth="1"/>
    <col min="2" max="6" width="15.77734375" bestFit="1" customWidth="1"/>
    <col min="7" max="12" width="17.44140625" bestFit="1" customWidth="1"/>
  </cols>
  <sheetData>
    <row r="1" spans="1:12" x14ac:dyDescent="0.3">
      <c r="A1" t="s">
        <v>351</v>
      </c>
    </row>
    <row r="2" spans="1:12" x14ac:dyDescent="0.3">
      <c r="A2" t="s">
        <v>352</v>
      </c>
      <c r="B2" s="24">
        <v>2025</v>
      </c>
      <c r="C2" s="24">
        <f>B2+1</f>
        <v>2026</v>
      </c>
      <c r="D2" s="24">
        <f t="shared" ref="D2:L2" si="0">C2+1</f>
        <v>2027</v>
      </c>
      <c r="E2" s="24">
        <f t="shared" si="0"/>
        <v>2028</v>
      </c>
      <c r="F2" s="24">
        <f t="shared" si="0"/>
        <v>2029</v>
      </c>
      <c r="G2" s="24">
        <f t="shared" si="0"/>
        <v>2030</v>
      </c>
      <c r="H2" s="24">
        <f t="shared" si="0"/>
        <v>2031</v>
      </c>
      <c r="I2" s="24">
        <f t="shared" si="0"/>
        <v>2032</v>
      </c>
      <c r="J2" s="24">
        <f t="shared" si="0"/>
        <v>2033</v>
      </c>
      <c r="K2" s="24">
        <f t="shared" si="0"/>
        <v>2034</v>
      </c>
      <c r="L2" s="24">
        <f t="shared" si="0"/>
        <v>2035</v>
      </c>
    </row>
    <row r="3" spans="1:12" x14ac:dyDescent="0.3">
      <c r="A3" t="s">
        <v>353</v>
      </c>
      <c r="B3" s="29">
        <v>1000000</v>
      </c>
      <c r="C3" s="29">
        <f>B34</f>
        <v>-19993548.333352</v>
      </c>
      <c r="D3" s="29">
        <f t="shared" ref="D3:L3" si="1">C34</f>
        <v>291567835.88942701</v>
      </c>
      <c r="E3" s="29">
        <f t="shared" si="1"/>
        <v>295637085.14078474</v>
      </c>
      <c r="F3" s="29">
        <f t="shared" si="1"/>
        <v>302890640.24008024</v>
      </c>
      <c r="G3" s="29">
        <f t="shared" si="1"/>
        <v>313488128.43803108</v>
      </c>
      <c r="H3" s="29">
        <f t="shared" si="1"/>
        <v>332991350.96469307</v>
      </c>
      <c r="I3" s="29">
        <f t="shared" si="1"/>
        <v>355772545.60566735</v>
      </c>
      <c r="J3" s="29">
        <f t="shared" si="1"/>
        <v>382223366.19244385</v>
      </c>
      <c r="K3" s="29">
        <f t="shared" si="1"/>
        <v>412967078.42736173</v>
      </c>
      <c r="L3" s="29">
        <f t="shared" si="1"/>
        <v>446382753.83667302</v>
      </c>
    </row>
    <row r="4" spans="1:12" x14ac:dyDescent="0.3">
      <c r="A4" t="s">
        <v>354</v>
      </c>
    </row>
    <row r="5" spans="1:12" x14ac:dyDescent="0.3">
      <c r="A5" s="58" t="s">
        <v>312</v>
      </c>
      <c r="B5" s="29">
        <f>'Estado R'!B4</f>
        <v>121600000</v>
      </c>
      <c r="C5" s="29">
        <f>'Estado R'!C4</f>
        <v>667028850.4000001</v>
      </c>
      <c r="D5" s="29">
        <f>'Estado R'!D4</f>
        <v>737990060.94880009</v>
      </c>
      <c r="E5" s="29">
        <f>'Estado R'!E4</f>
        <v>816492318.5006721</v>
      </c>
      <c r="F5" s="29">
        <f>'Estado R'!F4</f>
        <v>903336871.31301713</v>
      </c>
      <c r="G5" s="29">
        <f>'Estado R'!G4</f>
        <v>999454777.82685196</v>
      </c>
      <c r="H5" s="29">
        <f>'Estado R'!H4</f>
        <v>1105773619.0657771</v>
      </c>
      <c r="I5" s="29">
        <f>'Estado R'!I4</f>
        <v>1223410618.7196264</v>
      </c>
      <c r="J5" s="29">
        <f>'Estado R'!J4</f>
        <v>1358751964.6780427</v>
      </c>
      <c r="K5" s="29">
        <f>'Estado R'!K4</f>
        <v>1450119771.997529</v>
      </c>
      <c r="L5" s="29">
        <f>'Estado R'!L4</f>
        <v>1588726960.2672577</v>
      </c>
    </row>
    <row r="6" spans="1:12" x14ac:dyDescent="0.3">
      <c r="A6" s="58" t="s">
        <v>355</v>
      </c>
      <c r="B6" s="29">
        <f>Financiamiento!B1</f>
        <v>40809695.945999995</v>
      </c>
    </row>
    <row r="7" spans="1:12" x14ac:dyDescent="0.3">
      <c r="A7" s="58" t="s">
        <v>356</v>
      </c>
    </row>
    <row r="8" spans="1:12" x14ac:dyDescent="0.3">
      <c r="A8" s="58" t="s">
        <v>357</v>
      </c>
    </row>
    <row r="10" spans="1:12" ht="15" thickBot="1" x14ac:dyDescent="0.35">
      <c r="A10" s="57" t="s">
        <v>358</v>
      </c>
      <c r="B10" s="59">
        <f>SUM(B3:B8)</f>
        <v>163409695.94599998</v>
      </c>
      <c r="C10" s="59">
        <f>SUM(C3:C8)</f>
        <v>647035302.06664813</v>
      </c>
      <c r="D10" s="59">
        <f t="shared" ref="D10:L10" si="2">SUM(D3:D8)</f>
        <v>1029557896.838227</v>
      </c>
      <c r="E10" s="59">
        <f t="shared" si="2"/>
        <v>1112129403.6414568</v>
      </c>
      <c r="F10" s="59">
        <f t="shared" si="2"/>
        <v>1206227511.5530972</v>
      </c>
      <c r="G10" s="59">
        <f t="shared" si="2"/>
        <v>1312942906.264883</v>
      </c>
      <c r="H10" s="59">
        <f t="shared" si="2"/>
        <v>1438764970.0304701</v>
      </c>
      <c r="I10" s="59">
        <f t="shared" si="2"/>
        <v>1579183164.3252938</v>
      </c>
      <c r="J10" s="59">
        <f t="shared" si="2"/>
        <v>1740975330.8704865</v>
      </c>
      <c r="K10" s="59">
        <f t="shared" si="2"/>
        <v>1863086850.4248908</v>
      </c>
      <c r="L10" s="59">
        <f t="shared" si="2"/>
        <v>2035109714.1039307</v>
      </c>
    </row>
    <row r="11" spans="1:12" ht="15" thickTop="1" x14ac:dyDescent="0.3"/>
    <row r="12" spans="1:12" x14ac:dyDescent="0.3">
      <c r="A12" t="s">
        <v>359</v>
      </c>
    </row>
    <row r="13" spans="1:12" x14ac:dyDescent="0.3">
      <c r="A13" s="24" t="s">
        <v>363</v>
      </c>
      <c r="B13" s="83">
        <f>'Estado R'!B9</f>
        <v>122420600</v>
      </c>
      <c r="C13" s="83">
        <f>'Estado R'!C9</f>
        <v>126582900.40000001</v>
      </c>
      <c r="D13" s="39">
        <f>'Estado R'!D9</f>
        <v>660418026.72067726</v>
      </c>
      <c r="E13" s="39">
        <f>'Estado R'!E9</f>
        <v>730668709.98715913</v>
      </c>
      <c r="F13" s="39">
        <f>'Estado R'!F9</f>
        <v>808384808.39373052</v>
      </c>
      <c r="G13" s="39">
        <f>'Estado R'!G9</f>
        <v>894399514.43296719</v>
      </c>
      <c r="H13" s="39">
        <f>'Estado R'!H9</f>
        <v>989542908.70032072</v>
      </c>
      <c r="I13" s="39">
        <f>'Estado R'!I9</f>
        <v>1094814780.6288588</v>
      </c>
      <c r="J13" s="39">
        <f>'Estado R'!J9</f>
        <v>1215930049.4668477</v>
      </c>
      <c r="K13" s="39">
        <f>'Estado R'!K9</f>
        <v>1297693951.4605315</v>
      </c>
      <c r="L13" s="39">
        <f>'Estado R'!L9</f>
        <v>1421731781.5211539</v>
      </c>
    </row>
    <row r="14" spans="1:12" x14ac:dyDescent="0.3">
      <c r="A14" s="24" t="s">
        <v>316</v>
      </c>
      <c r="B14" s="83">
        <f>'Estado R'!B10</f>
        <v>5359707.6263999995</v>
      </c>
      <c r="C14" s="83">
        <f>'Estado R'!C10</f>
        <v>5541937.6856975993</v>
      </c>
      <c r="D14" s="39">
        <f>'Estado R'!D10</f>
        <v>5730363.5670113182</v>
      </c>
      <c r="E14" s="39">
        <f>'Estado R'!E10</f>
        <v>5925195.9282897031</v>
      </c>
      <c r="F14" s="39">
        <f>'Estado R'!F10</f>
        <v>6126652.5898515536</v>
      </c>
      <c r="G14" s="39">
        <f>'Estado R'!G10</f>
        <v>6334958.7779065063</v>
      </c>
      <c r="H14" s="39">
        <f>'Estado R'!H10</f>
        <v>6550347.3763553277</v>
      </c>
      <c r="I14" s="39">
        <f>'Estado R'!I10</f>
        <v>6773059.1871514088</v>
      </c>
      <c r="J14" s="39">
        <f>'Estado R'!J10</f>
        <v>7003343.1995145567</v>
      </c>
      <c r="K14" s="39">
        <f>'Estado R'!K10</f>
        <v>7241456.8682980519</v>
      </c>
      <c r="L14" s="39">
        <f>'Estado R'!L10</f>
        <v>7487666.4018201856</v>
      </c>
    </row>
    <row r="15" spans="1:12" x14ac:dyDescent="0.3">
      <c r="A15" s="24" t="s">
        <v>364</v>
      </c>
      <c r="B15" s="83">
        <f>'Estado R'!B11</f>
        <v>1742780.7478</v>
      </c>
      <c r="C15" s="83">
        <f>'Estado R'!C11</f>
        <v>1802035.2932252001</v>
      </c>
      <c r="D15" s="39">
        <f>'Estado R'!D11</f>
        <v>1863304.4931948569</v>
      </c>
      <c r="E15" s="39">
        <f>'Estado R'!E11</f>
        <v>1926656.845963482</v>
      </c>
      <c r="F15" s="39">
        <f>'Estado R'!F11</f>
        <v>1992163.1787262405</v>
      </c>
      <c r="G15" s="39">
        <f>'Estado R'!G11</f>
        <v>2059896.7268029328</v>
      </c>
      <c r="H15" s="39">
        <f>'Estado R'!H11</f>
        <v>2129933.2155142324</v>
      </c>
      <c r="I15" s="39">
        <f>'Estado R'!I11</f>
        <v>2202350.9448417164</v>
      </c>
      <c r="J15" s="39">
        <f>'Estado R'!J11</f>
        <v>2277230.8769663349</v>
      </c>
      <c r="K15" s="39">
        <f>'Estado R'!K11</f>
        <v>2354656.7267831904</v>
      </c>
      <c r="L15" s="39">
        <f>'Estado R'!L11</f>
        <v>2434715.0554938191</v>
      </c>
    </row>
    <row r="16" spans="1:12" x14ac:dyDescent="0.3">
      <c r="A16" s="24" t="s">
        <v>365</v>
      </c>
      <c r="B16" s="83">
        <f>'Estado R'!B12</f>
        <v>2005511.5138000003</v>
      </c>
      <c r="C16" s="83">
        <f>'Estado R'!C12</f>
        <v>2073698.9052692004</v>
      </c>
      <c r="D16" s="39">
        <f>'Estado R'!D12</f>
        <v>2144204.6680483534</v>
      </c>
      <c r="E16" s="39">
        <f>'Estado R'!E12</f>
        <v>2217107.6267619976</v>
      </c>
      <c r="F16" s="39">
        <f>'Estado R'!F12</f>
        <v>2292489.2860719054</v>
      </c>
      <c r="G16" s="39">
        <f>'Estado R'!G12</f>
        <v>2370433.9217983503</v>
      </c>
      <c r="H16" s="39">
        <f>'Estado R'!H12</f>
        <v>2451028.6751394942</v>
      </c>
      <c r="I16" s="39">
        <f>'Estado R'!I12</f>
        <v>2534363.6500942372</v>
      </c>
      <c r="J16" s="39">
        <f>'Estado R'!J12</f>
        <v>2620532.0141974413</v>
      </c>
      <c r="K16" s="39">
        <f>'Estado R'!K12</f>
        <v>2709630.1026801541</v>
      </c>
      <c r="L16" s="39">
        <f>'Estado R'!L12</f>
        <v>2801757.5261712796</v>
      </c>
    </row>
    <row r="17" spans="1:12" x14ac:dyDescent="0.3">
      <c r="A17" s="24" t="s">
        <v>366</v>
      </c>
      <c r="B17" s="83">
        <f>'Estado R'!B13</f>
        <v>6080000</v>
      </c>
      <c r="C17" s="83">
        <f>'Estado R'!C13</f>
        <v>33351442.520000007</v>
      </c>
      <c r="D17" s="39">
        <f>'Estado R'!D13</f>
        <v>36899503.047440007</v>
      </c>
      <c r="E17" s="39">
        <f>'Estado R'!E13</f>
        <v>40824615.925033607</v>
      </c>
      <c r="F17" s="39">
        <f>'Estado R'!F13</f>
        <v>45166843.565650858</v>
      </c>
      <c r="G17" s="39">
        <f>'Estado R'!G13</f>
        <v>49972738.891342603</v>
      </c>
      <c r="H17" s="39">
        <f>'Estado R'!H13</f>
        <v>55288680.953288853</v>
      </c>
      <c r="I17" s="39">
        <f>'Estado R'!I13</f>
        <v>61170530.935981326</v>
      </c>
      <c r="J17" s="39">
        <f>'Estado R'!J13</f>
        <v>67937598.233902141</v>
      </c>
      <c r="K17" s="39">
        <f>'Estado R'!K13</f>
        <v>72505988.599876449</v>
      </c>
      <c r="L17" s="39">
        <f>'Estado R'!L13</f>
        <v>79436348.013362885</v>
      </c>
    </row>
    <row r="18" spans="1:12" x14ac:dyDescent="0.3">
      <c r="A18" s="24" t="s">
        <v>367</v>
      </c>
      <c r="B18" s="83">
        <f>Egresos!B154</f>
        <v>7794346.0579999993</v>
      </c>
      <c r="C18" s="83">
        <f>Egresos!C154</f>
        <v>8059353.8239719998</v>
      </c>
      <c r="D18" s="39">
        <f>Egresos!D154</f>
        <v>8333371.8539870484</v>
      </c>
      <c r="E18" s="39">
        <f>Egresos!E154</f>
        <v>8616706.4970226083</v>
      </c>
      <c r="F18" s="39">
        <f>Egresos!F154</f>
        <v>8909674.517921377</v>
      </c>
      <c r="G18" s="39">
        <f>Egresos!G154</f>
        <v>9212603.4515307043</v>
      </c>
      <c r="H18" s="39">
        <f>Egresos!H154</f>
        <v>9525831.9688827489</v>
      </c>
      <c r="I18" s="39">
        <f>Egresos!I154</f>
        <v>9849710.2558247633</v>
      </c>
      <c r="J18" s="39">
        <f>Egresos!J154</f>
        <v>10184600.404522806</v>
      </c>
      <c r="K18" s="39">
        <f>Egresos!K154</f>
        <v>10530876.818276582</v>
      </c>
      <c r="L18" s="39">
        <f>Egresos!L154</f>
        <v>10888926.630097987</v>
      </c>
    </row>
    <row r="19" spans="1:12" x14ac:dyDescent="0.3">
      <c r="A19" t="s">
        <v>368</v>
      </c>
      <c r="B19" s="85">
        <f>Egresos!B206</f>
        <v>5316000</v>
      </c>
      <c r="C19" s="85">
        <f>Egresos!C206</f>
        <v>5496744</v>
      </c>
      <c r="D19" s="29">
        <f>Egresos!D206</f>
        <v>5683633.2960000001</v>
      </c>
      <c r="E19" s="29">
        <f>Egresos!E206</f>
        <v>5876876.8280640002</v>
      </c>
      <c r="F19" s="29">
        <f>Egresos!F206</f>
        <v>6076690.6402181769</v>
      </c>
      <c r="G19" s="29">
        <f>Egresos!G206</f>
        <v>6283298.1219855947</v>
      </c>
      <c r="H19" s="29">
        <f>Egresos!H206</f>
        <v>6496930.258133105</v>
      </c>
      <c r="I19" s="29">
        <f>Egresos!I206</f>
        <v>6717825.8869096311</v>
      </c>
      <c r="J19" s="29">
        <f>Egresos!J206</f>
        <v>6946231.9670645585</v>
      </c>
      <c r="K19" s="29">
        <f>Egresos!K206</f>
        <v>7182403.8539447533</v>
      </c>
      <c r="L19" s="29">
        <f>Egresos!L206</f>
        <v>7426605.5849788748</v>
      </c>
    </row>
    <row r="20" spans="1:12" x14ac:dyDescent="0.3">
      <c r="A20" t="s">
        <v>369</v>
      </c>
    </row>
    <row r="21" spans="1:12" x14ac:dyDescent="0.3">
      <c r="A21" t="s">
        <v>370</v>
      </c>
      <c r="B21" s="85">
        <f>Egresos!B210</f>
        <v>8060000</v>
      </c>
    </row>
    <row r="22" spans="1:12" x14ac:dyDescent="0.3">
      <c r="A22" t="s">
        <v>371</v>
      </c>
      <c r="B22" s="85">
        <f>Egresos!B209</f>
        <v>6053000</v>
      </c>
    </row>
    <row r="23" spans="1:12" x14ac:dyDescent="0.3">
      <c r="A23" t="s">
        <v>372</v>
      </c>
      <c r="B23" s="85">
        <f>Egresos!B214</f>
        <v>2821000</v>
      </c>
    </row>
    <row r="24" spans="1:12" x14ac:dyDescent="0.3">
      <c r="A24" t="s">
        <v>373</v>
      </c>
      <c r="B24" s="85">
        <f>Egresos!B211</f>
        <v>217350</v>
      </c>
    </row>
    <row r="25" spans="1:12" x14ac:dyDescent="0.3">
      <c r="A25" t="s">
        <v>374</v>
      </c>
      <c r="B25" s="85">
        <f>Egresos!B212</f>
        <v>1440000</v>
      </c>
    </row>
    <row r="26" spans="1:12" x14ac:dyDescent="0.3">
      <c r="A26" t="s">
        <v>375</v>
      </c>
      <c r="B26" s="85">
        <f>'Estado R'!B33</f>
        <v>8161939.1891999999</v>
      </c>
      <c r="C26" s="85">
        <f>'Estado R'!C33</f>
        <v>8161939.1891999999</v>
      </c>
      <c r="D26" s="85">
        <f>'Estado R'!D33</f>
        <v>8161939.1891999999</v>
      </c>
      <c r="E26" s="85">
        <f>'Estado R'!E33</f>
        <v>8161939.1891999999</v>
      </c>
      <c r="F26" s="85">
        <f>'Estado R'!F33</f>
        <v>8161939.1891999999</v>
      </c>
      <c r="G26" s="29">
        <f>'Estado R'!G33</f>
        <v>0</v>
      </c>
      <c r="H26" s="29">
        <f>'Estado R'!H33</f>
        <v>0</v>
      </c>
      <c r="I26" s="29">
        <f>'Estado R'!I33</f>
        <v>0</v>
      </c>
      <c r="J26" s="29">
        <f>'Estado R'!J33</f>
        <v>0</v>
      </c>
      <c r="K26" s="29">
        <f>'Estado R'!K33</f>
        <v>0</v>
      </c>
      <c r="L26" s="29">
        <f>'Estado R'!L33</f>
        <v>0</v>
      </c>
    </row>
    <row r="27" spans="1:12" x14ac:dyDescent="0.3">
      <c r="A27" t="s">
        <v>376</v>
      </c>
      <c r="B27" s="85">
        <f>'Estado R'!B32</f>
        <v>5931009.1441519978</v>
      </c>
      <c r="C27" s="85">
        <f>'Estado R'!C32</f>
        <v>4625098.8738799971</v>
      </c>
      <c r="D27" s="85">
        <f>'Estado R'!D32</f>
        <v>3319188.6036079936</v>
      </c>
      <c r="E27" s="85">
        <f>'Estado R'!E32</f>
        <v>2013278.3333359938</v>
      </c>
      <c r="F27" s="87">
        <f>'Estado R'!F32</f>
        <v>897813.31081199087</v>
      </c>
      <c r="G27" s="29">
        <f>'Estado R'!G32</f>
        <v>0</v>
      </c>
      <c r="H27" s="29">
        <f>'Estado R'!H32</f>
        <v>0</v>
      </c>
      <c r="I27" s="29">
        <f>'Estado R'!I32</f>
        <v>0</v>
      </c>
      <c r="J27" s="29">
        <f>'Estado R'!J32</f>
        <v>0</v>
      </c>
      <c r="K27" s="29">
        <f>'Estado R'!K32</f>
        <v>0</v>
      </c>
      <c r="L27" s="29">
        <f>'Estado R'!L32</f>
        <v>0</v>
      </c>
    </row>
    <row r="28" spans="1:12" x14ac:dyDescent="0.3">
      <c r="A28" t="s">
        <v>377</v>
      </c>
      <c r="B28" s="29">
        <f>'Estado R'!B38</f>
        <v>0</v>
      </c>
      <c r="C28" s="29">
        <f>'Estado R'!C38</f>
        <v>159772315.48597711</v>
      </c>
      <c r="D28" s="29">
        <f>'Estado R'!D38</f>
        <v>1367276.2582752809</v>
      </c>
      <c r="E28" s="29">
        <f>'Estado R'!E38</f>
        <v>3007676.2405461557</v>
      </c>
      <c r="F28" s="29">
        <f>'Estado R'!F38</f>
        <v>4730308.4428837821</v>
      </c>
      <c r="G28" s="29">
        <f>'Estado R'!G38</f>
        <v>9318110.9758561235</v>
      </c>
      <c r="H28" s="29">
        <f>'Estado R'!H38</f>
        <v>11006763.27716851</v>
      </c>
      <c r="I28" s="29">
        <f>'Estado R'!I38</f>
        <v>12897176.643187976</v>
      </c>
      <c r="J28" s="29">
        <f>'Estado R'!J38</f>
        <v>15108666.280109247</v>
      </c>
      <c r="K28" s="29">
        <f>'Estado R'!K38</f>
        <v>16485132.157827018</v>
      </c>
      <c r="L28" s="29">
        <f>'Estado R'!L38</f>
        <v>18735371.826620791</v>
      </c>
    </row>
    <row r="29" spans="1:12" x14ac:dyDescent="0.3">
      <c r="A29" t="s">
        <v>277</v>
      </c>
    </row>
    <row r="30" spans="1:12" x14ac:dyDescent="0.3">
      <c r="A30" t="s">
        <v>360</v>
      </c>
    </row>
    <row r="32" spans="1:12" ht="15" thickBot="1" x14ac:dyDescent="0.35">
      <c r="A32" s="57" t="s">
        <v>361</v>
      </c>
      <c r="B32" s="56">
        <f>SUM(B13:B30)</f>
        <v>183403244.27935198</v>
      </c>
      <c r="C32" s="56">
        <f>SUM(C13:C30)</f>
        <v>355467466.17722112</v>
      </c>
      <c r="D32" s="56">
        <f t="shared" ref="D32:L32" si="3">SUM(D13:D30)</f>
        <v>733920811.69744229</v>
      </c>
      <c r="E32" s="56">
        <f t="shared" si="3"/>
        <v>809238763.40137661</v>
      </c>
      <c r="F32" s="56">
        <f t="shared" si="3"/>
        <v>892739383.11506617</v>
      </c>
      <c r="G32" s="56">
        <f t="shared" si="3"/>
        <v>979951555.30018997</v>
      </c>
      <c r="H32" s="56">
        <f t="shared" si="3"/>
        <v>1082992424.4248028</v>
      </c>
      <c r="I32" s="56">
        <f t="shared" si="3"/>
        <v>1196959798.1328499</v>
      </c>
      <c r="J32" s="56">
        <f t="shared" si="3"/>
        <v>1328008252.4431248</v>
      </c>
      <c r="K32" s="56">
        <f t="shared" si="3"/>
        <v>1416704096.5882177</v>
      </c>
      <c r="L32" s="56">
        <f t="shared" si="3"/>
        <v>1550943172.5596998</v>
      </c>
    </row>
    <row r="33" spans="1:12" ht="15" thickTop="1" x14ac:dyDescent="0.3"/>
    <row r="34" spans="1:12" ht="15" thickBot="1" x14ac:dyDescent="0.35">
      <c r="A34" s="57" t="s">
        <v>362</v>
      </c>
      <c r="B34" s="66">
        <f>B10-B32</f>
        <v>-19993548.333352</v>
      </c>
      <c r="C34" s="66">
        <f t="shared" ref="C34:L34" si="4">C10-C32</f>
        <v>291567835.88942701</v>
      </c>
      <c r="D34" s="66">
        <f t="shared" si="4"/>
        <v>295637085.14078474</v>
      </c>
      <c r="E34" s="66">
        <f t="shared" si="4"/>
        <v>302890640.24008024</v>
      </c>
      <c r="F34" s="66">
        <f t="shared" si="4"/>
        <v>313488128.43803108</v>
      </c>
      <c r="G34" s="66">
        <f t="shared" si="4"/>
        <v>332991350.96469307</v>
      </c>
      <c r="H34" s="66">
        <f t="shared" si="4"/>
        <v>355772545.60566735</v>
      </c>
      <c r="I34" s="66">
        <f t="shared" si="4"/>
        <v>382223366.19244385</v>
      </c>
      <c r="J34" s="66">
        <f t="shared" si="4"/>
        <v>412967078.42736173</v>
      </c>
      <c r="K34" s="66">
        <f t="shared" si="4"/>
        <v>446382753.83667302</v>
      </c>
      <c r="L34" s="66">
        <f t="shared" si="4"/>
        <v>484166541.54423094</v>
      </c>
    </row>
    <row r="35" spans="1:12" ht="15" thickTop="1" x14ac:dyDescent="0.3"/>
    <row r="36" spans="1:12" x14ac:dyDescent="0.3">
      <c r="A36" s="1" t="s">
        <v>380</v>
      </c>
    </row>
    <row r="37" spans="1:12" x14ac:dyDescent="0.3">
      <c r="A37" t="s">
        <v>381</v>
      </c>
      <c r="B37" s="5">
        <v>0.16</v>
      </c>
    </row>
    <row r="38" spans="1:12" x14ac:dyDescent="0.3">
      <c r="A38" t="s">
        <v>382</v>
      </c>
      <c r="B38" s="60">
        <f>Premisas!B12</f>
        <v>4.2999999999999997E-2</v>
      </c>
      <c r="E38" s="76"/>
    </row>
    <row r="39" spans="1:12" x14ac:dyDescent="0.3">
      <c r="A39" t="s">
        <v>383</v>
      </c>
      <c r="B39" s="5">
        <v>0.1</v>
      </c>
    </row>
    <row r="40" spans="1:12" x14ac:dyDescent="0.3">
      <c r="A40" t="s">
        <v>385</v>
      </c>
      <c r="B40" s="5">
        <f>SUM(B37:B39)</f>
        <v>0.30300000000000005</v>
      </c>
    </row>
    <row r="42" spans="1:12" x14ac:dyDescent="0.3">
      <c r="A42" s="1" t="s">
        <v>378</v>
      </c>
      <c r="B42" s="5">
        <f>IRR(B34:L34,3)</f>
        <v>14.59779326433766</v>
      </c>
      <c r="C42" s="81"/>
    </row>
    <row r="43" spans="1:12" x14ac:dyDescent="0.3">
      <c r="A43" s="1" t="s">
        <v>379</v>
      </c>
      <c r="B43" s="61">
        <f>NPV(B40,B34:L34)</f>
        <v>744521226.9039495</v>
      </c>
    </row>
    <row r="44" spans="1:12" x14ac:dyDescent="0.3">
      <c r="A44" s="1" t="s">
        <v>444</v>
      </c>
      <c r="B44" s="61"/>
    </row>
    <row r="45" spans="1:12" x14ac:dyDescent="0.3">
      <c r="A45" s="1" t="s">
        <v>384</v>
      </c>
      <c r="B45" t="str">
        <f>IF(B42&lt;B40,"Se rechaza el Proyecto","Se acepta el Proyecto")</f>
        <v>Se acepta el Proyecto</v>
      </c>
    </row>
    <row r="48" spans="1:12" x14ac:dyDescent="0.3">
      <c r="A48" t="s">
        <v>386</v>
      </c>
    </row>
    <row r="56" spans="5:5" x14ac:dyDescent="0.3">
      <c r="E56">
        <v>500000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99CC-EE9B-4D63-988E-BAE831AB0131}">
  <dimension ref="A2:N54"/>
  <sheetViews>
    <sheetView topLeftCell="A4" workbookViewId="0">
      <selection activeCell="C40" sqref="C40"/>
    </sheetView>
  </sheetViews>
  <sheetFormatPr baseColWidth="10" defaultColWidth="8.88671875" defaultRowHeight="14.4" x14ac:dyDescent="0.3"/>
  <cols>
    <col min="2" max="2" width="20.77734375" customWidth="1"/>
    <col min="3" max="3" width="14.77734375" bestFit="1" customWidth="1"/>
    <col min="4" max="4" width="15.77734375" bestFit="1" customWidth="1"/>
    <col min="5" max="8" width="14.77734375" bestFit="1" customWidth="1"/>
    <col min="9" max="13" width="15.77734375" bestFit="1" customWidth="1"/>
  </cols>
  <sheetData>
    <row r="2" spans="1:13" x14ac:dyDescent="0.3">
      <c r="A2" t="s">
        <v>387</v>
      </c>
    </row>
    <row r="3" spans="1:13" x14ac:dyDescent="0.3">
      <c r="A3" t="s">
        <v>388</v>
      </c>
      <c r="C3" s="24">
        <v>2025</v>
      </c>
      <c r="D3" s="24">
        <f>C3+1</f>
        <v>2026</v>
      </c>
      <c r="E3" s="24">
        <f t="shared" ref="E3:M3" si="0">D3+1</f>
        <v>2027</v>
      </c>
      <c r="F3" s="24">
        <f t="shared" si="0"/>
        <v>2028</v>
      </c>
      <c r="G3" s="24">
        <f t="shared" si="0"/>
        <v>2029</v>
      </c>
      <c r="H3" s="24">
        <f t="shared" si="0"/>
        <v>2030</v>
      </c>
      <c r="I3" s="24">
        <f t="shared" si="0"/>
        <v>2031</v>
      </c>
      <c r="J3" s="24">
        <f t="shared" si="0"/>
        <v>2032</v>
      </c>
      <c r="K3" s="24">
        <f t="shared" si="0"/>
        <v>2033</v>
      </c>
      <c r="L3" s="24">
        <f t="shared" si="0"/>
        <v>2034</v>
      </c>
      <c r="M3" s="24">
        <f t="shared" si="0"/>
        <v>2035</v>
      </c>
    </row>
    <row r="5" spans="1:13" x14ac:dyDescent="0.3">
      <c r="A5" t="s">
        <v>389</v>
      </c>
      <c r="C5" s="39">
        <f>Flujo!B34</f>
        <v>-19993548.333352</v>
      </c>
      <c r="D5" s="39">
        <f>Flujo!C34</f>
        <v>291567835.88942701</v>
      </c>
      <c r="E5" s="39">
        <f>Flujo!D34</f>
        <v>295637085.14078474</v>
      </c>
      <c r="F5" s="39">
        <f>Flujo!E34</f>
        <v>302890640.24008024</v>
      </c>
      <c r="G5" s="39">
        <f>Flujo!F34</f>
        <v>313488128.43803108</v>
      </c>
      <c r="H5" s="39">
        <f>Flujo!G34</f>
        <v>332991350.96469307</v>
      </c>
      <c r="I5" s="39">
        <f>Flujo!H34</f>
        <v>355772545.60566735</v>
      </c>
      <c r="J5" s="39">
        <f>Flujo!I34</f>
        <v>382223366.19244385</v>
      </c>
      <c r="K5" s="39">
        <f>Flujo!J34</f>
        <v>412967078.42736173</v>
      </c>
      <c r="L5" s="39">
        <f>Flujo!K34</f>
        <v>446382753.83667302</v>
      </c>
      <c r="M5" s="39">
        <f>Flujo!L34</f>
        <v>484166541.54423094</v>
      </c>
    </row>
    <row r="6" spans="1:13" x14ac:dyDescent="0.3">
      <c r="A6" t="s">
        <v>416</v>
      </c>
    </row>
    <row r="7" spans="1:13" x14ac:dyDescent="0.3">
      <c r="A7" t="s">
        <v>390</v>
      </c>
    </row>
    <row r="8" spans="1:13" x14ac:dyDescent="0.3">
      <c r="A8" t="s">
        <v>391</v>
      </c>
      <c r="C8" s="29">
        <v>2000000</v>
      </c>
    </row>
    <row r="9" spans="1:13" x14ac:dyDescent="0.3">
      <c r="A9" t="s">
        <v>392</v>
      </c>
    </row>
    <row r="11" spans="1:13" ht="15" thickBot="1" x14ac:dyDescent="0.35">
      <c r="A11" t="s">
        <v>393</v>
      </c>
      <c r="C11" s="56">
        <f>SUM(C5:C9)</f>
        <v>-17993548.333352</v>
      </c>
      <c r="D11" s="56">
        <f t="shared" ref="D11:M11" si="1">SUM(D5:D9)</f>
        <v>291567835.88942701</v>
      </c>
      <c r="E11" s="56">
        <f t="shared" si="1"/>
        <v>295637085.14078474</v>
      </c>
      <c r="F11" s="56">
        <f t="shared" si="1"/>
        <v>302890640.24008024</v>
      </c>
      <c r="G11" s="56">
        <f t="shared" si="1"/>
        <v>313488128.43803108</v>
      </c>
      <c r="H11" s="56">
        <f t="shared" si="1"/>
        <v>332991350.96469307</v>
      </c>
      <c r="I11" s="56">
        <f t="shared" si="1"/>
        <v>355772545.60566735</v>
      </c>
      <c r="J11" s="56">
        <f t="shared" si="1"/>
        <v>382223366.19244385</v>
      </c>
      <c r="K11" s="56">
        <f t="shared" si="1"/>
        <v>412967078.42736173</v>
      </c>
      <c r="L11" s="56">
        <f t="shared" si="1"/>
        <v>446382753.83667302</v>
      </c>
      <c r="M11" s="56">
        <f t="shared" si="1"/>
        <v>484166541.54423094</v>
      </c>
    </row>
    <row r="12" spans="1:13" ht="15" thickTop="1" x14ac:dyDescent="0.3"/>
    <row r="13" spans="1:13" x14ac:dyDescent="0.3">
      <c r="A13" t="s">
        <v>394</v>
      </c>
    </row>
    <row r="14" spans="1:13" x14ac:dyDescent="0.3">
      <c r="A14" t="s">
        <v>395</v>
      </c>
      <c r="C14" s="45">
        <f>Depreciación.!C64</f>
        <v>6053000</v>
      </c>
      <c r="D14" s="45">
        <f>Depreciación.!D64</f>
        <v>6053000</v>
      </c>
      <c r="E14" s="45">
        <f>Depreciación.!E64</f>
        <v>6053000</v>
      </c>
      <c r="F14" s="45">
        <f>Depreciación.!F64</f>
        <v>6053000</v>
      </c>
      <c r="G14" s="45">
        <f>Depreciación.!G64</f>
        <v>6053000</v>
      </c>
      <c r="H14" s="45">
        <f>Depreciación.!H64</f>
        <v>6053000</v>
      </c>
      <c r="I14" s="45">
        <f>Depreciación.!I64</f>
        <v>6053000</v>
      </c>
      <c r="J14" s="45">
        <f>Depreciación.!J64</f>
        <v>6053000</v>
      </c>
      <c r="K14" s="45">
        <f>Depreciación.!K64</f>
        <v>6053000</v>
      </c>
      <c r="L14" s="45">
        <f>Depreciación.!L64</f>
        <v>6053000</v>
      </c>
      <c r="M14" s="45">
        <f>Depreciación.!M64</f>
        <v>6053000</v>
      </c>
    </row>
    <row r="15" spans="1:13" x14ac:dyDescent="0.3">
      <c r="A15" t="s">
        <v>132</v>
      </c>
      <c r="C15" s="45">
        <f>-Depreciación.!C65</f>
        <v>-302650</v>
      </c>
      <c r="D15" s="45">
        <f>-Depreciación.!D65+C15</f>
        <v>-605300</v>
      </c>
      <c r="E15" s="45">
        <f>-Depreciación.!E65+D15</f>
        <v>-907950</v>
      </c>
      <c r="F15" s="45">
        <f>-Depreciación.!F65+E15</f>
        <v>-1210600</v>
      </c>
      <c r="G15" s="45">
        <f>-Depreciación.!G65+F15</f>
        <v>-1513250</v>
      </c>
      <c r="H15" s="45">
        <f>-Depreciación.!H65+G15</f>
        <v>-1815900</v>
      </c>
      <c r="I15" s="45">
        <f>-Depreciación.!I65+H15</f>
        <v>-2118550</v>
      </c>
      <c r="J15" s="45">
        <f>-Depreciación.!J65+I15</f>
        <v>-2421200</v>
      </c>
      <c r="K15" s="45">
        <f>-Depreciación.!K65+J15</f>
        <v>-2723850</v>
      </c>
      <c r="L15" s="45">
        <f>-Depreciación.!L65+K15</f>
        <v>-3026500</v>
      </c>
      <c r="M15" s="45">
        <f>-Depreciación.!M65+L15</f>
        <v>-3329150</v>
      </c>
    </row>
    <row r="16" spans="1:13" x14ac:dyDescent="0.3">
      <c r="A16" t="s">
        <v>396</v>
      </c>
      <c r="C16" s="45">
        <f>Depreciación.!C46</f>
        <v>1440000</v>
      </c>
      <c r="D16" s="45">
        <f>Depreciación.!D46</f>
        <v>1440000</v>
      </c>
      <c r="E16" s="45">
        <f>Depreciación.!E46</f>
        <v>1440000</v>
      </c>
      <c r="F16" s="45">
        <f>Depreciación.!F46</f>
        <v>1440000</v>
      </c>
      <c r="G16" s="45">
        <f>Depreciación.!G46</f>
        <v>1440000</v>
      </c>
      <c r="H16" s="45">
        <f>Depreciación.!H46</f>
        <v>1440000</v>
      </c>
      <c r="I16" s="45">
        <f>Depreciación.!I46</f>
        <v>1440000</v>
      </c>
      <c r="J16" s="45">
        <f>Depreciación.!J46</f>
        <v>1440000</v>
      </c>
      <c r="K16" s="45">
        <f>Depreciación.!K46</f>
        <v>1440000</v>
      </c>
      <c r="L16" s="45">
        <f>Depreciación.!L46</f>
        <v>1440000</v>
      </c>
      <c r="M16" s="45">
        <f>Depreciación.!M46</f>
        <v>1440000</v>
      </c>
    </row>
    <row r="17" spans="1:13" x14ac:dyDescent="0.3">
      <c r="A17" t="s">
        <v>132</v>
      </c>
      <c r="C17" s="45">
        <f>-Depreciación.!C47</f>
        <v>-288000</v>
      </c>
      <c r="D17" s="45">
        <f>-Depreciación.!D47+C17</f>
        <v>-576000</v>
      </c>
      <c r="E17" s="45">
        <f>-Depreciación.!E47+D17</f>
        <v>-864000</v>
      </c>
      <c r="F17" s="45">
        <f>-Depreciación.!F47+E17</f>
        <v>-1152000</v>
      </c>
      <c r="G17" s="45">
        <f>-Depreciación.!G47+F17</f>
        <v>-1440000</v>
      </c>
      <c r="H17" s="45">
        <f>-Depreciación.!H47+G17</f>
        <v>-1728000</v>
      </c>
      <c r="I17" s="45">
        <f>-Depreciación.!I47+H17</f>
        <v>-2016000</v>
      </c>
      <c r="J17" s="45">
        <f>-Depreciación.!J47+I17</f>
        <v>-2304000</v>
      </c>
      <c r="K17" s="45">
        <f>-Depreciación.!K47+J17</f>
        <v>-2592000</v>
      </c>
      <c r="L17" s="45">
        <f>-Depreciación.!L47+K17</f>
        <v>-2880000</v>
      </c>
      <c r="M17" s="45">
        <f>-Depreciación.!M47+L17</f>
        <v>-3168000</v>
      </c>
    </row>
    <row r="18" spans="1:13" x14ac:dyDescent="0.3">
      <c r="A18" t="s">
        <v>397</v>
      </c>
      <c r="C18" s="45">
        <f>Depreciación.!C25</f>
        <v>8060000</v>
      </c>
      <c r="D18" s="45">
        <f>Depreciación.!D25</f>
        <v>8060000</v>
      </c>
      <c r="E18" s="45">
        <f>Depreciación.!E25</f>
        <v>8060000</v>
      </c>
      <c r="F18" s="45">
        <f>Depreciación.!F25</f>
        <v>8060000</v>
      </c>
      <c r="G18" s="45">
        <f>Depreciación.!G25</f>
        <v>8060000</v>
      </c>
      <c r="H18" s="45">
        <f>Depreciación.!H25</f>
        <v>8060000</v>
      </c>
      <c r="I18" s="45">
        <f>Depreciación.!I25</f>
        <v>8060000</v>
      </c>
      <c r="J18" s="45">
        <f>Depreciación.!J25</f>
        <v>8060000</v>
      </c>
      <c r="K18" s="45">
        <f>Depreciación.!K25</f>
        <v>8060000</v>
      </c>
      <c r="L18" s="45">
        <f>Depreciación.!L25</f>
        <v>8060000</v>
      </c>
      <c r="M18" s="45">
        <f>Depreciación.!M25</f>
        <v>8060000</v>
      </c>
    </row>
    <row r="19" spans="1:13" x14ac:dyDescent="0.3">
      <c r="A19" t="s">
        <v>132</v>
      </c>
      <c r="C19" s="45">
        <f>-Depreciación.!C26</f>
        <v>-806000</v>
      </c>
      <c r="D19" s="45">
        <f>-Depreciación.!D26+C19</f>
        <v>-1612000</v>
      </c>
      <c r="E19" s="45">
        <f>-Depreciación.!E26+D19</f>
        <v>-2418000</v>
      </c>
      <c r="F19" s="45">
        <f>-Depreciación.!F26+E19</f>
        <v>-3224000</v>
      </c>
      <c r="G19" s="45">
        <f>-Depreciación.!G26+F19</f>
        <v>-4030000</v>
      </c>
      <c r="H19" s="45">
        <f>-Depreciación.!H26+G19</f>
        <v>-4836000</v>
      </c>
      <c r="I19" s="45">
        <f>-Depreciación.!I26+H19</f>
        <v>-5642000</v>
      </c>
      <c r="J19" s="45">
        <f>-Depreciación.!J26+I19</f>
        <v>-6448000</v>
      </c>
      <c r="K19" s="45">
        <f>-Depreciación.!K26+J19</f>
        <v>-7254000</v>
      </c>
      <c r="L19" s="45">
        <f>-Depreciación.!L26+K19</f>
        <v>-8060000</v>
      </c>
      <c r="M19" s="45">
        <f>-Depreciación.!M26+L19</f>
        <v>-8866000</v>
      </c>
    </row>
    <row r="20" spans="1:13" x14ac:dyDescent="0.3">
      <c r="A20" t="s">
        <v>304</v>
      </c>
      <c r="C20" s="45">
        <f>Depreciación.!C84</f>
        <v>217350</v>
      </c>
      <c r="D20" s="45">
        <f>Depreciación.!D84</f>
        <v>217350</v>
      </c>
      <c r="E20" s="45">
        <f>Depreciación.!E84</f>
        <v>217350</v>
      </c>
      <c r="F20" s="45">
        <f>Depreciación.!F84</f>
        <v>217350</v>
      </c>
      <c r="G20" s="45">
        <f>Depreciación.!G84</f>
        <v>217350</v>
      </c>
      <c r="H20" s="45">
        <f>Depreciación.!H84</f>
        <v>217350</v>
      </c>
      <c r="I20" s="45">
        <f>Depreciación.!I84</f>
        <v>217350</v>
      </c>
      <c r="J20" s="45">
        <f>Depreciación.!J84</f>
        <v>217350</v>
      </c>
      <c r="K20" s="45">
        <f>Depreciación.!K84</f>
        <v>217350</v>
      </c>
      <c r="L20" s="45">
        <f>Depreciación.!L84</f>
        <v>217350</v>
      </c>
      <c r="M20" s="45">
        <f>Depreciación.!M84</f>
        <v>217350</v>
      </c>
    </row>
    <row r="21" spans="1:13" x14ac:dyDescent="0.3">
      <c r="A21" t="s">
        <v>132</v>
      </c>
      <c r="C21" s="45">
        <f>-Depreciación.!C85</f>
        <v>-18474.75</v>
      </c>
      <c r="D21" s="45">
        <f>-Depreciación.!D85+C21</f>
        <v>-36949.5</v>
      </c>
      <c r="E21" s="45">
        <f>-Depreciación.!E85+D21</f>
        <v>-55424.25</v>
      </c>
      <c r="F21" s="45">
        <f>-Depreciación.!F85+E21</f>
        <v>-73899</v>
      </c>
      <c r="G21" s="45">
        <f>-Depreciación.!G85+F21</f>
        <v>-92373.75</v>
      </c>
      <c r="H21" s="45">
        <f>-Depreciación.!H85+G21</f>
        <v>-110848.5</v>
      </c>
      <c r="I21" s="45">
        <f>-Depreciación.!I85+H21</f>
        <v>-129323.25</v>
      </c>
      <c r="J21" s="45">
        <f>-Depreciación.!J85+I21</f>
        <v>-147798</v>
      </c>
      <c r="K21" s="45">
        <f>-Depreciación.!K85+J21</f>
        <v>-166272.75</v>
      </c>
      <c r="L21" s="45">
        <f>-Depreciación.!L85+K21</f>
        <v>-184747.5</v>
      </c>
      <c r="M21" s="45">
        <f>-Depreciación.!M85+L21</f>
        <v>-203222.25</v>
      </c>
    </row>
    <row r="23" spans="1:13" ht="15" thickBot="1" x14ac:dyDescent="0.35">
      <c r="A23" s="1" t="s">
        <v>398</v>
      </c>
      <c r="C23" s="64">
        <f>SUM(C14:C21)</f>
        <v>14355225.25</v>
      </c>
      <c r="D23" s="64">
        <f t="shared" ref="D23:M23" si="2">SUM(D14:D21)</f>
        <v>12940100.5</v>
      </c>
      <c r="E23" s="64">
        <f t="shared" si="2"/>
        <v>11524975.75</v>
      </c>
      <c r="F23" s="64">
        <f t="shared" si="2"/>
        <v>10109851</v>
      </c>
      <c r="G23" s="64">
        <f t="shared" si="2"/>
        <v>8694726.25</v>
      </c>
      <c r="H23" s="64">
        <f t="shared" si="2"/>
        <v>7279601.5</v>
      </c>
      <c r="I23" s="64">
        <f t="shared" si="2"/>
        <v>5864476.75</v>
      </c>
      <c r="J23" s="64">
        <f t="shared" si="2"/>
        <v>4449352</v>
      </c>
      <c r="K23" s="64">
        <f t="shared" si="2"/>
        <v>3034227.25</v>
      </c>
      <c r="L23" s="64">
        <f t="shared" si="2"/>
        <v>1619102.5</v>
      </c>
      <c r="M23" s="64">
        <f t="shared" si="2"/>
        <v>203977.75</v>
      </c>
    </row>
    <row r="24" spans="1:13" ht="15" thickTop="1" x14ac:dyDescent="0.3"/>
    <row r="25" spans="1:13" x14ac:dyDescent="0.3">
      <c r="A25" t="s">
        <v>399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t="s">
        <v>277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t="s">
        <v>400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9" spans="1:13" ht="15" thickBot="1" x14ac:dyDescent="0.35">
      <c r="A29" s="1" t="s">
        <v>401</v>
      </c>
      <c r="C29" s="57">
        <f>SUM(C25:C27)</f>
        <v>0</v>
      </c>
      <c r="D29" s="57">
        <f t="shared" ref="D29:M29" si="3">SUM(D25:D27)</f>
        <v>0</v>
      </c>
      <c r="E29" s="57">
        <f t="shared" si="3"/>
        <v>0</v>
      </c>
      <c r="F29" s="57">
        <f t="shared" si="3"/>
        <v>0</v>
      </c>
      <c r="G29" s="57">
        <f t="shared" si="3"/>
        <v>0</v>
      </c>
      <c r="H29" s="57">
        <f t="shared" si="3"/>
        <v>0</v>
      </c>
      <c r="I29" s="57">
        <f t="shared" si="3"/>
        <v>0</v>
      </c>
      <c r="J29" s="57">
        <f t="shared" si="3"/>
        <v>0</v>
      </c>
      <c r="K29" s="57">
        <f t="shared" si="3"/>
        <v>0</v>
      </c>
      <c r="L29" s="57">
        <f t="shared" si="3"/>
        <v>0</v>
      </c>
      <c r="M29" s="57">
        <f t="shared" si="3"/>
        <v>0</v>
      </c>
    </row>
    <row r="30" spans="1:13" ht="15" thickTop="1" x14ac:dyDescent="0.3"/>
    <row r="31" spans="1:13" ht="15" thickBot="1" x14ac:dyDescent="0.35">
      <c r="A31" t="s">
        <v>402</v>
      </c>
      <c r="C31" s="63">
        <f>C11+C23+C29</f>
        <v>-3638323.0833519995</v>
      </c>
      <c r="D31" s="63">
        <f t="shared" ref="D31:M31" si="4">D11+D23+D29</f>
        <v>304507936.38942701</v>
      </c>
      <c r="E31" s="63">
        <f t="shared" si="4"/>
        <v>307162060.89078474</v>
      </c>
      <c r="F31" s="63">
        <f t="shared" si="4"/>
        <v>313000491.24008024</v>
      </c>
      <c r="G31" s="63">
        <f t="shared" si="4"/>
        <v>322182854.68803108</v>
      </c>
      <c r="H31" s="63">
        <f t="shared" si="4"/>
        <v>340270952.46469307</v>
      </c>
      <c r="I31" s="63">
        <f t="shared" si="4"/>
        <v>361637022.35566735</v>
      </c>
      <c r="J31" s="63">
        <f t="shared" si="4"/>
        <v>386672718.19244385</v>
      </c>
      <c r="K31" s="63">
        <f t="shared" si="4"/>
        <v>416001305.67736173</v>
      </c>
      <c r="L31" s="63">
        <f t="shared" si="4"/>
        <v>448001856.33667302</v>
      </c>
      <c r="M31" s="63">
        <f t="shared" si="4"/>
        <v>484370519.29423094</v>
      </c>
    </row>
    <row r="32" spans="1:13" ht="15" thickTop="1" x14ac:dyDescent="0.3"/>
    <row r="33" spans="1:14" x14ac:dyDescent="0.3">
      <c r="A33" t="s">
        <v>403</v>
      </c>
    </row>
    <row r="34" spans="1:14" x14ac:dyDescent="0.3">
      <c r="A34" t="s">
        <v>404</v>
      </c>
      <c r="C34">
        <v>450000</v>
      </c>
      <c r="D34">
        <v>45000</v>
      </c>
      <c r="E34">
        <v>45000</v>
      </c>
      <c r="F34">
        <v>45000</v>
      </c>
      <c r="G34">
        <v>45000</v>
      </c>
      <c r="H34">
        <v>45000</v>
      </c>
      <c r="I34">
        <v>45000</v>
      </c>
      <c r="J34">
        <v>45000</v>
      </c>
      <c r="K34">
        <v>45000</v>
      </c>
      <c r="L34">
        <v>45000</v>
      </c>
      <c r="M34">
        <v>45000</v>
      </c>
    </row>
    <row r="35" spans="1:14" x14ac:dyDescent="0.3">
      <c r="A35" t="s">
        <v>417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7" spans="1:14" ht="15" thickBot="1" x14ac:dyDescent="0.35">
      <c r="A37" s="1" t="s">
        <v>405</v>
      </c>
      <c r="C37" s="57">
        <f>SUM(C34:C35)</f>
        <v>450000</v>
      </c>
      <c r="D37" s="57">
        <f t="shared" ref="D37:M37" si="5">SUM(D34:D35)</f>
        <v>45000</v>
      </c>
      <c r="E37" s="57">
        <f t="shared" si="5"/>
        <v>45000</v>
      </c>
      <c r="F37" s="57">
        <f t="shared" si="5"/>
        <v>45000</v>
      </c>
      <c r="G37" s="57">
        <f t="shared" si="5"/>
        <v>45000</v>
      </c>
      <c r="H37" s="57">
        <f t="shared" si="5"/>
        <v>45000</v>
      </c>
      <c r="I37" s="57">
        <f t="shared" si="5"/>
        <v>45000</v>
      </c>
      <c r="J37" s="57">
        <f t="shared" si="5"/>
        <v>45000</v>
      </c>
      <c r="K37" s="57">
        <f t="shared" si="5"/>
        <v>45000</v>
      </c>
      <c r="L37" s="57">
        <f t="shared" si="5"/>
        <v>45000</v>
      </c>
      <c r="M37" s="57">
        <f t="shared" si="5"/>
        <v>45000</v>
      </c>
    </row>
    <row r="38" spans="1:14" ht="15" thickTop="1" x14ac:dyDescent="0.3"/>
    <row r="39" spans="1:14" x14ac:dyDescent="0.3">
      <c r="A39" t="s">
        <v>406</v>
      </c>
    </row>
    <row r="40" spans="1:14" x14ac:dyDescent="0.3">
      <c r="A40" t="s">
        <v>407</v>
      </c>
      <c r="C40" s="22">
        <f>Financiamiento!N5</f>
        <v>32647756.756799981</v>
      </c>
      <c r="D40" s="22">
        <f>Financiamiento!N11</f>
        <v>24485817.567599967</v>
      </c>
      <c r="E40" s="22">
        <f>Financiamiento!N17</f>
        <v>16323878.378399955</v>
      </c>
      <c r="F40" s="22">
        <f>Financiamiento!N23</f>
        <v>8161939.1891999627</v>
      </c>
      <c r="G40" s="22">
        <f>Financiamiento!N29</f>
        <v>-3.7020072340965271E-8</v>
      </c>
    </row>
    <row r="41" spans="1:14" x14ac:dyDescent="0.3">
      <c r="A41" t="s">
        <v>408</v>
      </c>
      <c r="C41" s="22">
        <f>Financiamiento!N7</f>
        <v>5931009.1441519978</v>
      </c>
      <c r="D41" s="22">
        <f>Financiamiento!N13</f>
        <v>4625098.8738799971</v>
      </c>
      <c r="E41" s="22">
        <f>Financiamiento!N19</f>
        <v>3319188.6036079936</v>
      </c>
      <c r="F41" s="22">
        <f>Financiamiento!N25</f>
        <v>2013278.3333359938</v>
      </c>
      <c r="G41" s="22">
        <f>Financiamiento!N31</f>
        <v>897813.31081199087</v>
      </c>
    </row>
    <row r="43" spans="1:14" ht="15" thickBot="1" x14ac:dyDescent="0.35">
      <c r="A43" s="1" t="s">
        <v>409</v>
      </c>
      <c r="C43" s="62">
        <f>SUM(C40:C41)</f>
        <v>38578765.900951982</v>
      </c>
      <c r="D43" s="62">
        <f t="shared" ref="D43:N43" si="6">SUM(D40:D41)</f>
        <v>29110916.441479966</v>
      </c>
      <c r="E43" s="62">
        <f t="shared" si="6"/>
        <v>19643066.982007951</v>
      </c>
      <c r="F43" s="62">
        <f t="shared" si="6"/>
        <v>10175217.522535957</v>
      </c>
      <c r="G43" s="62">
        <f t="shared" si="6"/>
        <v>897813.31081195385</v>
      </c>
      <c r="H43" s="62">
        <f t="shared" si="6"/>
        <v>0</v>
      </c>
      <c r="I43" s="62">
        <f t="shared" si="6"/>
        <v>0</v>
      </c>
      <c r="J43" s="62">
        <f t="shared" si="6"/>
        <v>0</v>
      </c>
      <c r="K43" s="62">
        <f t="shared" si="6"/>
        <v>0</v>
      </c>
      <c r="L43" s="62">
        <f t="shared" si="6"/>
        <v>0</v>
      </c>
      <c r="M43" s="62">
        <f t="shared" si="6"/>
        <v>0</v>
      </c>
      <c r="N43" s="22">
        <f t="shared" si="6"/>
        <v>0</v>
      </c>
    </row>
    <row r="44" spans="1:14" ht="15" thickTop="1" x14ac:dyDescent="0.3"/>
    <row r="45" spans="1:14" ht="15" thickBot="1" x14ac:dyDescent="0.35">
      <c r="A45" s="1" t="s">
        <v>410</v>
      </c>
      <c r="C45" s="62">
        <f>C37+C43</f>
        <v>39028765.900951982</v>
      </c>
      <c r="D45" s="62">
        <f t="shared" ref="D45:M45" si="7">D37+D43</f>
        <v>29155916.441479966</v>
      </c>
      <c r="E45" s="62">
        <f t="shared" si="7"/>
        <v>19688066.982007951</v>
      </c>
      <c r="F45" s="62">
        <f t="shared" si="7"/>
        <v>10220217.522535957</v>
      </c>
      <c r="G45" s="62">
        <f t="shared" si="7"/>
        <v>942813.31081195385</v>
      </c>
      <c r="H45" s="62">
        <f t="shared" si="7"/>
        <v>45000</v>
      </c>
      <c r="I45" s="62">
        <f t="shared" si="7"/>
        <v>45000</v>
      </c>
      <c r="J45" s="62">
        <f t="shared" si="7"/>
        <v>45000</v>
      </c>
      <c r="K45" s="62">
        <f t="shared" si="7"/>
        <v>45000</v>
      </c>
      <c r="L45" s="62">
        <f t="shared" si="7"/>
        <v>45000</v>
      </c>
      <c r="M45" s="62">
        <f t="shared" si="7"/>
        <v>45000</v>
      </c>
    </row>
    <row r="46" spans="1:14" ht="15" thickTop="1" x14ac:dyDescent="0.3"/>
    <row r="47" spans="1:14" x14ac:dyDescent="0.3">
      <c r="A47" t="s">
        <v>411</v>
      </c>
    </row>
    <row r="48" spans="1:14" x14ac:dyDescent="0.3">
      <c r="A48" t="s">
        <v>412</v>
      </c>
      <c r="C48" s="39">
        <f>C31-C45-C49-C50</f>
        <v>1959930.0450479984</v>
      </c>
      <c r="D48" s="39">
        <f t="shared" ref="D48:M48" si="8">D31-D45-D49-D50</f>
        <v>-300313479.9682591</v>
      </c>
      <c r="E48" s="39">
        <f t="shared" si="8"/>
        <v>-27980514.566718102</v>
      </c>
      <c r="F48" s="39">
        <f t="shared" si="8"/>
        <v>288449288.51759541</v>
      </c>
      <c r="G48" s="39">
        <f t="shared" si="8"/>
        <v>297036884.1320219</v>
      </c>
      <c r="H48" s="39">
        <f t="shared" si="8"/>
        <v>294867393.46341842</v>
      </c>
      <c r="I48" s="39">
        <f t="shared" si="8"/>
        <v>300771784.79705715</v>
      </c>
      <c r="J48" s="39">
        <f t="shared" si="8"/>
        <v>315190256.62791634</v>
      </c>
      <c r="K48" s="39">
        <f t="shared" si="8"/>
        <v>332263434.87074918</v>
      </c>
      <c r="L48" s="39">
        <f t="shared" si="8"/>
        <v>354627167.53313249</v>
      </c>
      <c r="M48" s="39">
        <f t="shared" si="8"/>
        <v>379587642.71980363</v>
      </c>
    </row>
    <row r="49" spans="1:13" x14ac:dyDescent="0.3">
      <c r="A49" t="s">
        <v>333</v>
      </c>
      <c r="C49" s="39">
        <f>'Estado R'!B40</f>
        <v>-44627019.029351979</v>
      </c>
      <c r="D49" s="39">
        <f>'Estado R'!C40</f>
        <v>310146259.47277904</v>
      </c>
      <c r="E49" s="39">
        <f>'Estado R'!D40</f>
        <v>2654124.5013578981</v>
      </c>
      <c r="F49" s="39">
        <f>'Estado R'!E40</f>
        <v>5838430.3492954783</v>
      </c>
      <c r="G49" s="39">
        <f>'Estado R'!F40</f>
        <v>9182363.4479508698</v>
      </c>
      <c r="H49" s="39">
        <f>'Estado R'!G40</f>
        <v>18088097.776661888</v>
      </c>
      <c r="I49" s="39">
        <f>'Estado R'!H40</f>
        <v>21366069.890974164</v>
      </c>
      <c r="J49" s="39">
        <f>'Estado R'!I40</f>
        <v>25035695.836776651</v>
      </c>
      <c r="K49" s="39">
        <f>'Estado R'!J40</f>
        <v>29328587.484917946</v>
      </c>
      <c r="L49" s="39">
        <f>'Estado R'!K40</f>
        <v>32000550.659311265</v>
      </c>
      <c r="M49" s="39">
        <f>'Estado R'!L40</f>
        <v>36368662.957558006</v>
      </c>
    </row>
    <row r="50" spans="1:13" x14ac:dyDescent="0.3">
      <c r="A50" t="s">
        <v>413</v>
      </c>
      <c r="C50">
        <v>0</v>
      </c>
      <c r="D50" s="39">
        <f>C49+D49</f>
        <v>265519240.44342706</v>
      </c>
      <c r="E50" s="39">
        <f t="shared" ref="E50:M50" si="9">D49+E49</f>
        <v>312800383.97413695</v>
      </c>
      <c r="F50" s="39">
        <f t="shared" si="9"/>
        <v>8492554.8506533764</v>
      </c>
      <c r="G50" s="39">
        <f t="shared" si="9"/>
        <v>15020793.797246348</v>
      </c>
      <c r="H50" s="39">
        <f t="shared" si="9"/>
        <v>27270461.224612758</v>
      </c>
      <c r="I50" s="39">
        <f t="shared" si="9"/>
        <v>39454167.667636052</v>
      </c>
      <c r="J50" s="39">
        <f t="shared" si="9"/>
        <v>46401765.727750815</v>
      </c>
      <c r="K50" s="39">
        <f t="shared" si="9"/>
        <v>54364283.321694598</v>
      </c>
      <c r="L50" s="39">
        <f t="shared" si="9"/>
        <v>61329138.144229211</v>
      </c>
      <c r="M50" s="39">
        <f t="shared" si="9"/>
        <v>68369213.616869271</v>
      </c>
    </row>
    <row r="52" spans="1:13" ht="15" thickBot="1" x14ac:dyDescent="0.35">
      <c r="A52" s="1" t="s">
        <v>414</v>
      </c>
      <c r="C52" s="56">
        <f>SUM(C48:C50)</f>
        <v>-42667088.984303981</v>
      </c>
      <c r="D52" s="56">
        <f t="shared" ref="D52:M52" si="10">SUM(D48:D50)</f>
        <v>275352019.94794703</v>
      </c>
      <c r="E52" s="56">
        <f t="shared" si="10"/>
        <v>287473993.90877676</v>
      </c>
      <c r="F52" s="56">
        <f t="shared" si="10"/>
        <v>302780273.71754426</v>
      </c>
      <c r="G52" s="56">
        <f t="shared" si="10"/>
        <v>321240041.37721908</v>
      </c>
      <c r="H52" s="56">
        <f t="shared" si="10"/>
        <v>340225952.46469307</v>
      </c>
      <c r="I52" s="56">
        <f t="shared" si="10"/>
        <v>361592022.35566735</v>
      </c>
      <c r="J52" s="56">
        <f t="shared" si="10"/>
        <v>386627718.19244385</v>
      </c>
      <c r="K52" s="56">
        <f t="shared" si="10"/>
        <v>415956305.67736173</v>
      </c>
      <c r="L52" s="56">
        <f t="shared" si="10"/>
        <v>447956856.33667296</v>
      </c>
      <c r="M52" s="56">
        <f t="shared" si="10"/>
        <v>484325519.29423088</v>
      </c>
    </row>
    <row r="53" spans="1:13" ht="15" thickTop="1" x14ac:dyDescent="0.3"/>
    <row r="54" spans="1:13" x14ac:dyDescent="0.3">
      <c r="A54" t="s">
        <v>415</v>
      </c>
      <c r="C54" s="22">
        <f>C31-(C45+C52)</f>
        <v>0</v>
      </c>
      <c r="D54" s="22">
        <f t="shared" ref="D54:M54" si="11">D31-(D45+D52)</f>
        <v>0</v>
      </c>
      <c r="E54" s="22">
        <f t="shared" si="11"/>
        <v>0</v>
      </c>
      <c r="F54" s="22">
        <f t="shared" si="11"/>
        <v>0</v>
      </c>
      <c r="G54" s="22">
        <f t="shared" si="11"/>
        <v>0</v>
      </c>
      <c r="H54" s="22">
        <f t="shared" si="11"/>
        <v>0</v>
      </c>
      <c r="I54" s="22">
        <f t="shared" si="11"/>
        <v>0</v>
      </c>
      <c r="J54" s="22">
        <f t="shared" si="11"/>
        <v>0</v>
      </c>
      <c r="K54" s="22">
        <f t="shared" si="11"/>
        <v>0</v>
      </c>
      <c r="L54" s="22">
        <f t="shared" si="11"/>
        <v>0</v>
      </c>
      <c r="M54" s="22">
        <f t="shared" si="11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21C2B-9D2F-4C4A-842C-5C1BCDCF1B92}">
  <dimension ref="A1:L31"/>
  <sheetViews>
    <sheetView workbookViewId="0">
      <selection activeCell="B30" sqref="B30"/>
    </sheetView>
  </sheetViews>
  <sheetFormatPr baseColWidth="10" defaultColWidth="8.88671875" defaultRowHeight="14.4" x14ac:dyDescent="0.3"/>
  <cols>
    <col min="1" max="1" width="34.5546875" customWidth="1"/>
    <col min="2" max="7" width="14.77734375" bestFit="1" customWidth="1"/>
    <col min="8" max="12" width="15.77734375" bestFit="1" customWidth="1"/>
  </cols>
  <sheetData>
    <row r="1" spans="1:12" x14ac:dyDescent="0.3">
      <c r="A1" t="s">
        <v>418</v>
      </c>
    </row>
    <row r="2" spans="1:12" x14ac:dyDescent="0.3">
      <c r="B2" s="24">
        <v>2025</v>
      </c>
      <c r="C2" s="24">
        <f>B2+1</f>
        <v>2026</v>
      </c>
      <c r="D2" s="24">
        <f t="shared" ref="D2:L2" si="0">C2+1</f>
        <v>2027</v>
      </c>
      <c r="E2" s="24">
        <f t="shared" si="0"/>
        <v>2028</v>
      </c>
      <c r="F2" s="24">
        <f t="shared" si="0"/>
        <v>2029</v>
      </c>
      <c r="G2" s="24">
        <f t="shared" si="0"/>
        <v>2030</v>
      </c>
      <c r="H2" s="24">
        <f t="shared" si="0"/>
        <v>2031</v>
      </c>
      <c r="I2" s="24">
        <f t="shared" si="0"/>
        <v>2032</v>
      </c>
      <c r="J2" s="24">
        <f t="shared" si="0"/>
        <v>2033</v>
      </c>
      <c r="K2" s="24">
        <f t="shared" si="0"/>
        <v>2034</v>
      </c>
      <c r="L2" s="24">
        <f t="shared" si="0"/>
        <v>2035</v>
      </c>
    </row>
    <row r="3" spans="1:12" x14ac:dyDescent="0.3">
      <c r="A3" t="s">
        <v>419</v>
      </c>
    </row>
    <row r="4" spans="1:12" ht="15" thickBot="1" x14ac:dyDescent="0.35">
      <c r="A4" t="s">
        <v>420</v>
      </c>
      <c r="B4" s="65">
        <f>Balance!C11/Balance!C37</f>
        <v>-39.985662963004444</v>
      </c>
      <c r="C4" s="65">
        <f>Balance!D11/Balance!D37</f>
        <v>6479.285241987267</v>
      </c>
      <c r="D4" s="65">
        <f>Balance!E11/Balance!E37</f>
        <v>6569.7130031285496</v>
      </c>
      <c r="E4" s="65">
        <f>Balance!F11/Balance!F37</f>
        <v>6730.9031164462276</v>
      </c>
      <c r="F4" s="65">
        <f>Balance!G11/Balance!G37</f>
        <v>6966.4028541784683</v>
      </c>
      <c r="G4" s="65">
        <f>Balance!H11/Balance!H37</f>
        <v>7399.8077992154012</v>
      </c>
      <c r="H4" s="65">
        <f>Balance!I11/Balance!I37</f>
        <v>7906.0565690148296</v>
      </c>
      <c r="I4" s="65">
        <f>Balance!J11/Balance!J37</f>
        <v>8493.8525820543073</v>
      </c>
      <c r="J4" s="65">
        <f>Balance!K11/Balance!K37</f>
        <v>9177.0461872747055</v>
      </c>
      <c r="K4" s="65">
        <f>Balance!L11/Balance!L37</f>
        <v>9919.6167519260671</v>
      </c>
      <c r="L4" s="65">
        <f>Balance!M11/Balance!M37</f>
        <v>10759.256478760688</v>
      </c>
    </row>
    <row r="5" spans="1:12" ht="15" thickTop="1" x14ac:dyDescent="0.3">
      <c r="A5" t="s">
        <v>421</v>
      </c>
    </row>
    <row r="6" spans="1:12" ht="15" thickBot="1" x14ac:dyDescent="0.35">
      <c r="A6" t="s">
        <v>422</v>
      </c>
      <c r="B6" s="65">
        <f>(Balance!C11-Balance!C6)/Balance!C37</f>
        <v>-39.985662963004444</v>
      </c>
      <c r="C6" s="65">
        <f>(Balance!D11-Balance!D6)/Balance!D37</f>
        <v>6479.285241987267</v>
      </c>
      <c r="D6" s="65">
        <f>(Balance!E11-Balance!E6)/Balance!E37</f>
        <v>6569.7130031285496</v>
      </c>
      <c r="E6" s="65">
        <f>(Balance!F11-Balance!F6)/Balance!F37</f>
        <v>6730.9031164462276</v>
      </c>
      <c r="F6" s="65">
        <f>(Balance!G11-Balance!G6)/Balance!G37</f>
        <v>6966.4028541784683</v>
      </c>
      <c r="G6" s="65">
        <f>(Balance!H11-Balance!H6)/Balance!H37</f>
        <v>7399.8077992154012</v>
      </c>
      <c r="H6" s="65">
        <f>(Balance!I11-Balance!I6)/Balance!I37</f>
        <v>7906.0565690148296</v>
      </c>
      <c r="I6" s="65">
        <f>(Balance!J11-Balance!J6)/Balance!J37</f>
        <v>8493.8525820543073</v>
      </c>
      <c r="J6" s="65">
        <f>(Balance!K11-Balance!K6)/Balance!K37</f>
        <v>9177.0461872747055</v>
      </c>
      <c r="K6" s="65">
        <f>(Balance!L11-Balance!L6)/Balance!L37</f>
        <v>9919.6167519260671</v>
      </c>
      <c r="L6" s="65">
        <f>(Balance!M11-Balance!M6)/Balance!M37</f>
        <v>10759.256478760688</v>
      </c>
    </row>
    <row r="7" spans="1:12" ht="15" thickTop="1" x14ac:dyDescent="0.3">
      <c r="A7" t="s">
        <v>423</v>
      </c>
    </row>
    <row r="8" spans="1:12" x14ac:dyDescent="0.3">
      <c r="A8" t="s">
        <v>306</v>
      </c>
    </row>
    <row r="9" spans="1:12" ht="15" thickBot="1" x14ac:dyDescent="0.35">
      <c r="A9" t="s">
        <v>424</v>
      </c>
      <c r="B9" s="56">
        <f>Balance!C11-Balance!C37</f>
        <v>-18443548.333352</v>
      </c>
      <c r="C9" s="56">
        <f>Balance!D11-Balance!D37</f>
        <v>291522835.88942701</v>
      </c>
      <c r="D9" s="56">
        <f>Balance!E11-Balance!E37</f>
        <v>295592085.14078474</v>
      </c>
      <c r="E9" s="56">
        <f>Balance!F11-Balance!F37</f>
        <v>302845640.24008024</v>
      </c>
      <c r="F9" s="56">
        <f>Balance!G11-Balance!G37</f>
        <v>313443128.43803108</v>
      </c>
      <c r="G9" s="56">
        <f>Balance!H11-Balance!H37</f>
        <v>332946350.96469307</v>
      </c>
      <c r="H9" s="56">
        <f>Balance!I11-Balance!I37</f>
        <v>355727545.60566735</v>
      </c>
      <c r="I9" s="56">
        <f>Balance!J11-Balance!J37</f>
        <v>382178366.19244385</v>
      </c>
      <c r="J9" s="56">
        <f>Balance!K11-Balance!K37</f>
        <v>412922078.42736173</v>
      </c>
      <c r="K9" s="56">
        <f>Balance!L11-Balance!L37</f>
        <v>446337753.83667302</v>
      </c>
      <c r="L9" s="56">
        <f>Balance!M11-Balance!M37</f>
        <v>484121541.54423094</v>
      </c>
    </row>
    <row r="10" spans="1:12" ht="15" thickTop="1" x14ac:dyDescent="0.3"/>
    <row r="11" spans="1:12" x14ac:dyDescent="0.3">
      <c r="A11" t="s">
        <v>425</v>
      </c>
    </row>
    <row r="12" spans="1:12" x14ac:dyDescent="0.3">
      <c r="A12" t="s">
        <v>426</v>
      </c>
    </row>
    <row r="13" spans="1:12" ht="15" thickBot="1" x14ac:dyDescent="0.35">
      <c r="A13" t="s">
        <v>427</v>
      </c>
      <c r="B13" s="62">
        <f>Balance!C45/Balance!C31</f>
        <v>-10.727130330876125</v>
      </c>
      <c r="C13" s="62">
        <f>Balance!D45/Balance!D31</f>
        <v>9.574764056130626E-2</v>
      </c>
      <c r="D13" s="62">
        <f>Balance!E45/Balance!E31</f>
        <v>6.4096675627555083E-2</v>
      </c>
      <c r="E13" s="62">
        <f>Balance!F45/Balance!F31</f>
        <v>3.2652400902133921E-2</v>
      </c>
      <c r="F13" s="62">
        <f>Balance!G45/Balance!G31</f>
        <v>2.9263298685613726E-3</v>
      </c>
      <c r="G13" s="62">
        <f>Balance!H45/Balance!H31</f>
        <v>1.3224755058887741E-4</v>
      </c>
      <c r="H13" s="62">
        <f>Balance!I45/Balance!I31</f>
        <v>1.2443416248390308E-4</v>
      </c>
      <c r="I13" s="62">
        <f>Balance!J45/Balance!J31</f>
        <v>1.1637748897920402E-4</v>
      </c>
      <c r="J13" s="62">
        <f>Balance!K45/Balance!K31</f>
        <v>1.0817273740698464E-4</v>
      </c>
      <c r="K13" s="62">
        <f>Balance!L45/Balance!L31</f>
        <v>1.0044601236246338E-4</v>
      </c>
      <c r="L13" s="62">
        <f>Balance!M45/Balance!M31</f>
        <v>9.2904085214700575E-5</v>
      </c>
    </row>
    <row r="14" spans="1:12" ht="15" thickTop="1" x14ac:dyDescent="0.3">
      <c r="A14" t="s">
        <v>426</v>
      </c>
    </row>
    <row r="15" spans="1:12" ht="15" thickBot="1" x14ac:dyDescent="0.35">
      <c r="A15" t="s">
        <v>428</v>
      </c>
      <c r="B15" s="56">
        <f>Balance!C52/Balance!C31</f>
        <v>11.727130330876125</v>
      </c>
      <c r="C15" s="56">
        <f>Balance!D52/Balance!D31</f>
        <v>0.90425235943869364</v>
      </c>
      <c r="D15" s="56">
        <f>Balance!E52/Balance!E31</f>
        <v>0.93590332437244483</v>
      </c>
      <c r="E15" s="56">
        <f>Balance!F52/Balance!F31</f>
        <v>0.96734759909786605</v>
      </c>
      <c r="F15" s="56">
        <f>Balance!G52/Balance!G31</f>
        <v>0.99707367013143855</v>
      </c>
      <c r="G15" s="56">
        <f>Balance!H52/Balance!H31</f>
        <v>0.99986775244941117</v>
      </c>
      <c r="H15" s="56">
        <f>Balance!I52/Balance!I31</f>
        <v>0.99987556583751613</v>
      </c>
      <c r="I15" s="56">
        <f>Balance!J52/Balance!J31</f>
        <v>0.99988362251102081</v>
      </c>
      <c r="J15" s="56">
        <f>Balance!K52/Balance!K31</f>
        <v>0.99989182726259307</v>
      </c>
      <c r="K15" s="56">
        <f>Balance!L52/Balance!L31</f>
        <v>0.99989955398763741</v>
      </c>
      <c r="L15" s="56">
        <f>Balance!M52/Balance!M31</f>
        <v>0.99990709591478522</v>
      </c>
    </row>
    <row r="16" spans="1:12" ht="15" thickTop="1" x14ac:dyDescent="0.3"/>
    <row r="17" spans="1:12" x14ac:dyDescent="0.3">
      <c r="A17" t="s">
        <v>429</v>
      </c>
    </row>
    <row r="18" spans="1:12" ht="15" thickBot="1" x14ac:dyDescent="0.35">
      <c r="A18" t="s">
        <v>430</v>
      </c>
      <c r="B18" s="56">
        <f>'Estado R'!B6/Balance!C31</f>
        <v>-33.421990629806714</v>
      </c>
      <c r="C18" s="56">
        <f>'Estado R'!C6/Balance!D31</f>
        <v>2.1905138444304941</v>
      </c>
      <c r="D18" s="56">
        <f>'Estado R'!D6/Balance!E31</f>
        <v>2.4026081177102192</v>
      </c>
      <c r="E18" s="56">
        <f>'Estado R'!E6/Balance!F31</f>
        <v>2.6085975624696363</v>
      </c>
      <c r="F18" s="56">
        <f>'Estado R'!F6/Balance!G31</f>
        <v>2.8038018105827391</v>
      </c>
      <c r="G18" s="56">
        <f>'Estado R'!G6/Balance!H31</f>
        <v>2.9372321398211523</v>
      </c>
      <c r="H18" s="56">
        <f>'Estado R'!H6/Balance!I31</f>
        <v>3.0576892041165431</v>
      </c>
      <c r="I18" s="56">
        <f>'Estado R'!I6/Balance!J31</f>
        <v>3.1639434621574334</v>
      </c>
      <c r="J18" s="56">
        <f>'Estado R'!J6/Balance!K31</f>
        <v>3.2662204328076085</v>
      </c>
      <c r="K18" s="56">
        <f>'Estado R'!K6/Balance!L31</f>
        <v>3.2368610787803638</v>
      </c>
      <c r="L18" s="56">
        <f>'Estado R'!L6/Balance!M31</f>
        <v>3.2799827755458115</v>
      </c>
    </row>
    <row r="19" spans="1:12" ht="15" thickTop="1" x14ac:dyDescent="0.3">
      <c r="A19" t="s">
        <v>431</v>
      </c>
    </row>
    <row r="20" spans="1:12" x14ac:dyDescent="0.3">
      <c r="A20" t="s">
        <v>432</v>
      </c>
    </row>
    <row r="21" spans="1:12" x14ac:dyDescent="0.3">
      <c r="A21" t="s">
        <v>433</v>
      </c>
    </row>
    <row r="22" spans="1:12" x14ac:dyDescent="0.3">
      <c r="A22" t="s">
        <v>434</v>
      </c>
    </row>
    <row r="23" spans="1:12" x14ac:dyDescent="0.3">
      <c r="A23" t="s">
        <v>435</v>
      </c>
    </row>
    <row r="25" spans="1:12" x14ac:dyDescent="0.3">
      <c r="A25" t="s">
        <v>436</v>
      </c>
    </row>
    <row r="26" spans="1:12" ht="15" thickBot="1" x14ac:dyDescent="0.35">
      <c r="A26" t="s">
        <v>437</v>
      </c>
      <c r="B26" s="65">
        <f>'Estado R'!B40/'Estado R'!B6</f>
        <v>-0.36699851175453929</v>
      </c>
      <c r="C26" s="65">
        <f>'Estado R'!C40/'Estado R'!C6</f>
        <v>0.4649667841005562</v>
      </c>
      <c r="D26" s="65">
        <f>'Estado R'!D40/'Estado R'!D6</f>
        <v>3.5964230980910657E-3</v>
      </c>
      <c r="E26" s="65">
        <f>'Estado R'!E40/'Estado R'!E6</f>
        <v>7.1506249562967228E-3</v>
      </c>
      <c r="F26" s="65">
        <f>'Estado R'!F40/'Estado R'!F6</f>
        <v>1.0164938174840724E-2</v>
      </c>
      <c r="G26" s="65">
        <f>'Estado R'!G40/'Estado R'!G6</f>
        <v>1.8097965188571558E-2</v>
      </c>
      <c r="H26" s="65">
        <f>'Estado R'!H40/'Estado R'!H6</f>
        <v>1.9322282176550281E-2</v>
      </c>
      <c r="I26" s="65">
        <f>'Estado R'!I40/'Estado R'!I6</f>
        <v>2.046385363483115E-2</v>
      </c>
      <c r="J26" s="65">
        <f>'Estado R'!J40/'Estado R'!J6</f>
        <v>2.1584945779171239E-2</v>
      </c>
      <c r="K26" s="65">
        <f>'Estado R'!K40/'Estado R'!K6</f>
        <v>2.2067522474526879E-2</v>
      </c>
      <c r="L26" s="65">
        <f>'Estado R'!L40/'Estado R'!L6</f>
        <v>2.2891701259629926E-2</v>
      </c>
    </row>
    <row r="27" spans="1:12" ht="15" thickTop="1" x14ac:dyDescent="0.3">
      <c r="A27" t="s">
        <v>438</v>
      </c>
    </row>
    <row r="28" spans="1:12" x14ac:dyDescent="0.3">
      <c r="A28" t="s">
        <v>439</v>
      </c>
    </row>
    <row r="30" spans="1:12" ht="15" thickBot="1" x14ac:dyDescent="0.35">
      <c r="A30" t="s">
        <v>440</v>
      </c>
      <c r="B30" s="56">
        <f>'Estado R'!B40/Balance!C31</f>
        <v>12.265820821013222</v>
      </c>
      <c r="C30" s="56">
        <f>'Estado R'!C40/Balance!D31</f>
        <v>1.0185161777725928</v>
      </c>
      <c r="D30" s="56">
        <f>'Estado R'!D40/Balance!E31</f>
        <v>8.6407953301941304E-3</v>
      </c>
      <c r="E30" s="56">
        <f>'Estado R'!E40/Balance!F31</f>
        <v>1.8653102831130183E-2</v>
      </c>
      <c r="F30" s="56">
        <f>'Estado R'!F40/Balance!G31</f>
        <v>2.8500472059080025E-2</v>
      </c>
      <c r="G30" s="56">
        <f>'Estado R'!G40/Balance!H31</f>
        <v>5.3157925017236762E-2</v>
      </c>
      <c r="H30" s="56">
        <f>'Estado R'!H40/Balance!I31</f>
        <v>5.9081533610131298E-2</v>
      </c>
      <c r="I30" s="56">
        <f>'Estado R'!I40/Balance!J31</f>
        <v>6.4746475918470645E-2</v>
      </c>
      <c r="J30" s="56">
        <f>'Estado R'!J40/Balance!K31</f>
        <v>7.0501190944973452E-2</v>
      </c>
      <c r="K30" s="56">
        <f>'Estado R'!K40/Balance!L31</f>
        <v>7.1429504602906993E-2</v>
      </c>
      <c r="L30" s="56">
        <f>'Estado R'!L40/Balance!M31</f>
        <v>7.5084385834526521E-2</v>
      </c>
    </row>
    <row r="31" spans="1:12" ht="15" thickTop="1" x14ac:dyDescent="0.3">
      <c r="A31" t="s">
        <v>441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4709-FA65-4DD0-BBE4-DDE86D972919}">
  <dimension ref="A1"/>
  <sheetViews>
    <sheetView workbookViewId="0">
      <selection activeCell="J19" sqref="J19"/>
    </sheetView>
  </sheetViews>
  <sheetFormatPr baseColWidth="10" defaultColWidth="8.88671875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Premisas</vt:lpstr>
      <vt:lpstr>COs</vt:lpstr>
      <vt:lpstr>Capacidad</vt:lpstr>
      <vt:lpstr>BOM</vt:lpstr>
      <vt:lpstr>Depreciación.</vt:lpstr>
      <vt:lpstr>Financiamiento</vt:lpstr>
      <vt:lpstr>Egresos</vt:lpstr>
      <vt:lpstr>Ingresos</vt:lpstr>
      <vt:lpstr>Estado R</vt:lpstr>
      <vt:lpstr>Flujo</vt:lpstr>
      <vt:lpstr>Balance</vt:lpstr>
      <vt:lpstr>Razones</vt:lpstr>
      <vt:lpstr>Graficos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González Almaguer</dc:creator>
  <cp:lastModifiedBy>Santi Alducin</cp:lastModifiedBy>
  <dcterms:created xsi:type="dcterms:W3CDTF">2025-05-25T02:38:51Z</dcterms:created>
  <dcterms:modified xsi:type="dcterms:W3CDTF">2026-09-21T16:58:10Z</dcterms:modified>
</cp:coreProperties>
</file>