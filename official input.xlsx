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13_ncr:1_{F8DCF4F7-29D7-412F-9DDD-30F6C99290C1}" xr6:coauthVersionLast="47" xr6:coauthVersionMax="47" xr10:uidLastSave="{00000000-0000-0000-0000-000000000000}"/>
  <bookViews>
    <workbookView xWindow="6390" yWindow="-16320" windowWidth="29040" windowHeight="15720" activeTab="7" xr2:uid="{00000000-000D-0000-FFFF-FFFF00000000}"/>
  </bookViews>
  <sheets>
    <sheet name="Premisas" sheetId="1" r:id="rId1"/>
    <sheet name="COs" sheetId="2" r:id="rId2"/>
    <sheet name="Capacidad" sheetId="3" r:id="rId3"/>
    <sheet name="BOM" sheetId="4" r:id="rId4"/>
    <sheet name="Inversion" sheetId="5" r:id="rId5"/>
    <sheet name="Empleados_2" sheetId="6" r:id="rId6"/>
    <sheet name="Empleados" sheetId="7" r:id="rId7"/>
    <sheet name="Servic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5pgSMMZeWIH+WzSZIZo82YM0KtZXAEZbHraZOQIsGIE="/>
    </ext>
  </extLst>
</workbook>
</file>

<file path=xl/calcChain.xml><?xml version="1.0" encoding="utf-8"?>
<calcChain xmlns="http://schemas.openxmlformats.org/spreadsheetml/2006/main">
  <c r="C8" i="5" l="1"/>
  <c r="D8" i="5"/>
  <c r="E8" i="5"/>
  <c r="F8" i="5"/>
  <c r="G8" i="5"/>
  <c r="H8" i="5"/>
  <c r="I8" i="5"/>
  <c r="J8" i="5"/>
  <c r="K8" i="5"/>
  <c r="L8" i="5"/>
  <c r="C9" i="5"/>
  <c r="D9" i="5"/>
  <c r="E9" i="5" s="1"/>
  <c r="F9" i="5" s="1"/>
  <c r="G9" i="5" s="1"/>
  <c r="H9" i="5" s="1"/>
  <c r="I9" i="5" s="1"/>
  <c r="J9" i="5" s="1"/>
  <c r="K9" i="5" s="1"/>
  <c r="L9" i="5" s="1"/>
  <c r="C10" i="5"/>
  <c r="D10" i="5" s="1"/>
  <c r="E10" i="5" s="1"/>
  <c r="F10" i="5" s="1"/>
  <c r="G10" i="5" s="1"/>
  <c r="H10" i="5" s="1"/>
  <c r="I10" i="5" s="1"/>
  <c r="J10" i="5" s="1"/>
  <c r="K10" i="5" s="1"/>
  <c r="L10" i="5" s="1"/>
  <c r="I2" i="4"/>
  <c r="I3" i="4" a="1"/>
  <c r="F34" i="3"/>
  <c r="D11" i="3"/>
  <c r="H11" i="3"/>
  <c r="K11" i="3"/>
  <c r="L11" i="3"/>
  <c r="G11" i="3"/>
  <c r="J11" i="3"/>
  <c r="E11" i="3"/>
  <c r="F11" i="3"/>
  <c r="I11" i="3"/>
  <c r="B4" i="3"/>
  <c r="B11" i="3" s="1"/>
  <c r="C23" i="5"/>
  <c r="D23" i="5" s="1"/>
  <c r="E23" i="5" s="1"/>
  <c r="F23" i="5" s="1"/>
  <c r="G23" i="5" s="1"/>
  <c r="H23" i="5" s="1"/>
  <c r="I23" i="5" s="1"/>
  <c r="J23" i="5" s="1"/>
  <c r="K23" i="5" s="1"/>
  <c r="L23" i="5" s="1"/>
  <c r="C22" i="5"/>
  <c r="D22" i="5" s="1"/>
  <c r="E22" i="5" s="1"/>
  <c r="F22" i="5" s="1"/>
  <c r="G22" i="5" s="1"/>
  <c r="H22" i="5" s="1"/>
  <c r="I22" i="5" s="1"/>
  <c r="J22" i="5" s="1"/>
  <c r="K22" i="5" s="1"/>
  <c r="L22" i="5" s="1"/>
  <c r="C21" i="5"/>
  <c r="D21" i="5" s="1"/>
  <c r="E21" i="5" s="1"/>
  <c r="F21" i="5" s="1"/>
  <c r="G21" i="5" s="1"/>
  <c r="H21" i="5" s="1"/>
  <c r="I21" i="5" s="1"/>
  <c r="J21" i="5" s="1"/>
  <c r="K21" i="5" s="1"/>
  <c r="L21" i="5" s="1"/>
  <c r="C35" i="5"/>
  <c r="D35" i="5" s="1"/>
  <c r="E35" i="5" s="1"/>
  <c r="F35" i="5" s="1"/>
  <c r="G35" i="5" s="1"/>
  <c r="H35" i="5" s="1"/>
  <c r="I35" i="5" s="1"/>
  <c r="J35" i="5" s="1"/>
  <c r="K35" i="5" s="1"/>
  <c r="L35" i="5" s="1"/>
  <c r="C34" i="5"/>
  <c r="D34" i="5" s="1"/>
  <c r="E34" i="5" s="1"/>
  <c r="F34" i="5" s="1"/>
  <c r="G34" i="5" s="1"/>
  <c r="H34" i="5" s="1"/>
  <c r="I34" i="5" s="1"/>
  <c r="J34" i="5" s="1"/>
  <c r="K34" i="5" s="1"/>
  <c r="L34" i="5" s="1"/>
  <c r="C33" i="5"/>
  <c r="D33" i="5" s="1"/>
  <c r="E33" i="5" s="1"/>
  <c r="F33" i="5" s="1"/>
  <c r="G33" i="5" s="1"/>
  <c r="H33" i="5" s="1"/>
  <c r="I33" i="5" s="1"/>
  <c r="J33" i="5" s="1"/>
  <c r="K33" i="5" s="1"/>
  <c r="L33" i="5" s="1"/>
  <c r="C32" i="5"/>
  <c r="D32" i="5" s="1"/>
  <c r="E32" i="5" s="1"/>
  <c r="F32" i="5" s="1"/>
  <c r="G32" i="5" s="1"/>
  <c r="H32" i="5" s="1"/>
  <c r="I32" i="5" s="1"/>
  <c r="J32" i="5" s="1"/>
  <c r="K32" i="5" s="1"/>
  <c r="L32" i="5" s="1"/>
  <c r="C31" i="5"/>
  <c r="D31" i="5" s="1"/>
  <c r="E31" i="5" s="1"/>
  <c r="F31" i="5" s="1"/>
  <c r="G31" i="5" s="1"/>
  <c r="H31" i="5" s="1"/>
  <c r="I31" i="5" s="1"/>
  <c r="J31" i="5" s="1"/>
  <c r="K31" i="5" s="1"/>
  <c r="L31" i="5" s="1"/>
  <c r="C30" i="5"/>
  <c r="D30" i="5" s="1"/>
  <c r="E30" i="5" s="1"/>
  <c r="F30" i="5" s="1"/>
  <c r="G30" i="5" s="1"/>
  <c r="H30" i="5" s="1"/>
  <c r="I30" i="5" s="1"/>
  <c r="J30" i="5" s="1"/>
  <c r="K30" i="5" s="1"/>
  <c r="L30" i="5" s="1"/>
  <c r="C2" i="5"/>
  <c r="D2" i="5" s="1"/>
  <c r="E2" i="5" s="1"/>
  <c r="F2" i="5" s="1"/>
  <c r="G2" i="5" s="1"/>
  <c r="H2" i="5" s="1"/>
  <c r="I2" i="5" s="1"/>
  <c r="J2" i="5" s="1"/>
  <c r="K2" i="5" s="1"/>
  <c r="L2" i="5" s="1"/>
  <c r="C3" i="5"/>
  <c r="D3" i="5" s="1"/>
  <c r="E3" i="5" s="1"/>
  <c r="F3" i="5" s="1"/>
  <c r="G3" i="5" s="1"/>
  <c r="H3" i="5" s="1"/>
  <c r="I3" i="5" s="1"/>
  <c r="J3" i="5" s="1"/>
  <c r="K3" i="5" s="1"/>
  <c r="L3" i="5" s="1"/>
  <c r="C4" i="5"/>
  <c r="D4" i="5" s="1"/>
  <c r="E4" i="5" s="1"/>
  <c r="F4" i="5" s="1"/>
  <c r="G4" i="5" s="1"/>
  <c r="H4" i="5" s="1"/>
  <c r="I4" i="5" s="1"/>
  <c r="J4" i="5" s="1"/>
  <c r="K4" i="5" s="1"/>
  <c r="L4" i="5" s="1"/>
  <c r="C5" i="5"/>
  <c r="D5" i="5"/>
  <c r="E5" i="5" s="1"/>
  <c r="F5" i="5" s="1"/>
  <c r="G5" i="5" s="1"/>
  <c r="H5" i="5" s="1"/>
  <c r="I5" i="5" s="1"/>
  <c r="J5" i="5" s="1"/>
  <c r="K5" i="5" s="1"/>
  <c r="L5" i="5" s="1"/>
  <c r="C6" i="5"/>
  <c r="D6" i="5" s="1"/>
  <c r="E6" i="5" s="1"/>
  <c r="F6" i="5" s="1"/>
  <c r="G6" i="5" s="1"/>
  <c r="H6" i="5" s="1"/>
  <c r="I6" i="5" s="1"/>
  <c r="J6" i="5" s="1"/>
  <c r="K6" i="5" s="1"/>
  <c r="L6" i="5" s="1"/>
  <c r="C7" i="5"/>
  <c r="D7" i="5" s="1"/>
  <c r="E7" i="5" s="1"/>
  <c r="F7" i="5" s="1"/>
  <c r="G7" i="5" s="1"/>
  <c r="H7" i="5" s="1"/>
  <c r="I7" i="5" s="1"/>
  <c r="J7" i="5" s="1"/>
  <c r="K7" i="5" s="1"/>
  <c r="L7" i="5" s="1"/>
  <c r="L3" i="6"/>
  <c r="L4" i="6"/>
  <c r="L5" i="6"/>
  <c r="L6" i="6"/>
  <c r="L7" i="6"/>
  <c r="M7" i="6" s="1"/>
  <c r="L8" i="6"/>
  <c r="L9" i="6"/>
  <c r="L10" i="6"/>
  <c r="M10" i="6" s="1"/>
  <c r="L11" i="6"/>
  <c r="M11" i="6" s="1"/>
  <c r="L12" i="6"/>
  <c r="L13" i="6"/>
  <c r="M13" i="6" s="1"/>
  <c r="L14" i="6"/>
  <c r="M14" i="6" s="1"/>
  <c r="L15" i="6"/>
  <c r="L16" i="6"/>
  <c r="L17" i="6"/>
  <c r="L18" i="6"/>
  <c r="L19" i="6"/>
  <c r="L20" i="6"/>
  <c r="L21" i="6"/>
  <c r="L22" i="6"/>
  <c r="L23" i="6"/>
  <c r="L24" i="6"/>
  <c r="L25" i="6"/>
  <c r="L26" i="6"/>
  <c r="L2" i="6"/>
  <c r="M2" i="6" s="1"/>
  <c r="K111" i="7"/>
  <c r="K112" i="7" s="1"/>
  <c r="G111" i="7"/>
  <c r="G112" i="7" s="1"/>
  <c r="C111" i="7"/>
  <c r="C112" i="7" s="1"/>
  <c r="K110" i="7"/>
  <c r="G110" i="7"/>
  <c r="C110" i="7"/>
  <c r="K109" i="7"/>
  <c r="G109" i="7"/>
  <c r="C109" i="7"/>
  <c r="K108" i="7"/>
  <c r="G108" i="7"/>
  <c r="C108" i="7"/>
  <c r="K107" i="7"/>
  <c r="G107" i="7"/>
  <c r="C107" i="7"/>
  <c r="K105" i="7"/>
  <c r="G105" i="7"/>
  <c r="C105" i="7"/>
  <c r="K104" i="7"/>
  <c r="G104" i="7"/>
  <c r="C104" i="7"/>
  <c r="K103" i="7"/>
  <c r="G103" i="7"/>
  <c r="C103" i="7"/>
  <c r="C96" i="7"/>
  <c r="C95" i="7"/>
  <c r="C94" i="7"/>
  <c r="C93" i="7"/>
  <c r="C91" i="7"/>
  <c r="C90" i="7"/>
  <c r="C89" i="7"/>
  <c r="C97" i="7" s="1"/>
  <c r="C98" i="7" s="1"/>
  <c r="O82" i="7"/>
  <c r="K82" i="7"/>
  <c r="G82" i="7"/>
  <c r="C82" i="7"/>
  <c r="O81" i="7"/>
  <c r="K81" i="7"/>
  <c r="G81" i="7"/>
  <c r="C81" i="7"/>
  <c r="O80" i="7"/>
  <c r="K80" i="7"/>
  <c r="G80" i="7"/>
  <c r="C80" i="7"/>
  <c r="O79" i="7"/>
  <c r="K79" i="7"/>
  <c r="G79" i="7"/>
  <c r="C79" i="7"/>
  <c r="O77" i="7"/>
  <c r="K77" i="7"/>
  <c r="G77" i="7"/>
  <c r="C77" i="7"/>
  <c r="O76" i="7"/>
  <c r="K76" i="7"/>
  <c r="G76" i="7"/>
  <c r="C76" i="7"/>
  <c r="O75" i="7"/>
  <c r="O83" i="7" s="1"/>
  <c r="O84" i="7" s="1"/>
  <c r="K75" i="7"/>
  <c r="K83" i="7" s="1"/>
  <c r="K84" i="7" s="1"/>
  <c r="G75" i="7"/>
  <c r="G83" i="7" s="1"/>
  <c r="G84" i="7" s="1"/>
  <c r="C75" i="7"/>
  <c r="C83" i="7" s="1"/>
  <c r="C84" i="7" s="1"/>
  <c r="O68" i="7"/>
  <c r="K68" i="7"/>
  <c r="G68" i="7"/>
  <c r="C68" i="7"/>
  <c r="O67" i="7"/>
  <c r="K67" i="7"/>
  <c r="G67" i="7"/>
  <c r="C67" i="7"/>
  <c r="O66" i="7"/>
  <c r="K66" i="7"/>
  <c r="G66" i="7"/>
  <c r="C66" i="7"/>
  <c r="O65" i="7"/>
  <c r="K65" i="7"/>
  <c r="G65" i="7"/>
  <c r="C65" i="7"/>
  <c r="O63" i="7"/>
  <c r="K63" i="7"/>
  <c r="G63" i="7"/>
  <c r="C63" i="7"/>
  <c r="O62" i="7"/>
  <c r="K62" i="7"/>
  <c r="G62" i="7"/>
  <c r="C62" i="7"/>
  <c r="O61" i="7"/>
  <c r="O69" i="7" s="1"/>
  <c r="O70" i="7" s="1"/>
  <c r="K61" i="7"/>
  <c r="K69" i="7" s="1"/>
  <c r="K70" i="7" s="1"/>
  <c r="G61" i="7"/>
  <c r="G69" i="7" s="1"/>
  <c r="G70" i="7" s="1"/>
  <c r="C61" i="7"/>
  <c r="C69" i="7" s="1"/>
  <c r="C70" i="7" s="1"/>
  <c r="C52" i="7"/>
  <c r="C51" i="7"/>
  <c r="C50" i="7"/>
  <c r="C49" i="7"/>
  <c r="C47" i="7"/>
  <c r="C46" i="7"/>
  <c r="C45" i="7"/>
  <c r="C53" i="7" s="1"/>
  <c r="C54" i="7" s="1"/>
  <c r="O38" i="7"/>
  <c r="K38" i="7"/>
  <c r="G38" i="7"/>
  <c r="C38" i="7"/>
  <c r="O37" i="7"/>
  <c r="K37" i="7"/>
  <c r="G37" i="7"/>
  <c r="C37" i="7"/>
  <c r="O36" i="7"/>
  <c r="K36" i="7"/>
  <c r="G36" i="7"/>
  <c r="C36" i="7"/>
  <c r="O35" i="7"/>
  <c r="K35" i="7"/>
  <c r="G35" i="7"/>
  <c r="C35" i="7"/>
  <c r="O33" i="7"/>
  <c r="K33" i="7"/>
  <c r="G33" i="7"/>
  <c r="C33" i="7"/>
  <c r="O32" i="7"/>
  <c r="K32" i="7"/>
  <c r="G32" i="7"/>
  <c r="C32" i="7"/>
  <c r="O31" i="7"/>
  <c r="O39" i="7" s="1"/>
  <c r="O40" i="7" s="1"/>
  <c r="K31" i="7"/>
  <c r="K39" i="7" s="1"/>
  <c r="K40" i="7" s="1"/>
  <c r="G31" i="7"/>
  <c r="G39" i="7" s="1"/>
  <c r="G40" i="7" s="1"/>
  <c r="C31" i="7"/>
  <c r="C39" i="7" s="1"/>
  <c r="C40" i="7" s="1"/>
  <c r="O24" i="7"/>
  <c r="K24" i="7"/>
  <c r="G24" i="7"/>
  <c r="O23" i="7"/>
  <c r="K23" i="7"/>
  <c r="G23" i="7"/>
  <c r="C23" i="7"/>
  <c r="O22" i="7"/>
  <c r="K22" i="7"/>
  <c r="G22" i="7"/>
  <c r="C22" i="7"/>
  <c r="O21" i="7"/>
  <c r="K21" i="7"/>
  <c r="G21" i="7"/>
  <c r="C21" i="7"/>
  <c r="O19" i="7"/>
  <c r="K19" i="7"/>
  <c r="G19" i="7"/>
  <c r="C19" i="7"/>
  <c r="O18" i="7"/>
  <c r="K18" i="7"/>
  <c r="G18" i="7"/>
  <c r="C18" i="7"/>
  <c r="O17" i="7"/>
  <c r="O25" i="7" s="1"/>
  <c r="O26" i="7" s="1"/>
  <c r="K17" i="7"/>
  <c r="K25" i="7" s="1"/>
  <c r="K26" i="7" s="1"/>
  <c r="G17" i="7"/>
  <c r="G25" i="7" s="1"/>
  <c r="G26" i="7" s="1"/>
  <c r="C17" i="7"/>
  <c r="C25" i="7" s="1"/>
  <c r="C26" i="7" s="1"/>
  <c r="O10" i="7"/>
  <c r="K10" i="7"/>
  <c r="G10" i="7"/>
  <c r="C10" i="7"/>
  <c r="O9" i="7"/>
  <c r="K9" i="7"/>
  <c r="G9" i="7"/>
  <c r="C9" i="7"/>
  <c r="O8" i="7"/>
  <c r="K8" i="7"/>
  <c r="G8" i="7"/>
  <c r="C8" i="7"/>
  <c r="O7" i="7"/>
  <c r="K7" i="7"/>
  <c r="G7" i="7"/>
  <c r="C7" i="7"/>
  <c r="O5" i="7"/>
  <c r="K5" i="7"/>
  <c r="G5" i="7"/>
  <c r="C5" i="7"/>
  <c r="O4" i="7"/>
  <c r="K4" i="7"/>
  <c r="G4" i="7"/>
  <c r="C4" i="7"/>
  <c r="O3" i="7"/>
  <c r="O11" i="7" s="1"/>
  <c r="O12" i="7" s="1"/>
  <c r="K3" i="7"/>
  <c r="K11" i="7" s="1"/>
  <c r="K12" i="7" s="1"/>
  <c r="G3" i="7"/>
  <c r="G11" i="7" s="1"/>
  <c r="G12" i="7" s="1"/>
  <c r="C3" i="7"/>
  <c r="C11" i="7" s="1"/>
  <c r="C12" i="7" s="1"/>
  <c r="M26" i="6"/>
  <c r="M25" i="6"/>
  <c r="M24" i="6"/>
  <c r="M23" i="6"/>
  <c r="M22" i="6"/>
  <c r="M21" i="6"/>
  <c r="M20" i="6"/>
  <c r="M19" i="6"/>
  <c r="M18" i="6"/>
  <c r="M17" i="6"/>
  <c r="M16" i="6"/>
  <c r="M15" i="6"/>
  <c r="M12" i="6"/>
  <c r="M9" i="6"/>
  <c r="M8" i="6"/>
  <c r="M6" i="6"/>
  <c r="M5" i="6"/>
  <c r="M4" i="6"/>
  <c r="M3" i="6"/>
  <c r="G33" i="3"/>
  <c r="H33" i="3" s="1"/>
  <c r="I33" i="3" s="1"/>
  <c r="J33" i="3" s="1"/>
  <c r="K33" i="3" s="1"/>
  <c r="L33" i="3" s="1"/>
  <c r="M33" i="3" s="1"/>
  <c r="N33" i="3" s="1"/>
  <c r="O33" i="3" s="1"/>
  <c r="P33" i="3" s="1"/>
  <c r="E33" i="3"/>
  <c r="C3" i="3" s="1"/>
  <c r="C4" i="3" s="1"/>
  <c r="C11" i="3" s="1"/>
  <c r="G32" i="3"/>
  <c r="H32" i="3" s="1"/>
  <c r="I32" i="3" s="1"/>
  <c r="J32" i="3" s="1"/>
  <c r="K32" i="3" s="1"/>
  <c r="L32" i="3" s="1"/>
  <c r="M32" i="3" s="1"/>
  <c r="N32" i="3" s="1"/>
  <c r="O32" i="3" s="1"/>
  <c r="P32" i="3" s="1"/>
  <c r="E32" i="3"/>
  <c r="G31" i="3"/>
  <c r="H31" i="3" s="1"/>
  <c r="I31" i="3" s="1"/>
  <c r="J31" i="3" s="1"/>
  <c r="K31" i="3" s="1"/>
  <c r="L31" i="3" s="1"/>
  <c r="M31" i="3" s="1"/>
  <c r="N31" i="3" s="1"/>
  <c r="O31" i="3" s="1"/>
  <c r="P31" i="3" s="1"/>
  <c r="E31" i="3"/>
  <c r="G30" i="3"/>
  <c r="H30" i="3" s="1"/>
  <c r="I30" i="3" s="1"/>
  <c r="J30" i="3" s="1"/>
  <c r="K30" i="3" s="1"/>
  <c r="L30" i="3" s="1"/>
  <c r="M30" i="3" s="1"/>
  <c r="N30" i="3" s="1"/>
  <c r="O30" i="3" s="1"/>
  <c r="P30" i="3" s="1"/>
  <c r="E30" i="3"/>
  <c r="G29" i="3"/>
  <c r="H29" i="3" s="1"/>
  <c r="I29" i="3" s="1"/>
  <c r="J29" i="3" s="1"/>
  <c r="K29" i="3" s="1"/>
  <c r="L29" i="3" s="1"/>
  <c r="M29" i="3" s="1"/>
  <c r="N29" i="3" s="1"/>
  <c r="O29" i="3" s="1"/>
  <c r="P29" i="3" s="1"/>
  <c r="E29" i="3"/>
  <c r="G28" i="3"/>
  <c r="H28" i="3" s="1"/>
  <c r="I28" i="3" s="1"/>
  <c r="J28" i="3" s="1"/>
  <c r="K28" i="3" s="1"/>
  <c r="L28" i="3" s="1"/>
  <c r="M28" i="3" s="1"/>
  <c r="N28" i="3" s="1"/>
  <c r="O28" i="3" s="1"/>
  <c r="P28" i="3" s="1"/>
  <c r="E28" i="3"/>
  <c r="G27" i="3"/>
  <c r="H27" i="3" s="1"/>
  <c r="I27" i="3" s="1"/>
  <c r="J27" i="3" s="1"/>
  <c r="K27" i="3" s="1"/>
  <c r="L27" i="3" s="1"/>
  <c r="M27" i="3" s="1"/>
  <c r="N27" i="3" s="1"/>
  <c r="O27" i="3" s="1"/>
  <c r="P27" i="3" s="1"/>
  <c r="E27" i="3"/>
  <c r="G26" i="3"/>
  <c r="H26" i="3" s="1"/>
  <c r="I26" i="3" s="1"/>
  <c r="J26" i="3" s="1"/>
  <c r="K26" i="3" s="1"/>
  <c r="L26" i="3" s="1"/>
  <c r="M26" i="3" s="1"/>
  <c r="N26" i="3" s="1"/>
  <c r="O26" i="3" s="1"/>
  <c r="P26" i="3" s="1"/>
  <c r="E26" i="3"/>
  <c r="G25" i="3"/>
  <c r="H25" i="3" s="1"/>
  <c r="I25" i="3" s="1"/>
  <c r="J25" i="3" s="1"/>
  <c r="K25" i="3" s="1"/>
  <c r="L25" i="3" s="1"/>
  <c r="M25" i="3" s="1"/>
  <c r="N25" i="3" s="1"/>
  <c r="O25" i="3" s="1"/>
  <c r="P25" i="3" s="1"/>
  <c r="E25" i="3"/>
  <c r="G24" i="3"/>
  <c r="H24" i="3" s="1"/>
  <c r="I24" i="3" s="1"/>
  <c r="J24" i="3" s="1"/>
  <c r="K24" i="3" s="1"/>
  <c r="L24" i="3" s="1"/>
  <c r="M24" i="3" s="1"/>
  <c r="N24" i="3" s="1"/>
  <c r="O24" i="3" s="1"/>
  <c r="P24" i="3" s="1"/>
  <c r="E24" i="3"/>
  <c r="G23" i="3"/>
  <c r="H23" i="3" s="1"/>
  <c r="I23" i="3" s="1"/>
  <c r="J23" i="3" s="1"/>
  <c r="K23" i="3" s="1"/>
  <c r="L23" i="3" s="1"/>
  <c r="M23" i="3" s="1"/>
  <c r="N23" i="3" s="1"/>
  <c r="O23" i="3" s="1"/>
  <c r="P23" i="3" s="1"/>
  <c r="E23" i="3"/>
  <c r="G22" i="3"/>
  <c r="H22" i="3" s="1"/>
  <c r="I22" i="3" s="1"/>
  <c r="J22" i="3" s="1"/>
  <c r="K22" i="3" s="1"/>
  <c r="L22" i="3" s="1"/>
  <c r="M22" i="3" s="1"/>
  <c r="N22" i="3" s="1"/>
  <c r="O22" i="3" s="1"/>
  <c r="P22" i="3" s="1"/>
  <c r="E22" i="3"/>
  <c r="G21" i="3"/>
  <c r="H21" i="3" s="1"/>
  <c r="I21" i="3" s="1"/>
  <c r="J21" i="3" s="1"/>
  <c r="K21" i="3" s="1"/>
  <c r="L21" i="3" s="1"/>
  <c r="M21" i="3" s="1"/>
  <c r="N21" i="3" s="1"/>
  <c r="O21" i="3" s="1"/>
  <c r="P21" i="3" s="1"/>
  <c r="E21" i="3"/>
  <c r="G20" i="3"/>
  <c r="H20" i="3" s="1"/>
  <c r="I20" i="3" s="1"/>
  <c r="J20" i="3" s="1"/>
  <c r="K20" i="3" s="1"/>
  <c r="L20" i="3" s="1"/>
  <c r="M20" i="3" s="1"/>
  <c r="N20" i="3" s="1"/>
  <c r="O20" i="3" s="1"/>
  <c r="P20" i="3" s="1"/>
  <c r="E20" i="3"/>
  <c r="G19" i="3"/>
  <c r="H19" i="3" s="1"/>
  <c r="I19" i="3" s="1"/>
  <c r="J19" i="3" s="1"/>
  <c r="K19" i="3" s="1"/>
  <c r="L19" i="3" s="1"/>
  <c r="M19" i="3" s="1"/>
  <c r="N19" i="3" s="1"/>
  <c r="O19" i="3" s="1"/>
  <c r="P19" i="3" s="1"/>
  <c r="E19" i="3"/>
  <c r="E18" i="3"/>
  <c r="G17" i="3"/>
  <c r="H17" i="3" s="1"/>
  <c r="I17" i="3" s="1"/>
  <c r="J17" i="3" s="1"/>
  <c r="K17" i="3" s="1"/>
  <c r="L17" i="3" s="1"/>
  <c r="M17" i="3" s="1"/>
  <c r="N17" i="3" s="1"/>
  <c r="O17" i="3" s="1"/>
  <c r="P17" i="3" s="1"/>
  <c r="B14" i="2"/>
  <c r="I2" i="2"/>
  <c r="C19" i="1"/>
  <c r="D19" i="1" s="1"/>
  <c r="E19" i="1" s="1"/>
  <c r="F19" i="1" s="1"/>
  <c r="G19" i="1" s="1"/>
  <c r="H19" i="1" s="1"/>
  <c r="I19" i="1" s="1"/>
  <c r="J19" i="1" s="1"/>
  <c r="K19" i="1" s="1"/>
  <c r="L19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C2" i="1"/>
  <c r="D2" i="1" s="1"/>
  <c r="E2" i="1" s="1"/>
  <c r="F2" i="1" s="1"/>
  <c r="G2" i="1" s="1"/>
  <c r="H2" i="1" s="1"/>
  <c r="I2" i="1" s="1"/>
  <c r="J2" i="1" s="1"/>
  <c r="K2" i="1" s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<sst xmlns="http://schemas.openxmlformats.org/spreadsheetml/2006/main" count="653" uniqueCount="266">
  <si>
    <t>Producto:</t>
  </si>
  <si>
    <t>Mes</t>
  </si>
  <si>
    <t>PREMISAS MACROECONOMICAS</t>
  </si>
  <si>
    <t>Capacidad de la línea</t>
  </si>
  <si>
    <t>Id</t>
  </si>
  <si>
    <t>%</t>
  </si>
  <si>
    <t>Año  Cero</t>
  </si>
  <si>
    <t>Histórico</t>
  </si>
  <si>
    <t>Total</t>
  </si>
  <si>
    <t>Año Cero</t>
  </si>
  <si>
    <t>Enero</t>
  </si>
  <si>
    <t>Linea / Máquina</t>
  </si>
  <si>
    <t>Descripción</t>
  </si>
  <si>
    <t>Cantidad</t>
  </si>
  <si>
    <t>Costo</t>
  </si>
  <si>
    <t>Sxrap</t>
  </si>
  <si>
    <t>Costo de venta</t>
  </si>
  <si>
    <t>FR001</t>
  </si>
  <si>
    <t>Base del frame</t>
  </si>
  <si>
    <t>Campos editables</t>
  </si>
  <si>
    <t>Tipo de cambio al cierre (dolares)</t>
  </si>
  <si>
    <t>-</t>
  </si>
  <si>
    <t>Tiempo en segundos de cada proceso</t>
  </si>
  <si>
    <t>Operadores necesarios</t>
  </si>
  <si>
    <t>Tiempo de ciclo</t>
  </si>
  <si>
    <t>Campos extendibles</t>
  </si>
  <si>
    <t>Puedes aumentar la cantidad de renglones con información</t>
  </si>
  <si>
    <t>Tasa lider nacional.</t>
  </si>
  <si>
    <t>Campos informativos</t>
  </si>
  <si>
    <t>CPP</t>
  </si>
  <si>
    <t>CETES</t>
  </si>
  <si>
    <t>LIBOR</t>
  </si>
  <si>
    <t>Inflación Nacional</t>
  </si>
  <si>
    <t>Tasa ISR</t>
  </si>
  <si>
    <t>Costo de Materia Prima</t>
  </si>
  <si>
    <t>Quality yield</t>
  </si>
  <si>
    <t>Tasa IMPAC</t>
  </si>
  <si>
    <t>Tasa de PTU</t>
  </si>
  <si>
    <t>M-001</t>
  </si>
  <si>
    <t>Elaboración placa base</t>
  </si>
  <si>
    <t>Inflación Extranjera</t>
  </si>
  <si>
    <t>Febrero</t>
  </si>
  <si>
    <t>POLITICAS.</t>
  </si>
  <si>
    <t>Seconds x unit</t>
  </si>
  <si>
    <t>Marzo</t>
  </si>
  <si>
    <t>Abril</t>
  </si>
  <si>
    <t>Mayo</t>
  </si>
  <si>
    <t>Porcentaje de Inventario.</t>
  </si>
  <si>
    <t>Junio</t>
  </si>
  <si>
    <t>Julio</t>
  </si>
  <si>
    <t>Porcentaje de proveedores.</t>
  </si>
  <si>
    <t>Agosto</t>
  </si>
  <si>
    <t>M-002</t>
  </si>
  <si>
    <t>Ensamble base</t>
  </si>
  <si>
    <t>Septiembre</t>
  </si>
  <si>
    <t>Porcentaje de pasivo corto plazo.</t>
  </si>
  <si>
    <t>Octubre</t>
  </si>
  <si>
    <t>Porcentaje de costo directo del producto.</t>
  </si>
  <si>
    <t>Noviembre</t>
  </si>
  <si>
    <t>Porcentaje de costo indirecto del producto.</t>
  </si>
  <si>
    <t>Diciembre</t>
  </si>
  <si>
    <t>Porcentaje de gasto de venta</t>
  </si>
  <si>
    <t>Porcentaje de administración</t>
  </si>
  <si>
    <t>Porcentaje depreciación Edificios</t>
  </si>
  <si>
    <t>Porcentaje depreciación Maquinaria y Equipo</t>
  </si>
  <si>
    <t>Units x hour</t>
  </si>
  <si>
    <t>Porcentaje depreciación Equipo de Transporte</t>
  </si>
  <si>
    <t>Porcentaje depreciación Equipo de computo</t>
  </si>
  <si>
    <t>Periodos</t>
  </si>
  <si>
    <t>M-003</t>
  </si>
  <si>
    <t>Ensamble 2</t>
  </si>
  <si>
    <t>Hours Shift</t>
  </si>
  <si>
    <t>M-004</t>
  </si>
  <si>
    <t>Ensamble 3</t>
  </si>
  <si>
    <t>FR005</t>
  </si>
  <si>
    <t>Placa inferior del frame</t>
  </si>
  <si>
    <t>FR003</t>
  </si>
  <si>
    <t>Brazos del dron</t>
  </si>
  <si>
    <t>FR006</t>
  </si>
  <si>
    <t>Placa superior para batería</t>
  </si>
  <si>
    <t>FR004</t>
  </si>
  <si>
    <t>Placa superior del frame</t>
  </si>
  <si>
    <t>AC001</t>
  </si>
  <si>
    <t>Soporte del Buzzer</t>
  </si>
  <si>
    <t>AC003</t>
  </si>
  <si>
    <t>Soporte del capacitor</t>
  </si>
  <si>
    <t>AC004</t>
  </si>
  <si>
    <t>Parachoques frontal</t>
  </si>
  <si>
    <t>AC005</t>
  </si>
  <si>
    <t>Soporte para GoPro</t>
  </si>
  <si>
    <t>AC006</t>
  </si>
  <si>
    <t>Amortiguador de motor</t>
  </si>
  <si>
    <t>AC007</t>
  </si>
  <si>
    <t>Parachoques trasero</t>
  </si>
  <si>
    <t>AC008</t>
  </si>
  <si>
    <t>Soporte para antena</t>
  </si>
  <si>
    <t>AC009</t>
  </si>
  <si>
    <t>Patín de aterrizaje</t>
  </si>
  <si>
    <t>AC010</t>
  </si>
  <si>
    <t>Guardas para brazos</t>
  </si>
  <si>
    <t>AC011</t>
  </si>
  <si>
    <t>Soporte cámara FPV</t>
  </si>
  <si>
    <t>CE008</t>
  </si>
  <si>
    <t>Power distribution board</t>
  </si>
  <si>
    <t>SE003</t>
  </si>
  <si>
    <t>Sistema electrónico</t>
  </si>
  <si>
    <t>Shifts</t>
  </si>
  <si>
    <t>M-005</t>
  </si>
  <si>
    <t>Ensamble 4</t>
  </si>
  <si>
    <t>Production Lines</t>
  </si>
  <si>
    <t>M-006</t>
  </si>
  <si>
    <t>Ensamble 5</t>
  </si>
  <si>
    <t>Week working days</t>
  </si>
  <si>
    <t>M-007</t>
  </si>
  <si>
    <t>Ensamble 6</t>
  </si>
  <si>
    <t>Months working weeks</t>
  </si>
  <si>
    <t>M-008</t>
  </si>
  <si>
    <t>Ensamble 7</t>
  </si>
  <si>
    <t>Year working months</t>
  </si>
  <si>
    <t>M-009</t>
  </si>
  <si>
    <t>Ensamble 8</t>
  </si>
  <si>
    <t>Anual Capacity</t>
  </si>
  <si>
    <t>M-010</t>
  </si>
  <si>
    <t>Ensamble 9</t>
  </si>
  <si>
    <t>M-011</t>
  </si>
  <si>
    <t>Ensamble 10</t>
  </si>
  <si>
    <t>M-012</t>
  </si>
  <si>
    <t>Ensamble 11</t>
  </si>
  <si>
    <t>M-013</t>
  </si>
  <si>
    <t>Ensamble 12</t>
  </si>
  <si>
    <t>M-014</t>
  </si>
  <si>
    <t>Ensamble 13</t>
  </si>
  <si>
    <t>M-015</t>
  </si>
  <si>
    <t>Ensamble 14</t>
  </si>
  <si>
    <t>M-016</t>
  </si>
  <si>
    <t>Ensamble 15</t>
  </si>
  <si>
    <t>EQUIPO DE TRANSPORTE.</t>
  </si>
  <si>
    <t>Auto-1</t>
  </si>
  <si>
    <t>Auto-2</t>
  </si>
  <si>
    <t>Nombre</t>
  </si>
  <si>
    <t>MOD Operador</t>
  </si>
  <si>
    <t>Tipo</t>
  </si>
  <si>
    <t>Percepcion</t>
  </si>
  <si>
    <t>Auto-3</t>
  </si>
  <si>
    <t>IMSS</t>
  </si>
  <si>
    <t>Porcentaje</t>
  </si>
  <si>
    <t>Infonavit</t>
  </si>
  <si>
    <t>Percepción</t>
  </si>
  <si>
    <t>Vales de Despensa</t>
  </si>
  <si>
    <t>Quantity</t>
  </si>
  <si>
    <t>Prima Vacacional</t>
  </si>
  <si>
    <t>Aguinaldo</t>
  </si>
  <si>
    <t>MOID Materiales</t>
  </si>
  <si>
    <t>Fondo de Ahorro</t>
  </si>
  <si>
    <t>Comedor</t>
  </si>
  <si>
    <t>ISR</t>
  </si>
  <si>
    <t>Auto-4</t>
  </si>
  <si>
    <t>MOID Técnico Pruebas</t>
  </si>
  <si>
    <t>Salario Integrado</t>
  </si>
  <si>
    <t>MOID Almacen</t>
  </si>
  <si>
    <t>operacion</t>
  </si>
  <si>
    <t>Camion-1</t>
  </si>
  <si>
    <t>Salario base</t>
  </si>
  <si>
    <t>Camion-2</t>
  </si>
  <si>
    <t>MOID Almacén</t>
  </si>
  <si>
    <t>MOD Supervisor</t>
  </si>
  <si>
    <t>Vales de despensa</t>
  </si>
  <si>
    <t>MOID Técnico Calidad</t>
  </si>
  <si>
    <t>MOID Técnico Producto</t>
  </si>
  <si>
    <t>MOID Técnico Logística</t>
  </si>
  <si>
    <t>EDIFICIOS.</t>
  </si>
  <si>
    <t>IM Ingeniero Procesos</t>
  </si>
  <si>
    <t>Edificios-1</t>
  </si>
  <si>
    <t>IM Ingeniero de Calidad</t>
  </si>
  <si>
    <t>Ingeniero de Producto</t>
  </si>
  <si>
    <t>Edificios-2</t>
  </si>
  <si>
    <t>Ingeniero de Mtto</t>
  </si>
  <si>
    <t>Edificios-3</t>
  </si>
  <si>
    <t>Gerente de Operaciones</t>
  </si>
  <si>
    <t>Recursos humanos</t>
  </si>
  <si>
    <t>administracion</t>
  </si>
  <si>
    <t>Finanzas y Contabilidad</t>
  </si>
  <si>
    <t>EQUIPO DE COMPUTO.</t>
  </si>
  <si>
    <t>Compu-001</t>
  </si>
  <si>
    <t>Compras</t>
  </si>
  <si>
    <t>IT</t>
  </si>
  <si>
    <t>Mercadotecnia</t>
  </si>
  <si>
    <t>Logistica</t>
  </si>
  <si>
    <t>Ssecretaria Ejecutiva</t>
  </si>
  <si>
    <t>Gerente Administrativo</t>
  </si>
  <si>
    <t>Gerente General</t>
  </si>
  <si>
    <t>Limpieza y Mtto</t>
  </si>
  <si>
    <t>Seguridad</t>
  </si>
  <si>
    <t>Secretaria</t>
  </si>
  <si>
    <t>Categoría de Gasto</t>
  </si>
  <si>
    <t>Subcategoría</t>
  </si>
  <si>
    <t>Rango Mensual Estimado (MXN)</t>
  </si>
  <si>
    <t>Notas y Consideraciones</t>
  </si>
  <si>
    <t>Servicios Básicos</t>
  </si>
  <si>
    <t>Electricidad</t>
  </si>
  <si>
    <t>Consumo de energía para oficinas, equipos, aire acondicionado, iluminación.</t>
  </si>
  <si>
    <t>Depende mucho del tamaño del espacio, el uso de equipo (servidores, maquinaria), y la tarifa CFE (p.ej., PDBT, GDMTO). Empresas con subestación propia pueden tener tarifas diferentes.</t>
  </si>
  <si>
    <t>Agua</t>
  </si>
  <si>
    <t>Consumo de agua para baños, cocina, limpieza.</t>
  </si>
  <si>
    <t>Las tarifas varían por municipio y tipo de uso (comercial/industrial). El volumen de consumo es clave.</t>
  </si>
  <si>
    <t>Telefonía Fija</t>
  </si>
  <si>
    <t>Líneas telefónicas para comunicación interna y externa.</t>
  </si>
  <si>
    <t>Paquetes con múltiples líneas y llamadas ilimitadas suelen ser más económicos por línea.</t>
  </si>
  <si>
    <t>Internet</t>
  </si>
  <si>
    <t>Conexión de banda ancha para toda la empresa (fibra óptica es recomendable).</t>
  </si>
  <si>
    <t>Variará según la velocidad (MBs), el proveedor y si incluye servicios adicionales (ej. VPN, IP fija). Para 50-100 empleados se requiere un servicio de alta velocidad y estabilidad.</t>
  </si>
  <si>
    <t>Otros Servicios</t>
  </si>
  <si>
    <t>Limpieza</t>
  </si>
  <si>
    <t>Servicio de personal de limpieza o empresa de outsourcing.</t>
  </si>
  <si>
    <t>Puede ser personal interno o un servicio externo por horas/días. Depende del tamaño de las instalaciones y la frecuencia.</t>
  </si>
  <si>
    <t>Sistemas de alarma, cámaras, y/o personal de seguridad.</t>
  </si>
  <si>
    <t>Varía según el nivel de seguridad deseado y si es un servicio de monitoreo o personal en sitio.</t>
  </si>
  <si>
    <t>Mantenimiento</t>
  </si>
  <si>
    <t>Mantenimiento de instalaciones (aire acondicionado, plomería, electricidad, etc.).</t>
  </si>
  <si>
    <t>Puede ser preventivo o correctivo. Algunos meses serán más altos que otros.</t>
  </si>
  <si>
    <t>Gastos Administrativos</t>
  </si>
  <si>
    <t>Sueldos y Salarios (Personal Administrativo)</t>
  </si>
  <si>
    <t>Personal de contabilidad, recursos humanos, recepcionistas, asistentes, gerentes administrativos, etc.</t>
  </si>
  <si>
    <t>Este es el gasto más significativo. Incluye salarios brutos, prestaciones (IMSS, Infonavit, etc.) y beneficios. Muy variable según la estructura de la empresa y los salarios de mercado.</t>
  </si>
  <si>
    <t>Renta de Oficina/Espacio</t>
  </si>
  <si>
    <t>Alquiler del inmueble donde opera la PyME.</t>
  </si>
  <si>
    <t>Altamente dependiente de la ubicación (zona, ciudad), el tamaño del espacio y las amenidades.</t>
  </si>
  <si>
    <t>Materiales de Oficina</t>
  </si>
  <si>
    <t>Papelería, tóner, plumas, artículos de escritorio, etc.</t>
  </si>
  <si>
    <t>Varía con el volumen de uso y si hay digitalización de procesos.</t>
  </si>
  <si>
    <t>Software y Licencias</t>
  </si>
  <si>
    <t>Software contable, CRM, ERP, paquetería de oficina, software especializado.</t>
  </si>
  <si>
    <t>Muchos softwares se pagan por licencia o por usuario. Un ERP para 50-100 empleados puede ser una inversión significativa.</t>
  </si>
  <si>
    <t>Servicios de Contabilidad/Fiscales</t>
  </si>
  <si>
    <t>Despacho contable externo para gestión fiscal y contable.</t>
  </si>
  <si>
    <t>Depende de la complejidad de la operación y el volumen de transacciones.</t>
  </si>
  <si>
    <t>Asesoría Legal</t>
  </si>
  <si>
    <t>Servicios de consultoría legal para contratos, temas laborales, compliance.</t>
  </si>
  <si>
    <t>Puede ser un pago recurrente por iguala o por proyecto. Varía según la necesidad.</t>
  </si>
  <si>
    <t>Seguros</t>
  </si>
  <si>
    <t>Seguro de responsabilidad civil, seguro de oficina, seguro de equipo.</t>
  </si>
  <si>
    <t>Pagos anuales que se prorratean mensualmente.</t>
  </si>
  <si>
    <t>Capacitación y Desarrollo</t>
  </si>
  <si>
    <t>Cursos, talleres, seminarios para el personal administrativo.</t>
  </si>
  <si>
    <t>Inversión en el crecimiento y habilidades del equipo. Puede ser variable.</t>
  </si>
  <si>
    <t>Gastos de Viaje y Representación</t>
  </si>
  <si>
    <t>Viáticos, comidas de negocios, transporte para reuniones.</t>
  </si>
  <si>
    <t>Depende de la naturaleza del negocio y la frecuencia de viajes.</t>
  </si>
  <si>
    <t>Publicidad y Marketing (Interno)</t>
  </si>
  <si>
    <t>Materiales de comunicación interna, eventos para empleados.</t>
  </si>
  <si>
    <t>Si hay un departamento de marketing interno, sus gastos se imputarían aquí.</t>
  </si>
  <si>
    <t>Otros (Insumos de Cocina, Cafetería, etc.)</t>
  </si>
  <si>
    <t>Café, agua embotellada, snacks para empleados y visitas.</t>
  </si>
  <si>
    <t>Detalles que contribuyen al ambiente laboral.</t>
  </si>
  <si>
    <t>ADMINISTRATIVOS</t>
  </si>
  <si>
    <t>Logística</t>
  </si>
  <si>
    <t>Secretaria Ejecutiva</t>
  </si>
  <si>
    <t>Military Drone</t>
  </si>
  <si>
    <t>Saldo Inicial</t>
  </si>
  <si>
    <t>Demanda Anual</t>
  </si>
  <si>
    <t>SE004</t>
  </si>
  <si>
    <t>SE005</t>
  </si>
  <si>
    <t>SE006</t>
  </si>
  <si>
    <t>Camion-3</t>
  </si>
  <si>
    <t>Camion-4</t>
  </si>
  <si>
    <t>Camion-5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</si>
</sst>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.00_-;\-&quot;$&quot;* #,##0.00_-;_-&quot;$&quot;* &quot;-&quot;??_-;_-@"/>
    <numFmt numFmtId="165" formatCode="_-* #,##0_-;\-* #,##0_-;_-* &quot;-&quot;??_-;_-@"/>
    <numFmt numFmtId="166" formatCode="&quot;$&quot;#,##0.00"/>
    <numFmt numFmtId="167" formatCode="0.000%"/>
    <numFmt numFmtId="168" formatCode="_-* #,##0.00_-;\-* #,##0.00_-;_-* &quot;-&quot;??_-;_-@"/>
    <numFmt numFmtId="169" formatCode="0.000000%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Footlight MT Light"/>
      <family val="1"/>
    </font>
    <font>
      <sz val="11"/>
      <name val="Calibri"/>
      <family val="2"/>
    </font>
    <font>
      <sz val="11"/>
      <color theme="1"/>
      <name val="Aptos Narrow"/>
      <scheme val="minor"/>
    </font>
    <font>
      <sz val="8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AEAEAE"/>
        <bgColor rgb="FFAEAEAE"/>
      </patternFill>
    </fill>
    <fill>
      <patternFill patternType="solid">
        <fgColor rgb="FFD0D0D0"/>
        <bgColor rgb="FFD0D0D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D9EAD3"/>
        <bgColor rgb="FFD9EAD3"/>
      </patternFill>
    </fill>
    <fill>
      <patternFill patternType="solid">
        <fgColor rgb="FFDBE9F7"/>
        <bgColor rgb="FFDBE9F7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1"/>
    <xf numFmtId="43" fontId="10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2" borderId="1" xfId="0" applyFont="1" applyFill="1" applyBorder="1"/>
    <xf numFmtId="0" fontId="4" fillId="5" borderId="1" xfId="0" applyFont="1" applyFill="1" applyBorder="1"/>
    <xf numFmtId="9" fontId="4" fillId="5" borderId="1" xfId="0" applyNumberFormat="1" applyFont="1" applyFill="1" applyBorder="1"/>
    <xf numFmtId="164" fontId="4" fillId="0" borderId="0" xfId="0" applyNumberFormat="1" applyFont="1"/>
    <xf numFmtId="0" fontId="4" fillId="6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right"/>
    </xf>
    <xf numFmtId="0" fontId="4" fillId="7" borderId="1" xfId="0" applyFont="1" applyFill="1" applyBorder="1"/>
    <xf numFmtId="9" fontId="4" fillId="6" borderId="0" xfId="0" applyNumberFormat="1" applyFont="1" applyFill="1" applyAlignment="1">
      <alignment horizontal="right"/>
    </xf>
    <xf numFmtId="165" fontId="4" fillId="5" borderId="1" xfId="0" applyNumberFormat="1" applyFont="1" applyFill="1" applyBorder="1"/>
    <xf numFmtId="0" fontId="3" fillId="5" borderId="1" xfId="0" applyFont="1" applyFill="1" applyBorder="1"/>
    <xf numFmtId="0" fontId="4" fillId="3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40" fontId="5" fillId="6" borderId="1" xfId="0" applyNumberFormat="1" applyFont="1" applyFill="1" applyBorder="1"/>
    <xf numFmtId="165" fontId="4" fillId="3" borderId="1" xfId="0" applyNumberFormat="1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165" fontId="4" fillId="5" borderId="1" xfId="0" applyNumberFormat="1" applyFont="1" applyFill="1" applyBorder="1" applyAlignment="1">
      <alignment horizontal="center"/>
    </xf>
    <xf numFmtId="9" fontId="4" fillId="5" borderId="6" xfId="0" applyNumberFormat="1" applyFont="1" applyFill="1" applyBorder="1"/>
    <xf numFmtId="165" fontId="4" fillId="5" borderId="6" xfId="0" applyNumberFormat="1" applyFont="1" applyFill="1" applyBorder="1" applyAlignment="1">
      <alignment horizontal="center"/>
    </xf>
    <xf numFmtId="9" fontId="4" fillId="4" borderId="1" xfId="0" applyNumberFormat="1" applyFont="1" applyFill="1" applyBorder="1"/>
    <xf numFmtId="2" fontId="4" fillId="4" borderId="5" xfId="0" applyNumberFormat="1" applyFont="1" applyFill="1" applyBorder="1"/>
    <xf numFmtId="0" fontId="6" fillId="0" borderId="0" xfId="0" applyFont="1"/>
    <xf numFmtId="164" fontId="4" fillId="4" borderId="1" xfId="0" applyNumberFormat="1" applyFont="1" applyFill="1" applyBorder="1"/>
    <xf numFmtId="0" fontId="6" fillId="8" borderId="0" xfId="0" applyFont="1" applyFill="1"/>
    <xf numFmtId="0" fontId="4" fillId="5" borderId="7" xfId="0" applyFont="1" applyFill="1" applyBorder="1"/>
    <xf numFmtId="0" fontId="4" fillId="5" borderId="8" xfId="0" applyFont="1" applyFill="1" applyBorder="1"/>
    <xf numFmtId="0" fontId="4" fillId="4" borderId="9" xfId="0" applyFont="1" applyFill="1" applyBorder="1"/>
    <xf numFmtId="165" fontId="4" fillId="4" borderId="9" xfId="0" applyNumberFormat="1" applyFont="1" applyFill="1" applyBorder="1"/>
    <xf numFmtId="40" fontId="5" fillId="6" borderId="0" xfId="0" applyNumberFormat="1" applyFont="1" applyFill="1"/>
    <xf numFmtId="40" fontId="5" fillId="6" borderId="0" xfId="0" applyNumberFormat="1" applyFont="1" applyFill="1" applyAlignment="1">
      <alignment horizontal="right"/>
    </xf>
    <xf numFmtId="0" fontId="6" fillId="2" borderId="0" xfId="0" applyFont="1" applyFill="1"/>
    <xf numFmtId="0" fontId="3" fillId="2" borderId="9" xfId="0" applyFont="1" applyFill="1" applyBorder="1"/>
    <xf numFmtId="0" fontId="7" fillId="2" borderId="9" xfId="0" applyFont="1" applyFill="1" applyBorder="1"/>
    <xf numFmtId="166" fontId="6" fillId="5" borderId="0" xfId="0" applyNumberFormat="1" applyFont="1" applyFill="1"/>
    <xf numFmtId="9" fontId="6" fillId="5" borderId="0" xfId="0" applyNumberFormat="1" applyFont="1" applyFill="1"/>
    <xf numFmtId="0" fontId="4" fillId="5" borderId="9" xfId="0" applyFont="1" applyFill="1" applyBorder="1"/>
    <xf numFmtId="164" fontId="4" fillId="5" borderId="9" xfId="0" applyNumberFormat="1" applyFont="1" applyFill="1" applyBorder="1"/>
    <xf numFmtId="0" fontId="6" fillId="5" borderId="0" xfId="0" applyFont="1" applyFill="1"/>
    <xf numFmtId="9" fontId="4" fillId="5" borderId="9" xfId="0" applyNumberFormat="1" applyFont="1" applyFill="1" applyBorder="1"/>
    <xf numFmtId="166" fontId="2" fillId="0" borderId="0" xfId="0" applyNumberFormat="1" applyFont="1"/>
    <xf numFmtId="164" fontId="4" fillId="4" borderId="9" xfId="0" applyNumberFormat="1" applyFont="1" applyFill="1" applyBorder="1"/>
    <xf numFmtId="0" fontId="2" fillId="5" borderId="0" xfId="0" applyFont="1" applyFill="1"/>
    <xf numFmtId="167" fontId="6" fillId="5" borderId="0" xfId="0" applyNumberFormat="1" applyFont="1" applyFill="1"/>
    <xf numFmtId="40" fontId="5" fillId="2" borderId="1" xfId="0" applyNumberFormat="1" applyFont="1" applyFill="1" applyBorder="1"/>
    <xf numFmtId="166" fontId="6" fillId="0" borderId="0" xfId="0" applyNumberFormat="1" applyFont="1"/>
    <xf numFmtId="9" fontId="6" fillId="0" borderId="0" xfId="0" applyNumberFormat="1" applyFont="1"/>
    <xf numFmtId="0" fontId="4" fillId="2" borderId="9" xfId="0" applyFont="1" applyFill="1" applyBorder="1"/>
    <xf numFmtId="0" fontId="4" fillId="5" borderId="9" xfId="0" applyFont="1" applyFill="1" applyBorder="1" applyAlignment="1">
      <alignment wrapText="1"/>
    </xf>
    <xf numFmtId="168" fontId="4" fillId="5" borderId="9" xfId="0" applyNumberFormat="1" applyFont="1" applyFill="1" applyBorder="1"/>
    <xf numFmtId="0" fontId="4" fillId="9" borderId="9" xfId="0" applyFont="1" applyFill="1" applyBorder="1"/>
    <xf numFmtId="0" fontId="4" fillId="9" borderId="9" xfId="0" applyFont="1" applyFill="1" applyBorder="1" applyAlignment="1">
      <alignment wrapText="1"/>
    </xf>
    <xf numFmtId="168" fontId="4" fillId="9" borderId="9" xfId="0" applyNumberFormat="1" applyFont="1" applyFill="1" applyBorder="1"/>
    <xf numFmtId="169" fontId="6" fillId="5" borderId="0" xfId="0" applyNumberFormat="1" applyFont="1" applyFill="1"/>
    <xf numFmtId="166" fontId="0" fillId="0" borderId="0" xfId="0" applyNumberFormat="1"/>
    <xf numFmtId="0" fontId="1" fillId="0" borderId="0" xfId="0" applyFont="1"/>
    <xf numFmtId="0" fontId="0" fillId="10" borderId="0" xfId="0" applyFill="1"/>
    <xf numFmtId="3" fontId="0" fillId="0" borderId="0" xfId="0" applyNumberFormat="1"/>
    <xf numFmtId="40" fontId="9" fillId="0" borderId="1" xfId="1" applyNumberFormat="1" applyFont="1"/>
    <xf numFmtId="0" fontId="0" fillId="0" borderId="10" xfId="0" applyBorder="1"/>
    <xf numFmtId="0" fontId="0" fillId="0" borderId="11" xfId="0" applyBorder="1"/>
    <xf numFmtId="2" fontId="0" fillId="0" borderId="11" xfId="0" applyNumberFormat="1" applyBorder="1"/>
    <xf numFmtId="0" fontId="0" fillId="0" borderId="12" xfId="0" applyBorder="1"/>
    <xf numFmtId="0" fontId="2" fillId="2" borderId="1" xfId="0" applyFont="1" applyFill="1" applyBorder="1"/>
    <xf numFmtId="40" fontId="0" fillId="0" borderId="0" xfId="0" applyNumberFormat="1"/>
    <xf numFmtId="43" fontId="0" fillId="10" borderId="0" xfId="2" applyFont="1" applyFill="1"/>
    <xf numFmtId="44" fontId="0" fillId="0" borderId="0" xfId="0" applyNumberFormat="1"/>
  </cellXfs>
  <cellStyles count="3">
    <cellStyle name="Millares" xfId="2" builtinId="3"/>
    <cellStyle name="Normal" xfId="0" builtinId="0"/>
    <cellStyle name="Normal 2" xfId="1" xr:uid="{49D36A1E-CB49-42DF-B68A-B93D5B8E15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"/>
  <sheetViews>
    <sheetView workbookViewId="0">
      <selection activeCell="B35" sqref="B35"/>
    </sheetView>
  </sheetViews>
  <sheetFormatPr baseColWidth="10" defaultColWidth="12.6640625" defaultRowHeight="15" customHeight="1" x14ac:dyDescent="0.3"/>
  <cols>
    <col min="1" max="1" width="43" customWidth="1"/>
    <col min="2" max="2" width="16.21875" customWidth="1"/>
    <col min="3" max="14" width="10.6640625" customWidth="1"/>
    <col min="15" max="15" width="18" customWidth="1"/>
    <col min="16" max="16" width="48.88671875" customWidth="1"/>
    <col min="17" max="26" width="10.6640625" customWidth="1"/>
  </cols>
  <sheetData>
    <row r="1" spans="1:16" ht="14.25" customHeight="1" x14ac:dyDescent="0.3">
      <c r="A1" s="1" t="s">
        <v>2</v>
      </c>
    </row>
    <row r="2" spans="1:16" ht="14.25" customHeight="1" x14ac:dyDescent="0.3">
      <c r="B2" s="3">
        <v>2025</v>
      </c>
      <c r="C2" s="3">
        <f t="shared" ref="C2:L2" si="0">B2+1</f>
        <v>2026</v>
      </c>
      <c r="D2" s="3">
        <f t="shared" si="0"/>
        <v>2027</v>
      </c>
      <c r="E2" s="3">
        <f t="shared" si="0"/>
        <v>2028</v>
      </c>
      <c r="F2" s="3">
        <f t="shared" si="0"/>
        <v>2029</v>
      </c>
      <c r="G2" s="3">
        <f t="shared" si="0"/>
        <v>2030</v>
      </c>
      <c r="H2" s="3">
        <f t="shared" si="0"/>
        <v>2031</v>
      </c>
      <c r="I2" s="3">
        <f t="shared" si="0"/>
        <v>2032</v>
      </c>
      <c r="J2" s="3">
        <f t="shared" si="0"/>
        <v>2033</v>
      </c>
      <c r="K2" s="3">
        <f t="shared" si="0"/>
        <v>2034</v>
      </c>
      <c r="L2" s="3">
        <f t="shared" si="0"/>
        <v>2035</v>
      </c>
      <c r="N2" s="7"/>
      <c r="O2" s="1" t="s">
        <v>19</v>
      </c>
    </row>
    <row r="3" spans="1:16" ht="14.25" customHeight="1" x14ac:dyDescent="0.3">
      <c r="A3" s="1" t="s">
        <v>20</v>
      </c>
      <c r="B3" s="7">
        <v>16.66</v>
      </c>
      <c r="C3" s="7">
        <v>9.35</v>
      </c>
      <c r="D3" s="7">
        <v>9.9499999999999993</v>
      </c>
      <c r="E3" s="7">
        <v>10.45</v>
      </c>
      <c r="F3" s="7">
        <v>11.2</v>
      </c>
      <c r="G3" s="7">
        <v>12</v>
      </c>
      <c r="H3" s="7">
        <v>12.3</v>
      </c>
      <c r="I3" s="7">
        <v>12.3</v>
      </c>
      <c r="J3" s="7">
        <v>12.3</v>
      </c>
      <c r="K3" s="7">
        <v>12.3</v>
      </c>
      <c r="L3" s="7">
        <v>12.3</v>
      </c>
      <c r="N3" s="14"/>
      <c r="O3" s="1" t="s">
        <v>25</v>
      </c>
      <c r="P3" s="1" t="s">
        <v>26</v>
      </c>
    </row>
    <row r="4" spans="1:16" ht="14.25" customHeight="1" x14ac:dyDescent="0.3">
      <c r="A4" s="1" t="s">
        <v>27</v>
      </c>
      <c r="B4" s="7">
        <v>0.16</v>
      </c>
      <c r="C4" s="7">
        <v>0.3</v>
      </c>
      <c r="D4" s="7">
        <v>0.28000000000000003</v>
      </c>
      <c r="E4" s="7">
        <v>0.21</v>
      </c>
      <c r="F4" s="7">
        <v>0.18</v>
      </c>
      <c r="G4" s="7">
        <v>0.16</v>
      </c>
      <c r="H4" s="7">
        <v>0.15</v>
      </c>
      <c r="I4" s="7">
        <v>0.15</v>
      </c>
      <c r="J4" s="7">
        <v>0.15</v>
      </c>
      <c r="K4" s="7">
        <v>0.15</v>
      </c>
      <c r="L4" s="7">
        <v>0.15</v>
      </c>
      <c r="N4" s="5"/>
      <c r="O4" s="1" t="s">
        <v>28</v>
      </c>
    </row>
    <row r="5" spans="1:16" ht="14.25" customHeight="1" x14ac:dyDescent="0.3">
      <c r="A5" s="1" t="s">
        <v>29</v>
      </c>
      <c r="B5" s="7">
        <v>0.28000000000000003</v>
      </c>
      <c r="C5" s="7">
        <v>0.28000000000000003</v>
      </c>
      <c r="D5" s="7">
        <v>0.27</v>
      </c>
      <c r="E5" s="7">
        <v>0.27</v>
      </c>
      <c r="F5" s="7">
        <v>0.28000000000000003</v>
      </c>
      <c r="G5" s="7">
        <v>0.24</v>
      </c>
      <c r="H5" s="7">
        <v>0.25</v>
      </c>
      <c r="I5" s="7">
        <v>0.25</v>
      </c>
      <c r="J5" s="7">
        <v>0.25</v>
      </c>
      <c r="K5" s="7">
        <v>0.25</v>
      </c>
      <c r="L5" s="7">
        <v>0.25</v>
      </c>
    </row>
    <row r="6" spans="1:16" ht="14.25" customHeight="1" x14ac:dyDescent="0.3">
      <c r="A6" s="1" t="s">
        <v>30</v>
      </c>
      <c r="B6" s="7">
        <v>0.33200000000000002</v>
      </c>
      <c r="C6" s="7">
        <v>0.28699999999999998</v>
      </c>
      <c r="D6" s="7">
        <v>0.28000000000000003</v>
      </c>
      <c r="E6" s="7">
        <v>0.28299999999999997</v>
      </c>
      <c r="F6" s="7">
        <v>0.27200000000000002</v>
      </c>
      <c r="G6" s="7">
        <v>0.27</v>
      </c>
      <c r="H6" s="7">
        <v>0.26800000000000002</v>
      </c>
      <c r="I6" s="7">
        <v>0.26800000000000002</v>
      </c>
      <c r="J6" s="7">
        <v>0.26</v>
      </c>
      <c r="K6" s="7">
        <v>0.26800000000000002</v>
      </c>
      <c r="L6" s="7">
        <v>0.26</v>
      </c>
    </row>
    <row r="7" spans="1:16" ht="14.25" customHeight="1" x14ac:dyDescent="0.3">
      <c r="A7" s="1" t="s">
        <v>31</v>
      </c>
      <c r="B7" s="7">
        <v>7.6999999999999999E-2</v>
      </c>
      <c r="C7" s="7">
        <v>7.9000000000000001E-2</v>
      </c>
      <c r="D7" s="7">
        <v>7.5999999999999998E-2</v>
      </c>
      <c r="E7" s="7">
        <v>7.1999999999999995E-2</v>
      </c>
      <c r="F7" s="7">
        <v>6.8500000000000005E-2</v>
      </c>
      <c r="G7" s="7">
        <v>6.9000000000000006E-2</v>
      </c>
      <c r="H7" s="7">
        <v>7.2999999999999995E-2</v>
      </c>
      <c r="I7" s="7">
        <v>7.2999999999999995E-2</v>
      </c>
      <c r="J7" s="7">
        <v>7.2999999999999995E-2</v>
      </c>
      <c r="K7" s="7">
        <v>7.2999999999999995E-2</v>
      </c>
      <c r="L7" s="7">
        <v>7.2999999999999995E-2</v>
      </c>
    </row>
    <row r="8" spans="1:16" ht="14.25" customHeight="1" x14ac:dyDescent="0.3"/>
    <row r="9" spans="1:16" ht="14.25" customHeight="1" x14ac:dyDescent="0.3"/>
    <row r="10" spans="1:16" ht="14.25" customHeight="1" x14ac:dyDescent="0.3"/>
    <row r="11" spans="1:16" ht="14.25" customHeight="1" x14ac:dyDescent="0.3">
      <c r="B11" s="3">
        <v>2025</v>
      </c>
      <c r="C11" s="3">
        <f t="shared" ref="C11:L11" si="1">B11+1</f>
        <v>2026</v>
      </c>
      <c r="D11" s="3">
        <f t="shared" si="1"/>
        <v>2027</v>
      </c>
      <c r="E11" s="3">
        <f t="shared" si="1"/>
        <v>2028</v>
      </c>
      <c r="F11" s="3">
        <f t="shared" si="1"/>
        <v>2029</v>
      </c>
      <c r="G11" s="3">
        <f t="shared" si="1"/>
        <v>2030</v>
      </c>
      <c r="H11" s="3">
        <f t="shared" si="1"/>
        <v>2031</v>
      </c>
      <c r="I11" s="3">
        <f t="shared" si="1"/>
        <v>2032</v>
      </c>
      <c r="J11" s="3">
        <f t="shared" si="1"/>
        <v>2033</v>
      </c>
      <c r="K11" s="3">
        <f t="shared" si="1"/>
        <v>2034</v>
      </c>
      <c r="L11" s="3">
        <f t="shared" si="1"/>
        <v>2035</v>
      </c>
    </row>
    <row r="12" spans="1:16" ht="14.25" customHeight="1" x14ac:dyDescent="0.3">
      <c r="A12" s="1" t="s">
        <v>32</v>
      </c>
      <c r="B12" s="7">
        <v>4.2999999999999997E-2</v>
      </c>
      <c r="C12" s="7">
        <v>3.4000000000000002E-2</v>
      </c>
      <c r="D12" s="7">
        <v>3.4000000000000002E-2</v>
      </c>
      <c r="E12" s="7">
        <v>3.4000000000000002E-2</v>
      </c>
      <c r="F12" s="7">
        <v>3.4000000000000002E-2</v>
      </c>
      <c r="G12" s="7">
        <v>3.4000000000000002E-2</v>
      </c>
      <c r="H12" s="7">
        <v>3.4000000000000002E-2</v>
      </c>
      <c r="I12" s="7">
        <v>3.4000000000000002E-2</v>
      </c>
      <c r="J12" s="7">
        <v>3.4000000000000002E-2</v>
      </c>
      <c r="K12" s="7">
        <v>3.4000000000000002E-2</v>
      </c>
      <c r="L12" s="7">
        <v>3.4000000000000002E-2</v>
      </c>
    </row>
    <row r="13" spans="1:16" ht="14.25" customHeight="1" x14ac:dyDescent="0.3">
      <c r="A13" s="1" t="s">
        <v>33</v>
      </c>
      <c r="B13" s="17">
        <v>0.34</v>
      </c>
      <c r="C13" s="7">
        <v>0.34</v>
      </c>
      <c r="D13" s="7">
        <v>0.34</v>
      </c>
      <c r="E13" s="7">
        <v>0.34</v>
      </c>
      <c r="F13" s="7">
        <v>0.34</v>
      </c>
      <c r="G13" s="7">
        <v>0.34</v>
      </c>
      <c r="H13" s="7">
        <v>0.34</v>
      </c>
      <c r="I13" s="7">
        <v>0.34</v>
      </c>
      <c r="J13" s="7">
        <v>0.34</v>
      </c>
      <c r="K13" s="7">
        <v>0.34</v>
      </c>
      <c r="L13" s="7">
        <v>0.34</v>
      </c>
    </row>
    <row r="14" spans="1:16" ht="14.25" customHeight="1" x14ac:dyDescent="0.3">
      <c r="A14" s="1" t="s">
        <v>36</v>
      </c>
      <c r="B14" s="7">
        <v>1.8</v>
      </c>
      <c r="C14" s="7">
        <v>1.8</v>
      </c>
      <c r="D14" s="7">
        <v>1.8</v>
      </c>
      <c r="E14" s="7">
        <v>1.8</v>
      </c>
      <c r="F14" s="7">
        <v>1.8</v>
      </c>
      <c r="G14" s="7">
        <v>1.8</v>
      </c>
      <c r="H14" s="7">
        <v>1.8</v>
      </c>
      <c r="I14" s="7">
        <v>1.8</v>
      </c>
      <c r="J14" s="7">
        <v>1.8</v>
      </c>
      <c r="K14" s="7">
        <v>1.8</v>
      </c>
      <c r="L14" s="7">
        <v>1.8</v>
      </c>
    </row>
    <row r="15" spans="1:16" ht="14.25" customHeight="1" x14ac:dyDescent="0.3">
      <c r="A15" s="1" t="s">
        <v>37</v>
      </c>
      <c r="B15" s="7">
        <v>0.1</v>
      </c>
      <c r="C15" s="7">
        <v>0.1</v>
      </c>
      <c r="D15" s="7">
        <v>0.1</v>
      </c>
      <c r="E15" s="7">
        <v>0.1</v>
      </c>
      <c r="F15" s="7">
        <v>0.1</v>
      </c>
      <c r="G15" s="7">
        <v>0.1</v>
      </c>
      <c r="H15" s="7">
        <v>0.1</v>
      </c>
      <c r="I15" s="7">
        <v>0.1</v>
      </c>
      <c r="J15" s="7">
        <v>0.1</v>
      </c>
      <c r="K15" s="7">
        <v>0.1</v>
      </c>
      <c r="L15" s="7">
        <v>0.1</v>
      </c>
    </row>
    <row r="16" spans="1:16" ht="14.25" customHeight="1" x14ac:dyDescent="0.3">
      <c r="A16" s="1" t="s">
        <v>40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14.25" customHeight="1" x14ac:dyDescent="0.3"/>
    <row r="18" spans="1:12" ht="14.25" customHeight="1" x14ac:dyDescent="0.3"/>
    <row r="19" spans="1:12" ht="14.25" customHeight="1" x14ac:dyDescent="0.3">
      <c r="A19" s="1" t="s">
        <v>42</v>
      </c>
      <c r="B19" s="3">
        <v>2025</v>
      </c>
      <c r="C19" s="3">
        <f t="shared" ref="C19:L19" si="2">B19+1</f>
        <v>2026</v>
      </c>
      <c r="D19" s="3">
        <f t="shared" si="2"/>
        <v>2027</v>
      </c>
      <c r="E19" s="3">
        <f t="shared" si="2"/>
        <v>2028</v>
      </c>
      <c r="F19" s="3">
        <f t="shared" si="2"/>
        <v>2029</v>
      </c>
      <c r="G19" s="3">
        <f t="shared" si="2"/>
        <v>2030</v>
      </c>
      <c r="H19" s="3">
        <f t="shared" si="2"/>
        <v>2031</v>
      </c>
      <c r="I19" s="3">
        <f t="shared" si="2"/>
        <v>2032</v>
      </c>
      <c r="J19" s="3">
        <f t="shared" si="2"/>
        <v>2033</v>
      </c>
      <c r="K19" s="3">
        <f t="shared" si="2"/>
        <v>2034</v>
      </c>
      <c r="L19" s="3">
        <f t="shared" si="2"/>
        <v>2035</v>
      </c>
    </row>
    <row r="20" spans="1:12" ht="14.25" customHeight="1" x14ac:dyDescent="0.3">
      <c r="A20" s="1" t="s">
        <v>47</v>
      </c>
      <c r="B20" s="7">
        <v>0.2</v>
      </c>
      <c r="C20" s="7">
        <v>0.2</v>
      </c>
      <c r="D20" s="7">
        <v>0.2</v>
      </c>
      <c r="E20" s="7">
        <v>0.2</v>
      </c>
      <c r="F20" s="7">
        <v>0.2</v>
      </c>
      <c r="G20" s="7">
        <v>0.2</v>
      </c>
      <c r="H20" s="7">
        <v>0.2</v>
      </c>
      <c r="I20" s="7">
        <v>0.2</v>
      </c>
      <c r="J20" s="7">
        <v>0.2</v>
      </c>
      <c r="K20" s="7">
        <v>0.2</v>
      </c>
      <c r="L20" s="7">
        <v>0.2</v>
      </c>
    </row>
    <row r="21" spans="1:12" ht="14.25" customHeight="1" x14ac:dyDescent="0.3">
      <c r="A21" s="1" t="s">
        <v>50</v>
      </c>
      <c r="B21" s="7">
        <v>0.2</v>
      </c>
      <c r="C21" s="7">
        <v>0.2</v>
      </c>
      <c r="D21" s="7">
        <v>0.2</v>
      </c>
      <c r="E21" s="7">
        <v>0.2</v>
      </c>
      <c r="F21" s="7">
        <v>0.2</v>
      </c>
      <c r="G21" s="7">
        <v>0.2</v>
      </c>
      <c r="H21" s="7">
        <v>0.2</v>
      </c>
      <c r="I21" s="7">
        <v>0.2</v>
      </c>
      <c r="J21" s="7">
        <v>0.2</v>
      </c>
      <c r="K21" s="7">
        <v>0.2</v>
      </c>
      <c r="L21" s="7">
        <v>0.2</v>
      </c>
    </row>
    <row r="22" spans="1:12" ht="14.25" customHeight="1" x14ac:dyDescent="0.3">
      <c r="A22" s="1" t="s">
        <v>55</v>
      </c>
      <c r="B22" s="7">
        <v>0.03</v>
      </c>
      <c r="C22" s="7">
        <v>0.03</v>
      </c>
      <c r="D22" s="7">
        <v>0.03</v>
      </c>
      <c r="E22" s="7">
        <v>0.03</v>
      </c>
      <c r="F22" s="7">
        <v>0.03</v>
      </c>
      <c r="G22" s="7">
        <v>0.03</v>
      </c>
      <c r="H22" s="7">
        <v>0.03</v>
      </c>
      <c r="I22" s="7">
        <v>0.03</v>
      </c>
      <c r="J22" s="7">
        <v>0.03</v>
      </c>
      <c r="K22" s="7">
        <v>0.03</v>
      </c>
      <c r="L22" s="7">
        <v>0.03</v>
      </c>
    </row>
    <row r="23" spans="1:12" ht="14.25" customHeight="1" x14ac:dyDescent="0.3">
      <c r="A23" s="1" t="s">
        <v>57</v>
      </c>
      <c r="B23" s="7">
        <v>0.15</v>
      </c>
      <c r="C23" s="7">
        <v>0.1</v>
      </c>
      <c r="D23" s="7">
        <v>0.1</v>
      </c>
      <c r="E23" s="7">
        <v>0.1</v>
      </c>
      <c r="F23" s="7">
        <v>0.1</v>
      </c>
      <c r="G23" s="7">
        <v>0.05</v>
      </c>
      <c r="H23" s="7">
        <v>0.05</v>
      </c>
      <c r="I23" s="7">
        <v>0.05</v>
      </c>
      <c r="J23" s="7">
        <v>0.05</v>
      </c>
      <c r="K23" s="7">
        <v>0.05</v>
      </c>
      <c r="L23" s="7">
        <v>0.05</v>
      </c>
    </row>
    <row r="24" spans="1:12" ht="14.25" customHeight="1" x14ac:dyDescent="0.3">
      <c r="A24" s="1" t="s">
        <v>59</v>
      </c>
      <c r="B24" s="7">
        <v>0.05</v>
      </c>
      <c r="C24" s="7">
        <v>0.05</v>
      </c>
      <c r="D24" s="7">
        <v>0.05</v>
      </c>
      <c r="E24" s="7">
        <v>0.05</v>
      </c>
      <c r="F24" s="7">
        <v>0.05</v>
      </c>
      <c r="G24" s="7">
        <v>0.05</v>
      </c>
      <c r="H24" s="7">
        <v>0.05</v>
      </c>
      <c r="I24" s="7">
        <v>0.05</v>
      </c>
      <c r="J24" s="7">
        <v>0.05</v>
      </c>
      <c r="K24" s="7">
        <v>0.05</v>
      </c>
      <c r="L24" s="7">
        <v>0.05</v>
      </c>
    </row>
    <row r="25" spans="1:12" ht="14.25" customHeight="1" x14ac:dyDescent="0.3">
      <c r="A25" s="1" t="s">
        <v>61</v>
      </c>
      <c r="B25" s="7">
        <v>2E-3</v>
      </c>
      <c r="C25" s="7">
        <v>2E-3</v>
      </c>
      <c r="D25" s="7">
        <v>2E-3</v>
      </c>
      <c r="E25" s="7">
        <v>2E-3</v>
      </c>
      <c r="F25" s="7">
        <v>2E-3</v>
      </c>
      <c r="G25" s="7">
        <v>2E-3</v>
      </c>
      <c r="H25" s="7">
        <v>2E-3</v>
      </c>
      <c r="I25" s="7">
        <v>2E-3</v>
      </c>
      <c r="J25" s="7">
        <v>2E-3</v>
      </c>
      <c r="K25" s="7">
        <v>2E-3</v>
      </c>
      <c r="L25" s="7">
        <v>2E-3</v>
      </c>
    </row>
    <row r="26" spans="1:12" ht="14.25" customHeight="1" x14ac:dyDescent="0.3">
      <c r="A26" s="1" t="s">
        <v>62</v>
      </c>
      <c r="B26" s="7">
        <v>5.0000000000000001E-3</v>
      </c>
      <c r="C26" s="7">
        <v>5.0000000000000001E-3</v>
      </c>
      <c r="D26" s="7">
        <v>5.0000000000000001E-3</v>
      </c>
      <c r="E26" s="7">
        <v>5.0000000000000001E-3</v>
      </c>
      <c r="F26" s="7">
        <v>5.0000000000000001E-3</v>
      </c>
      <c r="G26" s="7">
        <v>5.0000000000000001E-3</v>
      </c>
      <c r="H26" s="7">
        <v>5.0000000000000001E-3</v>
      </c>
      <c r="I26" s="7">
        <v>5.0000000000000001E-3</v>
      </c>
      <c r="J26" s="7">
        <v>5.0000000000000001E-3</v>
      </c>
      <c r="K26" s="7">
        <v>5.0000000000000001E-3</v>
      </c>
      <c r="L26" s="7">
        <v>5.0000000000000001E-3</v>
      </c>
    </row>
    <row r="27" spans="1:12" ht="14.25" customHeight="1" x14ac:dyDescent="0.3">
      <c r="A27" s="1" t="s">
        <v>63</v>
      </c>
      <c r="B27" s="7">
        <v>0.05</v>
      </c>
      <c r="C27" s="7">
        <v>0.05</v>
      </c>
      <c r="D27" s="7">
        <v>0.05</v>
      </c>
      <c r="E27" s="7">
        <v>0.05</v>
      </c>
      <c r="F27" s="7">
        <v>0.05</v>
      </c>
      <c r="G27" s="7">
        <v>0.05</v>
      </c>
      <c r="H27" s="7">
        <v>0.05</v>
      </c>
      <c r="I27" s="7">
        <v>0.05</v>
      </c>
      <c r="J27" s="7">
        <v>0.05</v>
      </c>
      <c r="K27" s="7">
        <v>0.05</v>
      </c>
      <c r="L27" s="7">
        <v>0.05</v>
      </c>
    </row>
    <row r="28" spans="1:12" ht="14.25" customHeight="1" x14ac:dyDescent="0.3">
      <c r="A28" s="1" t="s">
        <v>64</v>
      </c>
      <c r="B28" s="7">
        <v>0.1</v>
      </c>
      <c r="C28" s="7">
        <v>0.1</v>
      </c>
      <c r="D28" s="7">
        <v>0.1</v>
      </c>
      <c r="E28" s="7">
        <v>0.1</v>
      </c>
      <c r="F28" s="7">
        <v>0.1</v>
      </c>
      <c r="G28" s="7">
        <v>0.1</v>
      </c>
      <c r="H28" s="7">
        <v>0.1</v>
      </c>
      <c r="I28" s="7">
        <v>0.1</v>
      </c>
      <c r="J28" s="7">
        <v>0.1</v>
      </c>
      <c r="K28" s="7">
        <v>0.1</v>
      </c>
      <c r="L28" s="7">
        <v>0.1</v>
      </c>
    </row>
    <row r="29" spans="1:12" ht="14.25" customHeight="1" x14ac:dyDescent="0.3">
      <c r="A29" s="1" t="s">
        <v>66</v>
      </c>
      <c r="B29" s="7">
        <v>0.2</v>
      </c>
      <c r="C29" s="7">
        <v>0.2</v>
      </c>
      <c r="D29" s="7">
        <v>0.2</v>
      </c>
      <c r="E29" s="7">
        <v>0.2</v>
      </c>
      <c r="F29" s="7">
        <v>0.2</v>
      </c>
      <c r="G29" s="7">
        <v>0.2</v>
      </c>
      <c r="H29" s="7">
        <v>0.2</v>
      </c>
      <c r="I29" s="7">
        <v>0.2</v>
      </c>
      <c r="J29" s="7">
        <v>0.2</v>
      </c>
      <c r="K29" s="7">
        <v>0.2</v>
      </c>
      <c r="L29" s="7">
        <v>0.2</v>
      </c>
    </row>
    <row r="30" spans="1:12" ht="14.25" customHeight="1" x14ac:dyDescent="0.3">
      <c r="A30" s="1" t="s">
        <v>67</v>
      </c>
      <c r="B30" s="7">
        <v>8.5000000000000006E-2</v>
      </c>
      <c r="C30" s="7">
        <v>8.5000000000000006E-2</v>
      </c>
      <c r="D30" s="7">
        <v>8.5000000000000006E-2</v>
      </c>
      <c r="E30" s="7">
        <v>8.5000000000000006E-2</v>
      </c>
      <c r="F30" s="7">
        <v>8.5000000000000006E-2</v>
      </c>
      <c r="G30" s="7">
        <v>8.5000000000000006E-2</v>
      </c>
      <c r="H30" s="7">
        <v>8.5000000000000006E-2</v>
      </c>
      <c r="I30" s="7">
        <v>8.5000000000000006E-2</v>
      </c>
      <c r="J30" s="7">
        <v>8.5000000000000006E-2</v>
      </c>
      <c r="K30" s="7">
        <v>8.5000000000000006E-2</v>
      </c>
      <c r="L30" s="7">
        <v>8.5000000000000006E-2</v>
      </c>
    </row>
    <row r="31" spans="1:12" ht="14.25" customHeight="1" x14ac:dyDescent="0.3"/>
    <row r="32" spans="1:12" ht="14.25" customHeight="1" x14ac:dyDescent="0.3">
      <c r="A32" s="30" t="s">
        <v>68</v>
      </c>
      <c r="B32" s="32">
        <v>80</v>
      </c>
    </row>
    <row r="33" spans="1:3" ht="14.25" customHeight="1" x14ac:dyDescent="0.3">
      <c r="A33" s="63" t="s">
        <v>258</v>
      </c>
      <c r="B33" s="73">
        <v>1500000</v>
      </c>
      <c r="C33" s="64"/>
    </row>
    <row r="34" spans="1:3" ht="14.25" customHeight="1" x14ac:dyDescent="0.3">
      <c r="A34" s="63" t="s">
        <v>259</v>
      </c>
      <c r="B34" s="64">
        <v>0.09</v>
      </c>
    </row>
    <row r="35" spans="1:3" ht="14.25" customHeight="1" x14ac:dyDescent="0.3"/>
    <row r="36" spans="1:3" ht="14.25" customHeight="1" x14ac:dyDescent="0.3"/>
    <row r="37" spans="1:3" ht="14.25" customHeight="1" x14ac:dyDescent="0.3"/>
    <row r="38" spans="1:3" ht="14.25" customHeight="1" x14ac:dyDescent="0.3"/>
    <row r="39" spans="1:3" ht="14.25" customHeight="1" x14ac:dyDescent="0.3"/>
    <row r="40" spans="1:3" ht="14.25" customHeight="1" x14ac:dyDescent="0.3"/>
    <row r="41" spans="1:3" ht="14.25" customHeight="1" x14ac:dyDescent="0.3"/>
    <row r="42" spans="1:3" ht="14.25" customHeight="1" x14ac:dyDescent="0.3"/>
    <row r="43" spans="1:3" ht="14.25" customHeight="1" x14ac:dyDescent="0.3"/>
    <row r="44" spans="1:3" ht="14.25" customHeight="1" x14ac:dyDescent="0.3"/>
    <row r="45" spans="1:3" ht="14.25" customHeight="1" x14ac:dyDescent="0.3"/>
    <row r="46" spans="1:3" ht="14.25" customHeight="1" x14ac:dyDescent="0.3"/>
    <row r="47" spans="1:3" ht="14.25" customHeight="1" x14ac:dyDescent="0.3"/>
    <row r="48" spans="1: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H9" sqref="H9"/>
    </sheetView>
  </sheetViews>
  <sheetFormatPr baseColWidth="10" defaultColWidth="12.6640625" defaultRowHeight="15" customHeight="1" x14ac:dyDescent="0.3"/>
  <cols>
    <col min="1" max="1" width="13.6640625" customWidth="1"/>
    <col min="2" max="3" width="10.6640625" customWidth="1"/>
    <col min="4" max="4" width="2.44140625" customWidth="1"/>
    <col min="5" max="5" width="10.6640625" customWidth="1"/>
    <col min="6" max="6" width="13.6640625" customWidth="1"/>
    <col min="7" max="7" width="2.33203125" customWidth="1"/>
    <col min="8" max="26" width="10.6640625" customWidth="1"/>
  </cols>
  <sheetData>
    <row r="1" spans="1:13" ht="14.25" customHeight="1" x14ac:dyDescent="0.3">
      <c r="A1" s="2" t="s">
        <v>1</v>
      </c>
      <c r="B1" s="2" t="s">
        <v>5</v>
      </c>
      <c r="C1" s="2" t="s">
        <v>6</v>
      </c>
      <c r="E1" s="2" t="s">
        <v>7</v>
      </c>
      <c r="F1" s="2" t="s">
        <v>8</v>
      </c>
      <c r="H1" s="4" t="s">
        <v>9</v>
      </c>
      <c r="I1" s="4" t="s">
        <v>8</v>
      </c>
    </row>
    <row r="2" spans="1:13" ht="14.25" customHeight="1" x14ac:dyDescent="0.3">
      <c r="A2" s="5" t="s">
        <v>10</v>
      </c>
      <c r="B2" s="8">
        <v>0.08</v>
      </c>
      <c r="C2" s="12" t="s">
        <v>21</v>
      </c>
      <c r="E2" s="7">
        <v>2023</v>
      </c>
      <c r="F2" s="16">
        <v>70000</v>
      </c>
      <c r="H2" s="18">
        <v>2025</v>
      </c>
      <c r="I2" s="22">
        <f>SUM(C2:C13)</f>
        <v>16000</v>
      </c>
    </row>
    <row r="3" spans="1:13" ht="14.25" customHeight="1" x14ac:dyDescent="0.3">
      <c r="A3" s="5" t="s">
        <v>41</v>
      </c>
      <c r="B3" s="8">
        <v>0.06</v>
      </c>
      <c r="C3" s="12" t="s">
        <v>21</v>
      </c>
      <c r="E3" s="7">
        <v>2024</v>
      </c>
      <c r="F3" s="16">
        <v>66800</v>
      </c>
      <c r="H3">
        <v>2026</v>
      </c>
      <c r="I3" s="65">
        <v>84881</v>
      </c>
      <c r="M3" s="65"/>
    </row>
    <row r="4" spans="1:13" ht="14.25" customHeight="1" x14ac:dyDescent="0.3">
      <c r="A4" s="5" t="s">
        <v>44</v>
      </c>
      <c r="B4" s="8">
        <v>0.05</v>
      </c>
      <c r="C4" s="12" t="s">
        <v>21</v>
      </c>
      <c r="H4">
        <v>2027</v>
      </c>
      <c r="I4" s="65">
        <v>90823</v>
      </c>
      <c r="M4" s="65"/>
    </row>
    <row r="5" spans="1:13" ht="14.25" customHeight="1" x14ac:dyDescent="0.3">
      <c r="A5" s="5" t="s">
        <v>45</v>
      </c>
      <c r="B5" s="8">
        <v>0.05</v>
      </c>
      <c r="C5" s="12" t="s">
        <v>21</v>
      </c>
      <c r="H5">
        <v>2028</v>
      </c>
      <c r="I5" s="65">
        <v>97180</v>
      </c>
      <c r="M5" s="65"/>
    </row>
    <row r="6" spans="1:13" ht="14.25" customHeight="1" x14ac:dyDescent="0.3">
      <c r="A6" s="5" t="s">
        <v>46</v>
      </c>
      <c r="B6" s="8">
        <v>0.06</v>
      </c>
      <c r="C6" s="12" t="s">
        <v>21</v>
      </c>
      <c r="H6">
        <v>2029</v>
      </c>
      <c r="I6" s="65">
        <v>103981</v>
      </c>
    </row>
    <row r="7" spans="1:13" ht="14.25" customHeight="1" x14ac:dyDescent="0.3">
      <c r="A7" s="5" t="s">
        <v>48</v>
      </c>
      <c r="B7" s="8">
        <v>7.0000000000000007E-2</v>
      </c>
      <c r="C7" s="12" t="s">
        <v>21</v>
      </c>
      <c r="H7">
        <v>2030</v>
      </c>
      <c r="I7" s="65">
        <v>111262</v>
      </c>
    </row>
    <row r="8" spans="1:13" ht="14.25" customHeight="1" x14ac:dyDescent="0.3">
      <c r="A8" s="5" t="s">
        <v>49</v>
      </c>
      <c r="B8" s="8">
        <v>7.0000000000000007E-2</v>
      </c>
      <c r="C8" s="12" t="s">
        <v>21</v>
      </c>
      <c r="H8">
        <v>2031</v>
      </c>
      <c r="I8" s="65">
        <v>119050</v>
      </c>
    </row>
    <row r="9" spans="1:13" ht="14.25" customHeight="1" x14ac:dyDescent="0.3">
      <c r="A9" s="5" t="s">
        <v>51</v>
      </c>
      <c r="B9" s="8">
        <v>0.08</v>
      </c>
      <c r="C9" s="12" t="s">
        <v>21</v>
      </c>
      <c r="H9">
        <v>2032</v>
      </c>
      <c r="I9" s="65">
        <v>127384</v>
      </c>
    </row>
    <row r="10" spans="1:13" ht="14.25" customHeight="1" x14ac:dyDescent="0.3">
      <c r="A10" s="5" t="s">
        <v>54</v>
      </c>
      <c r="B10" s="8">
        <v>0.11</v>
      </c>
      <c r="C10" s="12" t="s">
        <v>21</v>
      </c>
      <c r="H10">
        <v>2033</v>
      </c>
      <c r="I10" s="65">
        <v>136824</v>
      </c>
    </row>
    <row r="11" spans="1:13" ht="14.25" customHeight="1" x14ac:dyDescent="0.3">
      <c r="A11" s="5" t="s">
        <v>56</v>
      </c>
      <c r="B11" s="8">
        <v>0.06</v>
      </c>
      <c r="C11" s="25">
        <v>2000</v>
      </c>
      <c r="H11">
        <v>2034</v>
      </c>
      <c r="I11" s="65">
        <v>141223</v>
      </c>
    </row>
    <row r="12" spans="1:13" ht="14.25" customHeight="1" x14ac:dyDescent="0.3">
      <c r="A12" s="5" t="s">
        <v>58</v>
      </c>
      <c r="B12" s="8">
        <v>0.13</v>
      </c>
      <c r="C12" s="25">
        <v>6000</v>
      </c>
      <c r="H12">
        <v>2035</v>
      </c>
      <c r="I12" s="65">
        <v>149634</v>
      </c>
    </row>
    <row r="13" spans="1:13" ht="14.25" customHeight="1" x14ac:dyDescent="0.3">
      <c r="A13" s="5" t="s">
        <v>60</v>
      </c>
      <c r="B13" s="26">
        <v>0.18</v>
      </c>
      <c r="C13" s="27">
        <v>8000</v>
      </c>
    </row>
    <row r="14" spans="1:13" ht="14.25" customHeight="1" x14ac:dyDescent="0.3">
      <c r="A14" s="5" t="s">
        <v>8</v>
      </c>
      <c r="B14" s="28">
        <f>SUM(B2:B13)</f>
        <v>1</v>
      </c>
    </row>
    <row r="15" spans="1:13" ht="14.25" customHeight="1" x14ac:dyDescent="0.3"/>
    <row r="16" spans="1:1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opLeftCell="A12" workbookViewId="0">
      <selection activeCell="F18" sqref="F18:F33"/>
    </sheetView>
  </sheetViews>
  <sheetFormatPr baseColWidth="10" defaultColWidth="12.6640625" defaultRowHeight="15" customHeight="1" x14ac:dyDescent="0.3"/>
  <cols>
    <col min="1" max="1" width="18.109375" customWidth="1"/>
    <col min="2" max="3" width="10.6640625" customWidth="1"/>
    <col min="4" max="4" width="18.109375" customWidth="1"/>
    <col min="5" max="5" width="19.6640625" customWidth="1"/>
    <col min="6" max="6" width="17.33203125" customWidth="1"/>
    <col min="7" max="7" width="13.33203125" customWidth="1"/>
    <col min="8" max="8" width="10.6640625" customWidth="1"/>
    <col min="9" max="9" width="22.44140625" customWidth="1"/>
    <col min="10" max="19" width="11.44140625" bestFit="1" customWidth="1"/>
    <col min="20" max="26" width="10.6640625" customWidth="1"/>
  </cols>
  <sheetData>
    <row r="1" spans="1:12" ht="30" customHeight="1" thickBot="1" x14ac:dyDescent="0.35">
      <c r="A1" s="71" t="s">
        <v>3</v>
      </c>
      <c r="B1" s="6">
        <v>2025</v>
      </c>
      <c r="C1" s="6">
        <v>2026</v>
      </c>
      <c r="D1" s="6">
        <v>2027</v>
      </c>
      <c r="E1" s="6">
        <v>2028</v>
      </c>
      <c r="F1" s="6">
        <v>2029</v>
      </c>
      <c r="G1" s="6">
        <v>2030</v>
      </c>
      <c r="H1" s="6">
        <v>2031</v>
      </c>
      <c r="I1" s="6">
        <v>2032</v>
      </c>
      <c r="J1" s="6">
        <v>2033</v>
      </c>
      <c r="K1" s="6">
        <v>2034</v>
      </c>
      <c r="L1" s="6">
        <v>2035</v>
      </c>
    </row>
    <row r="2" spans="1:12" ht="14.25" customHeight="1" x14ac:dyDescent="0.3">
      <c r="A2" s="19" t="s">
        <v>35</v>
      </c>
      <c r="B2" s="20">
        <v>0.8</v>
      </c>
      <c r="C2" s="67">
        <v>0.85</v>
      </c>
      <c r="D2" s="67">
        <v>0.9</v>
      </c>
      <c r="E2" s="67">
        <v>0.9</v>
      </c>
      <c r="F2" s="67">
        <v>0.9</v>
      </c>
      <c r="G2" s="67">
        <v>0.9</v>
      </c>
      <c r="H2" s="67">
        <v>0.9</v>
      </c>
      <c r="I2" s="67">
        <v>0.9</v>
      </c>
      <c r="J2" s="67">
        <v>0.9</v>
      </c>
      <c r="K2" s="67">
        <v>0.9</v>
      </c>
      <c r="L2" s="67">
        <v>0.9</v>
      </c>
    </row>
    <row r="3" spans="1:12" ht="14.25" customHeight="1" x14ac:dyDescent="0.3">
      <c r="A3" s="23" t="s">
        <v>43</v>
      </c>
      <c r="B3" s="24">
        <v>420</v>
      </c>
      <c r="C3" s="69">
        <f>E33</f>
        <v>40</v>
      </c>
      <c r="D3" s="69">
        <v>40</v>
      </c>
      <c r="E3" s="69">
        <v>40</v>
      </c>
      <c r="F3" s="69">
        <v>40</v>
      </c>
      <c r="G3" s="69">
        <v>40</v>
      </c>
      <c r="H3" s="69">
        <v>40</v>
      </c>
      <c r="I3" s="69">
        <v>40</v>
      </c>
      <c r="J3" s="69">
        <v>40</v>
      </c>
      <c r="K3" s="69">
        <v>40</v>
      </c>
      <c r="L3" s="69">
        <v>40</v>
      </c>
    </row>
    <row r="4" spans="1:12" ht="14.25" customHeight="1" x14ac:dyDescent="0.3">
      <c r="A4" s="23" t="s">
        <v>65</v>
      </c>
      <c r="B4" s="29">
        <f>3600/B3</f>
        <v>8.5714285714285712</v>
      </c>
      <c r="C4">
        <f>3600/C3</f>
        <v>90</v>
      </c>
      <c r="D4">
        <v>90</v>
      </c>
      <c r="E4">
        <v>90</v>
      </c>
      <c r="F4">
        <v>90</v>
      </c>
      <c r="G4">
        <v>90</v>
      </c>
      <c r="H4">
        <v>90</v>
      </c>
      <c r="I4">
        <v>90</v>
      </c>
      <c r="J4">
        <v>90</v>
      </c>
      <c r="K4">
        <v>90</v>
      </c>
      <c r="L4">
        <v>90</v>
      </c>
    </row>
    <row r="5" spans="1:12" ht="14.25" customHeight="1" x14ac:dyDescent="0.3">
      <c r="A5" s="23" t="s">
        <v>71</v>
      </c>
      <c r="B5" s="24">
        <v>7.5</v>
      </c>
      <c r="C5" s="68">
        <v>7.5</v>
      </c>
      <c r="D5" s="68">
        <v>7.5</v>
      </c>
      <c r="E5" s="68">
        <v>7.5</v>
      </c>
      <c r="F5" s="68">
        <v>7.5</v>
      </c>
      <c r="G5" s="68">
        <v>7.5</v>
      </c>
      <c r="H5" s="68">
        <v>7.5</v>
      </c>
      <c r="I5" s="68">
        <v>7.5</v>
      </c>
      <c r="J5" s="68">
        <v>7.5</v>
      </c>
      <c r="K5" s="68">
        <v>7.5</v>
      </c>
      <c r="L5" s="68">
        <v>7.5</v>
      </c>
    </row>
    <row r="6" spans="1:12" ht="14.25" customHeight="1" x14ac:dyDescent="0.3">
      <c r="A6" s="23" t="s">
        <v>106</v>
      </c>
      <c r="B6" s="24">
        <v>2</v>
      </c>
      <c r="C6" s="68">
        <v>1</v>
      </c>
      <c r="D6" s="68">
        <v>1</v>
      </c>
      <c r="E6" s="68">
        <v>1</v>
      </c>
      <c r="F6" s="68">
        <v>1</v>
      </c>
      <c r="G6" s="68">
        <v>1</v>
      </c>
      <c r="H6" s="68">
        <v>1</v>
      </c>
      <c r="I6" s="68">
        <v>1</v>
      </c>
      <c r="J6" s="68">
        <v>1</v>
      </c>
      <c r="K6" s="68">
        <v>1</v>
      </c>
      <c r="L6" s="68">
        <v>1</v>
      </c>
    </row>
    <row r="7" spans="1:12" ht="14.25" customHeight="1" x14ac:dyDescent="0.3">
      <c r="A7" s="23" t="s">
        <v>109</v>
      </c>
      <c r="B7" s="24">
        <v>1</v>
      </c>
      <c r="C7" s="68">
        <v>1</v>
      </c>
      <c r="D7" s="68">
        <v>1</v>
      </c>
      <c r="E7" s="68">
        <v>1</v>
      </c>
      <c r="F7" s="68">
        <v>2</v>
      </c>
      <c r="G7" s="68">
        <v>1</v>
      </c>
      <c r="H7" s="68">
        <v>1</v>
      </c>
      <c r="I7" s="68">
        <v>1</v>
      </c>
      <c r="J7" s="68">
        <v>1</v>
      </c>
      <c r="K7" s="68">
        <v>1</v>
      </c>
      <c r="L7" s="68">
        <v>1</v>
      </c>
    </row>
    <row r="8" spans="1:12" ht="14.25" customHeight="1" x14ac:dyDescent="0.3">
      <c r="A8" s="23" t="s">
        <v>112</v>
      </c>
      <c r="B8" s="24">
        <v>5</v>
      </c>
      <c r="C8" s="68">
        <v>5</v>
      </c>
      <c r="D8" s="68">
        <v>5</v>
      </c>
      <c r="E8" s="68">
        <v>5</v>
      </c>
      <c r="F8" s="68">
        <v>5</v>
      </c>
      <c r="G8" s="68">
        <v>5</v>
      </c>
      <c r="H8" s="68">
        <v>5</v>
      </c>
      <c r="I8" s="68">
        <v>5</v>
      </c>
      <c r="J8" s="68">
        <v>6</v>
      </c>
      <c r="K8" s="68">
        <v>6</v>
      </c>
      <c r="L8" s="68">
        <v>6</v>
      </c>
    </row>
    <row r="9" spans="1:12" ht="14.25" customHeight="1" x14ac:dyDescent="0.3">
      <c r="A9" s="23" t="s">
        <v>115</v>
      </c>
      <c r="B9" s="24">
        <v>4</v>
      </c>
      <c r="C9" s="68">
        <v>4</v>
      </c>
      <c r="D9" s="68">
        <v>4</v>
      </c>
      <c r="E9" s="68">
        <v>4</v>
      </c>
      <c r="F9" s="68">
        <v>4</v>
      </c>
      <c r="G9" s="68">
        <v>4</v>
      </c>
      <c r="H9" s="68">
        <v>4</v>
      </c>
      <c r="I9" s="68">
        <v>4</v>
      </c>
      <c r="J9" s="68">
        <v>4</v>
      </c>
      <c r="K9" s="68">
        <v>4</v>
      </c>
      <c r="L9" s="68">
        <v>4</v>
      </c>
    </row>
    <row r="10" spans="1:12" ht="14.25" customHeight="1" x14ac:dyDescent="0.3">
      <c r="A10" s="33" t="s">
        <v>118</v>
      </c>
      <c r="B10" s="34">
        <v>12</v>
      </c>
      <c r="C10" s="70">
        <v>12</v>
      </c>
      <c r="D10" s="70">
        <v>12</v>
      </c>
      <c r="E10" s="70">
        <v>12</v>
      </c>
      <c r="F10" s="70">
        <v>12</v>
      </c>
      <c r="G10" s="70">
        <v>12</v>
      </c>
      <c r="H10" s="70">
        <v>12</v>
      </c>
      <c r="I10" s="70">
        <v>12</v>
      </c>
      <c r="J10" s="70">
        <v>12</v>
      </c>
      <c r="K10" s="70">
        <v>12</v>
      </c>
      <c r="L10" s="70">
        <v>12</v>
      </c>
    </row>
    <row r="11" spans="1:12" ht="14.25" customHeight="1" x14ac:dyDescent="0.3">
      <c r="A11" s="35" t="s">
        <v>121</v>
      </c>
      <c r="B11" s="36">
        <f>B4*B5*B6*B7*B8*B9*B10</f>
        <v>30857.142857142855</v>
      </c>
      <c r="C11" s="36">
        <f>C4*C5*C6*C7*C8*C9*C10</f>
        <v>162000</v>
      </c>
      <c r="D11" s="36">
        <f t="shared" ref="D11:L11" si="0">D4*D5*D6*D7*D8*D9*D10</f>
        <v>162000</v>
      </c>
      <c r="E11" s="36">
        <f t="shared" si="0"/>
        <v>162000</v>
      </c>
      <c r="F11" s="36">
        <f t="shared" si="0"/>
        <v>324000</v>
      </c>
      <c r="G11" s="36">
        <f t="shared" si="0"/>
        <v>162000</v>
      </c>
      <c r="H11" s="36">
        <f t="shared" si="0"/>
        <v>162000</v>
      </c>
      <c r="I11" s="36">
        <f t="shared" si="0"/>
        <v>162000</v>
      </c>
      <c r="J11" s="36">
        <f t="shared" si="0"/>
        <v>194400</v>
      </c>
      <c r="K11" s="36">
        <f t="shared" si="0"/>
        <v>194400</v>
      </c>
      <c r="L11" s="36">
        <f t="shared" si="0"/>
        <v>194400</v>
      </c>
    </row>
    <row r="12" spans="1:12" ht="14.25" customHeight="1" x14ac:dyDescent="0.3"/>
    <row r="13" spans="1:12" ht="14.25" customHeight="1" x14ac:dyDescent="0.3"/>
    <row r="14" spans="1:12" ht="14.25" customHeight="1" x14ac:dyDescent="0.3"/>
    <row r="15" spans="1:12" ht="14.25" customHeight="1" x14ac:dyDescent="0.3"/>
    <row r="16" spans="1:12" ht="14.25" customHeight="1" x14ac:dyDescent="0.3"/>
    <row r="17" spans="1:16" ht="14.25" customHeight="1" x14ac:dyDescent="0.3">
      <c r="A17" s="11" t="s">
        <v>11</v>
      </c>
      <c r="B17" s="11" t="s">
        <v>12</v>
      </c>
      <c r="C17" s="11" t="s">
        <v>22</v>
      </c>
      <c r="D17" s="11" t="s">
        <v>23</v>
      </c>
      <c r="E17" s="11" t="s">
        <v>24</v>
      </c>
      <c r="F17" s="6">
        <v>2025</v>
      </c>
      <c r="G17" s="6">
        <f t="shared" ref="G17:P17" si="1">F17+1</f>
        <v>2026</v>
      </c>
      <c r="H17" s="6">
        <f t="shared" si="1"/>
        <v>2027</v>
      </c>
      <c r="I17" s="6">
        <f t="shared" si="1"/>
        <v>2028</v>
      </c>
      <c r="J17" s="6">
        <f t="shared" si="1"/>
        <v>2029</v>
      </c>
      <c r="K17" s="6">
        <f t="shared" si="1"/>
        <v>2030</v>
      </c>
      <c r="L17" s="6">
        <f t="shared" si="1"/>
        <v>2031</v>
      </c>
      <c r="M17" s="6">
        <f t="shared" si="1"/>
        <v>2032</v>
      </c>
      <c r="N17" s="6">
        <f t="shared" si="1"/>
        <v>2033</v>
      </c>
      <c r="O17" s="6">
        <f t="shared" si="1"/>
        <v>2034</v>
      </c>
      <c r="P17" s="6">
        <f t="shared" si="1"/>
        <v>2035</v>
      </c>
    </row>
    <row r="18" spans="1:16" ht="14.25" customHeight="1" x14ac:dyDescent="0.3">
      <c r="A18" s="10" t="s">
        <v>38</v>
      </c>
      <c r="B18" s="21" t="s">
        <v>39</v>
      </c>
      <c r="C18" s="21">
        <v>60</v>
      </c>
      <c r="D18" s="21">
        <v>6</v>
      </c>
      <c r="E18" s="21">
        <f t="shared" ref="E18:E33" si="2">C18/D18</f>
        <v>10</v>
      </c>
      <c r="F18" s="21">
        <v>3000000</v>
      </c>
      <c r="G18" s="21">
        <v>2800000</v>
      </c>
      <c r="H18" s="21">
        <v>2800000</v>
      </c>
      <c r="I18" s="21">
        <v>2800000</v>
      </c>
      <c r="J18" s="21">
        <v>2800000</v>
      </c>
      <c r="K18" s="21">
        <v>2800000</v>
      </c>
      <c r="L18" s="21">
        <v>2800000</v>
      </c>
      <c r="M18" s="21">
        <v>2800000</v>
      </c>
      <c r="N18" s="21">
        <v>2800000</v>
      </c>
      <c r="O18" s="21">
        <v>2800000</v>
      </c>
      <c r="P18" s="21">
        <v>2800000</v>
      </c>
    </row>
    <row r="19" spans="1:16" ht="14.25" customHeight="1" x14ac:dyDescent="0.3">
      <c r="A19" s="21" t="s">
        <v>52</v>
      </c>
      <c r="B19" s="21" t="s">
        <v>53</v>
      </c>
      <c r="C19" s="21">
        <v>12</v>
      </c>
      <c r="D19" s="21">
        <v>1</v>
      </c>
      <c r="E19" s="21">
        <f t="shared" si="2"/>
        <v>12</v>
      </c>
      <c r="F19" s="21">
        <v>2400000</v>
      </c>
      <c r="G19" s="21">
        <f t="shared" ref="G19:P19" si="3">F19</f>
        <v>2400000</v>
      </c>
      <c r="H19" s="21">
        <f t="shared" si="3"/>
        <v>2400000</v>
      </c>
      <c r="I19" s="21">
        <f t="shared" si="3"/>
        <v>2400000</v>
      </c>
      <c r="J19" s="21">
        <f t="shared" si="3"/>
        <v>2400000</v>
      </c>
      <c r="K19" s="21">
        <f t="shared" si="3"/>
        <v>2400000</v>
      </c>
      <c r="L19" s="21">
        <f t="shared" si="3"/>
        <v>2400000</v>
      </c>
      <c r="M19" s="21">
        <f t="shared" si="3"/>
        <v>2400000</v>
      </c>
      <c r="N19" s="21">
        <f t="shared" si="3"/>
        <v>2400000</v>
      </c>
      <c r="O19" s="21">
        <f t="shared" si="3"/>
        <v>2400000</v>
      </c>
      <c r="P19" s="21">
        <f t="shared" si="3"/>
        <v>2400000</v>
      </c>
    </row>
    <row r="20" spans="1:16" ht="14.25" customHeight="1" x14ac:dyDescent="0.3">
      <c r="A20" s="21" t="s">
        <v>69</v>
      </c>
      <c r="B20" s="21" t="s">
        <v>70</v>
      </c>
      <c r="C20" s="21">
        <v>12</v>
      </c>
      <c r="D20" s="21">
        <v>1</v>
      </c>
      <c r="E20" s="21">
        <f t="shared" si="2"/>
        <v>12</v>
      </c>
      <c r="F20" s="21">
        <v>2000000</v>
      </c>
      <c r="G20" s="21">
        <f t="shared" ref="G20:P20" si="4">F20</f>
        <v>2000000</v>
      </c>
      <c r="H20" s="21">
        <f t="shared" si="4"/>
        <v>2000000</v>
      </c>
      <c r="I20" s="21">
        <f t="shared" si="4"/>
        <v>2000000</v>
      </c>
      <c r="J20" s="21">
        <f t="shared" si="4"/>
        <v>2000000</v>
      </c>
      <c r="K20" s="21">
        <f t="shared" si="4"/>
        <v>2000000</v>
      </c>
      <c r="L20" s="21">
        <f t="shared" si="4"/>
        <v>2000000</v>
      </c>
      <c r="M20" s="21">
        <f t="shared" si="4"/>
        <v>2000000</v>
      </c>
      <c r="N20" s="21">
        <f t="shared" si="4"/>
        <v>2000000</v>
      </c>
      <c r="O20" s="21">
        <f t="shared" si="4"/>
        <v>2000000</v>
      </c>
      <c r="P20" s="21">
        <f t="shared" si="4"/>
        <v>2000000</v>
      </c>
    </row>
    <row r="21" spans="1:16" ht="14.25" customHeight="1" x14ac:dyDescent="0.3">
      <c r="A21" s="21" t="s">
        <v>72</v>
      </c>
      <c r="B21" s="21" t="s">
        <v>73</v>
      </c>
      <c r="C21" s="21">
        <v>12</v>
      </c>
      <c r="D21" s="21">
        <v>1</v>
      </c>
      <c r="E21" s="21">
        <f t="shared" si="2"/>
        <v>12</v>
      </c>
      <c r="F21" s="21">
        <v>1000000</v>
      </c>
      <c r="G21" s="21">
        <f t="shared" ref="G21:P21" si="5">F21</f>
        <v>1000000</v>
      </c>
      <c r="H21" s="21">
        <f t="shared" si="5"/>
        <v>1000000</v>
      </c>
      <c r="I21" s="21">
        <f t="shared" si="5"/>
        <v>1000000</v>
      </c>
      <c r="J21" s="21">
        <f t="shared" si="5"/>
        <v>1000000</v>
      </c>
      <c r="K21" s="21">
        <f t="shared" si="5"/>
        <v>1000000</v>
      </c>
      <c r="L21" s="21">
        <f t="shared" si="5"/>
        <v>1000000</v>
      </c>
      <c r="M21" s="21">
        <f t="shared" si="5"/>
        <v>1000000</v>
      </c>
      <c r="N21" s="21">
        <f t="shared" si="5"/>
        <v>1000000</v>
      </c>
      <c r="O21" s="21">
        <f t="shared" si="5"/>
        <v>1000000</v>
      </c>
      <c r="P21" s="21">
        <f t="shared" si="5"/>
        <v>1000000</v>
      </c>
    </row>
    <row r="22" spans="1:16" ht="14.25" customHeight="1" x14ac:dyDescent="0.3">
      <c r="A22" s="10" t="s">
        <v>107</v>
      </c>
      <c r="B22" s="21" t="s">
        <v>108</v>
      </c>
      <c r="C22" s="21">
        <v>12</v>
      </c>
      <c r="D22" s="21">
        <v>1</v>
      </c>
      <c r="E22" s="21">
        <f t="shared" si="2"/>
        <v>12</v>
      </c>
      <c r="F22" s="21">
        <v>500000</v>
      </c>
      <c r="G22" s="21">
        <f t="shared" ref="G22:P22" si="6">F22</f>
        <v>500000</v>
      </c>
      <c r="H22" s="21">
        <f t="shared" si="6"/>
        <v>500000</v>
      </c>
      <c r="I22" s="21">
        <f t="shared" si="6"/>
        <v>500000</v>
      </c>
      <c r="J22" s="21">
        <f t="shared" si="6"/>
        <v>500000</v>
      </c>
      <c r="K22" s="21">
        <f t="shared" si="6"/>
        <v>500000</v>
      </c>
      <c r="L22" s="21">
        <f t="shared" si="6"/>
        <v>500000</v>
      </c>
      <c r="M22" s="21">
        <f t="shared" si="6"/>
        <v>500000</v>
      </c>
      <c r="N22" s="21">
        <f t="shared" si="6"/>
        <v>500000</v>
      </c>
      <c r="O22" s="21">
        <f t="shared" si="6"/>
        <v>500000</v>
      </c>
      <c r="P22" s="21">
        <f t="shared" si="6"/>
        <v>500000</v>
      </c>
    </row>
    <row r="23" spans="1:16" ht="14.25" customHeight="1" x14ac:dyDescent="0.3">
      <c r="A23" s="21" t="s">
        <v>110</v>
      </c>
      <c r="B23" s="21" t="s">
        <v>111</v>
      </c>
      <c r="C23" s="21">
        <v>12</v>
      </c>
      <c r="D23" s="21">
        <v>1</v>
      </c>
      <c r="E23" s="21">
        <f t="shared" si="2"/>
        <v>12</v>
      </c>
      <c r="F23" s="21">
        <v>112000</v>
      </c>
      <c r="G23" s="21">
        <f t="shared" ref="G23:P23" si="7">F23</f>
        <v>112000</v>
      </c>
      <c r="H23" s="21">
        <f t="shared" si="7"/>
        <v>112000</v>
      </c>
      <c r="I23" s="21">
        <f t="shared" si="7"/>
        <v>112000</v>
      </c>
      <c r="J23" s="21">
        <f t="shared" si="7"/>
        <v>112000</v>
      </c>
      <c r="K23" s="21">
        <f t="shared" si="7"/>
        <v>112000</v>
      </c>
      <c r="L23" s="21">
        <f t="shared" si="7"/>
        <v>112000</v>
      </c>
      <c r="M23" s="21">
        <f t="shared" si="7"/>
        <v>112000</v>
      </c>
      <c r="N23" s="21">
        <f t="shared" si="7"/>
        <v>112000</v>
      </c>
      <c r="O23" s="21">
        <f t="shared" si="7"/>
        <v>112000</v>
      </c>
      <c r="P23" s="21">
        <f t="shared" si="7"/>
        <v>112000</v>
      </c>
    </row>
    <row r="24" spans="1:16" ht="14.25" customHeight="1" x14ac:dyDescent="0.3">
      <c r="A24" s="21" t="s">
        <v>113</v>
      </c>
      <c r="B24" s="21" t="s">
        <v>114</v>
      </c>
      <c r="C24" s="21">
        <v>12</v>
      </c>
      <c r="D24" s="21">
        <v>1</v>
      </c>
      <c r="E24" s="21">
        <f t="shared" si="2"/>
        <v>12</v>
      </c>
      <c r="F24" s="21">
        <v>112000</v>
      </c>
      <c r="G24" s="21">
        <f t="shared" ref="G24:P24" si="8">F24</f>
        <v>112000</v>
      </c>
      <c r="H24" s="21">
        <f t="shared" si="8"/>
        <v>112000</v>
      </c>
      <c r="I24" s="21">
        <f t="shared" si="8"/>
        <v>112000</v>
      </c>
      <c r="J24" s="21">
        <f t="shared" si="8"/>
        <v>112000</v>
      </c>
      <c r="K24" s="21">
        <f t="shared" si="8"/>
        <v>112000</v>
      </c>
      <c r="L24" s="21">
        <f t="shared" si="8"/>
        <v>112000</v>
      </c>
      <c r="M24" s="21">
        <f t="shared" si="8"/>
        <v>112000</v>
      </c>
      <c r="N24" s="21">
        <f t="shared" si="8"/>
        <v>112000</v>
      </c>
      <c r="O24" s="21">
        <f t="shared" si="8"/>
        <v>112000</v>
      </c>
      <c r="P24" s="21">
        <f t="shared" si="8"/>
        <v>112000</v>
      </c>
    </row>
    <row r="25" spans="1:16" ht="14.25" customHeight="1" x14ac:dyDescent="0.3">
      <c r="A25" s="21" t="s">
        <v>116</v>
      </c>
      <c r="B25" s="21" t="s">
        <v>117</v>
      </c>
      <c r="C25" s="21">
        <v>12</v>
      </c>
      <c r="D25" s="21">
        <v>1</v>
      </c>
      <c r="E25" s="21">
        <f t="shared" si="2"/>
        <v>12</v>
      </c>
      <c r="F25" s="21">
        <v>112000</v>
      </c>
      <c r="G25" s="21">
        <f t="shared" ref="G25:P25" si="9">F25</f>
        <v>112000</v>
      </c>
      <c r="H25" s="21">
        <f t="shared" si="9"/>
        <v>112000</v>
      </c>
      <c r="I25" s="21">
        <f t="shared" si="9"/>
        <v>112000</v>
      </c>
      <c r="J25" s="21">
        <f t="shared" si="9"/>
        <v>112000</v>
      </c>
      <c r="K25" s="21">
        <f t="shared" si="9"/>
        <v>112000</v>
      </c>
      <c r="L25" s="21">
        <f t="shared" si="9"/>
        <v>112000</v>
      </c>
      <c r="M25" s="21">
        <f t="shared" si="9"/>
        <v>112000</v>
      </c>
      <c r="N25" s="21">
        <f t="shared" si="9"/>
        <v>112000</v>
      </c>
      <c r="O25" s="21">
        <f t="shared" si="9"/>
        <v>112000</v>
      </c>
      <c r="P25" s="21">
        <f t="shared" si="9"/>
        <v>112000</v>
      </c>
    </row>
    <row r="26" spans="1:16" ht="14.25" customHeight="1" x14ac:dyDescent="0.3">
      <c r="A26" s="10" t="s">
        <v>119</v>
      </c>
      <c r="B26" s="21" t="s">
        <v>120</v>
      </c>
      <c r="C26" s="21">
        <v>12</v>
      </c>
      <c r="D26" s="21">
        <v>1</v>
      </c>
      <c r="E26" s="21">
        <f t="shared" si="2"/>
        <v>12</v>
      </c>
      <c r="F26" s="21">
        <v>112000</v>
      </c>
      <c r="G26" s="21">
        <f t="shared" ref="G26:P26" si="10">F26</f>
        <v>112000</v>
      </c>
      <c r="H26" s="21">
        <f t="shared" si="10"/>
        <v>112000</v>
      </c>
      <c r="I26" s="21">
        <f t="shared" si="10"/>
        <v>112000</v>
      </c>
      <c r="J26" s="21">
        <f t="shared" si="10"/>
        <v>112000</v>
      </c>
      <c r="K26" s="21">
        <f t="shared" si="10"/>
        <v>112000</v>
      </c>
      <c r="L26" s="21">
        <f t="shared" si="10"/>
        <v>112000</v>
      </c>
      <c r="M26" s="21">
        <f t="shared" si="10"/>
        <v>112000</v>
      </c>
      <c r="N26" s="21">
        <f t="shared" si="10"/>
        <v>112000</v>
      </c>
      <c r="O26" s="21">
        <f t="shared" si="10"/>
        <v>112000</v>
      </c>
      <c r="P26" s="21">
        <f t="shared" si="10"/>
        <v>112000</v>
      </c>
    </row>
    <row r="27" spans="1:16" ht="14.25" customHeight="1" x14ac:dyDescent="0.3">
      <c r="A27" s="21" t="s">
        <v>122</v>
      </c>
      <c r="B27" s="21" t="s">
        <v>123</v>
      </c>
      <c r="C27" s="21">
        <v>12</v>
      </c>
      <c r="D27" s="21">
        <v>1</v>
      </c>
      <c r="E27" s="21">
        <f t="shared" si="2"/>
        <v>12</v>
      </c>
      <c r="F27" s="21">
        <v>112000</v>
      </c>
      <c r="G27" s="21">
        <f t="shared" ref="G27:P27" si="11">F27</f>
        <v>112000</v>
      </c>
      <c r="H27" s="21">
        <f t="shared" si="11"/>
        <v>112000</v>
      </c>
      <c r="I27" s="21">
        <f t="shared" si="11"/>
        <v>112000</v>
      </c>
      <c r="J27" s="21">
        <f t="shared" si="11"/>
        <v>112000</v>
      </c>
      <c r="K27" s="21">
        <f t="shared" si="11"/>
        <v>112000</v>
      </c>
      <c r="L27" s="21">
        <f t="shared" si="11"/>
        <v>112000</v>
      </c>
      <c r="M27" s="21">
        <f t="shared" si="11"/>
        <v>112000</v>
      </c>
      <c r="N27" s="21">
        <f t="shared" si="11"/>
        <v>112000</v>
      </c>
      <c r="O27" s="21">
        <f t="shared" si="11"/>
        <v>112000</v>
      </c>
      <c r="P27" s="21">
        <f t="shared" si="11"/>
        <v>112000</v>
      </c>
    </row>
    <row r="28" spans="1:16" ht="14.25" customHeight="1" x14ac:dyDescent="0.3">
      <c r="A28" s="21" t="s">
        <v>124</v>
      </c>
      <c r="B28" s="21" t="s">
        <v>125</v>
      </c>
      <c r="C28" s="21">
        <v>12</v>
      </c>
      <c r="D28" s="21">
        <v>1</v>
      </c>
      <c r="E28" s="21">
        <f t="shared" si="2"/>
        <v>12</v>
      </c>
      <c r="F28" s="21">
        <v>112000</v>
      </c>
      <c r="G28" s="21">
        <f t="shared" ref="G28:P28" si="12">F28</f>
        <v>112000</v>
      </c>
      <c r="H28" s="21">
        <f t="shared" si="12"/>
        <v>112000</v>
      </c>
      <c r="I28" s="21">
        <f t="shared" si="12"/>
        <v>112000</v>
      </c>
      <c r="J28" s="21">
        <f t="shared" si="12"/>
        <v>112000</v>
      </c>
      <c r="K28" s="21">
        <f t="shared" si="12"/>
        <v>112000</v>
      </c>
      <c r="L28" s="21">
        <f t="shared" si="12"/>
        <v>112000</v>
      </c>
      <c r="M28" s="21">
        <f t="shared" si="12"/>
        <v>112000</v>
      </c>
      <c r="N28" s="21">
        <f t="shared" si="12"/>
        <v>112000</v>
      </c>
      <c r="O28" s="21">
        <f t="shared" si="12"/>
        <v>112000</v>
      </c>
      <c r="P28" s="21">
        <f t="shared" si="12"/>
        <v>112000</v>
      </c>
    </row>
    <row r="29" spans="1:16" ht="14.25" customHeight="1" x14ac:dyDescent="0.3">
      <c r="A29" s="21" t="s">
        <v>126</v>
      </c>
      <c r="B29" s="21" t="s">
        <v>127</v>
      </c>
      <c r="C29" s="21">
        <v>12</v>
      </c>
      <c r="D29" s="21">
        <v>1</v>
      </c>
      <c r="E29" s="21">
        <f t="shared" si="2"/>
        <v>12</v>
      </c>
      <c r="F29" s="21">
        <v>112000</v>
      </c>
      <c r="G29" s="21">
        <f t="shared" ref="G29:P29" si="13">F29</f>
        <v>112000</v>
      </c>
      <c r="H29" s="21">
        <f t="shared" si="13"/>
        <v>112000</v>
      </c>
      <c r="I29" s="21">
        <f t="shared" si="13"/>
        <v>112000</v>
      </c>
      <c r="J29" s="21">
        <f t="shared" si="13"/>
        <v>112000</v>
      </c>
      <c r="K29" s="21">
        <f t="shared" si="13"/>
        <v>112000</v>
      </c>
      <c r="L29" s="21">
        <f t="shared" si="13"/>
        <v>112000</v>
      </c>
      <c r="M29" s="21">
        <f t="shared" si="13"/>
        <v>112000</v>
      </c>
      <c r="N29" s="21">
        <f t="shared" si="13"/>
        <v>112000</v>
      </c>
      <c r="O29" s="21">
        <f t="shared" si="13"/>
        <v>112000</v>
      </c>
      <c r="P29" s="21">
        <f t="shared" si="13"/>
        <v>112000</v>
      </c>
    </row>
    <row r="30" spans="1:16" ht="14.25" customHeight="1" x14ac:dyDescent="0.3">
      <c r="A30" s="10" t="s">
        <v>128</v>
      </c>
      <c r="B30" s="21" t="s">
        <v>129</v>
      </c>
      <c r="C30" s="21">
        <v>12</v>
      </c>
      <c r="D30" s="21">
        <v>1</v>
      </c>
      <c r="E30" s="21">
        <f t="shared" si="2"/>
        <v>12</v>
      </c>
      <c r="F30" s="21">
        <v>80000</v>
      </c>
      <c r="G30" s="21">
        <f t="shared" ref="G30:P30" si="14">F30</f>
        <v>80000</v>
      </c>
      <c r="H30" s="21">
        <f t="shared" si="14"/>
        <v>80000</v>
      </c>
      <c r="I30" s="21">
        <f t="shared" si="14"/>
        <v>80000</v>
      </c>
      <c r="J30" s="21">
        <f t="shared" si="14"/>
        <v>80000</v>
      </c>
      <c r="K30" s="21">
        <f t="shared" si="14"/>
        <v>80000</v>
      </c>
      <c r="L30" s="21">
        <f t="shared" si="14"/>
        <v>80000</v>
      </c>
      <c r="M30" s="21">
        <f t="shared" si="14"/>
        <v>80000</v>
      </c>
      <c r="N30" s="21">
        <f t="shared" si="14"/>
        <v>80000</v>
      </c>
      <c r="O30" s="21">
        <f t="shared" si="14"/>
        <v>80000</v>
      </c>
      <c r="P30" s="21">
        <f t="shared" si="14"/>
        <v>80000</v>
      </c>
    </row>
    <row r="31" spans="1:16" ht="14.25" customHeight="1" x14ac:dyDescent="0.3">
      <c r="A31" s="21" t="s">
        <v>130</v>
      </c>
      <c r="B31" s="21" t="s">
        <v>131</v>
      </c>
      <c r="C31" s="21">
        <v>12</v>
      </c>
      <c r="D31" s="21">
        <v>1</v>
      </c>
      <c r="E31" s="21">
        <f t="shared" si="2"/>
        <v>12</v>
      </c>
      <c r="F31" s="21">
        <v>80000</v>
      </c>
      <c r="G31" s="21">
        <f t="shared" ref="G31:P31" si="15">F31</f>
        <v>80000</v>
      </c>
      <c r="H31" s="21">
        <f t="shared" si="15"/>
        <v>80000</v>
      </c>
      <c r="I31" s="21">
        <f t="shared" si="15"/>
        <v>80000</v>
      </c>
      <c r="J31" s="21">
        <f t="shared" si="15"/>
        <v>80000</v>
      </c>
      <c r="K31" s="21">
        <f t="shared" si="15"/>
        <v>80000</v>
      </c>
      <c r="L31" s="21">
        <f t="shared" si="15"/>
        <v>80000</v>
      </c>
      <c r="M31" s="21">
        <f t="shared" si="15"/>
        <v>80000</v>
      </c>
      <c r="N31" s="21">
        <f t="shared" si="15"/>
        <v>80000</v>
      </c>
      <c r="O31" s="21">
        <f t="shared" si="15"/>
        <v>80000</v>
      </c>
      <c r="P31" s="21">
        <f t="shared" si="15"/>
        <v>80000</v>
      </c>
    </row>
    <row r="32" spans="1:16" ht="14.25" customHeight="1" x14ac:dyDescent="0.3">
      <c r="A32" s="21" t="s">
        <v>132</v>
      </c>
      <c r="B32" s="21" t="s">
        <v>133</v>
      </c>
      <c r="C32" s="21">
        <v>12</v>
      </c>
      <c r="D32" s="21">
        <v>1</v>
      </c>
      <c r="E32" s="21">
        <f t="shared" si="2"/>
        <v>12</v>
      </c>
      <c r="F32" s="21">
        <v>80000</v>
      </c>
      <c r="G32" s="21">
        <f t="shared" ref="G32:P32" si="16">F32</f>
        <v>80000</v>
      </c>
      <c r="H32" s="21">
        <f t="shared" si="16"/>
        <v>80000</v>
      </c>
      <c r="I32" s="21">
        <f t="shared" si="16"/>
        <v>80000</v>
      </c>
      <c r="J32" s="21">
        <f t="shared" si="16"/>
        <v>80000</v>
      </c>
      <c r="K32" s="21">
        <f t="shared" si="16"/>
        <v>80000</v>
      </c>
      <c r="L32" s="21">
        <f t="shared" si="16"/>
        <v>80000</v>
      </c>
      <c r="M32" s="21">
        <f t="shared" si="16"/>
        <v>80000</v>
      </c>
      <c r="N32" s="21">
        <f t="shared" si="16"/>
        <v>80000</v>
      </c>
      <c r="O32" s="21">
        <f t="shared" si="16"/>
        <v>80000</v>
      </c>
      <c r="P32" s="21">
        <f t="shared" si="16"/>
        <v>80000</v>
      </c>
    </row>
    <row r="33" spans="1:16" ht="14.25" customHeight="1" x14ac:dyDescent="0.3">
      <c r="A33" s="21" t="s">
        <v>134</v>
      </c>
      <c r="B33" s="21" t="s">
        <v>135</v>
      </c>
      <c r="C33" s="21">
        <v>120</v>
      </c>
      <c r="D33" s="21">
        <v>3</v>
      </c>
      <c r="E33" s="21">
        <f t="shared" si="2"/>
        <v>40</v>
      </c>
      <c r="F33" s="21">
        <v>80000</v>
      </c>
      <c r="G33" s="21">
        <f t="shared" ref="G33:P33" si="17">F33</f>
        <v>80000</v>
      </c>
      <c r="H33" s="21">
        <f t="shared" si="17"/>
        <v>80000</v>
      </c>
      <c r="I33" s="21">
        <f t="shared" si="17"/>
        <v>80000</v>
      </c>
      <c r="J33" s="21">
        <f t="shared" si="17"/>
        <v>80000</v>
      </c>
      <c r="K33" s="21">
        <f t="shared" si="17"/>
        <v>80000</v>
      </c>
      <c r="L33" s="21">
        <f t="shared" si="17"/>
        <v>80000</v>
      </c>
      <c r="M33" s="21">
        <f t="shared" si="17"/>
        <v>80000</v>
      </c>
      <c r="N33" s="21">
        <f t="shared" si="17"/>
        <v>80000</v>
      </c>
      <c r="O33" s="21">
        <f t="shared" si="17"/>
        <v>80000</v>
      </c>
      <c r="P33" s="21">
        <f t="shared" si="17"/>
        <v>80000</v>
      </c>
    </row>
    <row r="34" spans="1:16" ht="14.25" customHeight="1" x14ac:dyDescent="0.3">
      <c r="F34" s="72">
        <f>SUM(F18:F33)</f>
        <v>10004000</v>
      </c>
    </row>
    <row r="35" spans="1:16" ht="14.25" customHeight="1" x14ac:dyDescent="0.3">
      <c r="F35" s="72"/>
    </row>
    <row r="36" spans="1:16" ht="14.25" customHeight="1" x14ac:dyDescent="0.3"/>
    <row r="37" spans="1:16" ht="14.25" customHeight="1" x14ac:dyDescent="0.3"/>
    <row r="38" spans="1:16" ht="14.25" customHeight="1" x14ac:dyDescent="0.3"/>
    <row r="39" spans="1:16" ht="14.25" customHeight="1" x14ac:dyDescent="0.3"/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A20" sqref="A20:E22"/>
    </sheetView>
  </sheetViews>
  <sheetFormatPr baseColWidth="10" defaultColWidth="12.6640625" defaultRowHeight="15" customHeight="1" x14ac:dyDescent="0.3"/>
  <cols>
    <col min="1" max="1" width="10.6640625" customWidth="1"/>
    <col min="2" max="2" width="24.33203125" customWidth="1"/>
    <col min="3" max="6" width="10.6640625" customWidth="1"/>
    <col min="7" max="8" width="19.6640625" customWidth="1"/>
    <col min="9" max="26" width="10.6640625" customWidth="1"/>
  </cols>
  <sheetData>
    <row r="1" spans="1:9" ht="14.25" customHeight="1" x14ac:dyDescent="0.3">
      <c r="A1" s="1" t="s">
        <v>0</v>
      </c>
      <c r="B1" s="1" t="s">
        <v>257</v>
      </c>
    </row>
    <row r="2" spans="1:9" ht="14.25" customHeight="1" x14ac:dyDescent="0.3">
      <c r="A2" s="7" t="s">
        <v>4</v>
      </c>
      <c r="B2" s="7" t="s">
        <v>12</v>
      </c>
      <c r="C2" s="7" t="s">
        <v>13</v>
      </c>
      <c r="D2" s="7" t="s">
        <v>14</v>
      </c>
      <c r="E2" s="7" t="s">
        <v>15</v>
      </c>
      <c r="H2" s="7" t="s">
        <v>16</v>
      </c>
      <c r="I2" s="9">
        <f>I3*1.3</f>
        <v>8211.3719999999994</v>
      </c>
    </row>
    <row r="3" spans="1:9" ht="14.25" customHeight="1" x14ac:dyDescent="0.3">
      <c r="A3" s="10" t="s">
        <v>17</v>
      </c>
      <c r="B3" s="10" t="s">
        <v>18</v>
      </c>
      <c r="C3" s="10">
        <v>1</v>
      </c>
      <c r="D3" s="13">
        <v>627</v>
      </c>
      <c r="E3" s="15">
        <v>1</v>
      </c>
      <c r="G3" s="74"/>
      <c r="H3" s="5" t="s">
        <v>34</v>
      </c>
      <c r="I3" s="31" cm="1">
        <f t="array" ref="I3">SUM(C3:C22*D3:D22)</f>
        <v>6316.44</v>
      </c>
    </row>
    <row r="4" spans="1:9" ht="14.25" customHeight="1" x14ac:dyDescent="0.3">
      <c r="A4" s="10" t="s">
        <v>74</v>
      </c>
      <c r="B4" s="10" t="s">
        <v>75</v>
      </c>
      <c r="C4" s="10">
        <v>1</v>
      </c>
      <c r="D4" s="13">
        <v>214.5</v>
      </c>
      <c r="E4" s="15">
        <v>1</v>
      </c>
      <c r="G4" s="74"/>
    </row>
    <row r="5" spans="1:9" ht="14.25" customHeight="1" x14ac:dyDescent="0.3">
      <c r="A5" s="10" t="s">
        <v>76</v>
      </c>
      <c r="B5" s="10" t="s">
        <v>77</v>
      </c>
      <c r="C5" s="10">
        <v>4</v>
      </c>
      <c r="D5" s="13">
        <v>20</v>
      </c>
      <c r="E5" s="15">
        <v>1</v>
      </c>
      <c r="G5" s="74"/>
    </row>
    <row r="6" spans="1:9" ht="14.25" customHeight="1" x14ac:dyDescent="0.3">
      <c r="A6" s="10" t="s">
        <v>78</v>
      </c>
      <c r="B6" s="10" t="s">
        <v>79</v>
      </c>
      <c r="C6" s="10">
        <v>1</v>
      </c>
      <c r="D6" s="13">
        <v>257</v>
      </c>
      <c r="E6" s="15">
        <v>1</v>
      </c>
      <c r="G6" s="74"/>
    </row>
    <row r="7" spans="1:9" ht="14.25" customHeight="1" x14ac:dyDescent="0.3">
      <c r="A7" s="10" t="s">
        <v>80</v>
      </c>
      <c r="B7" s="10" t="s">
        <v>81</v>
      </c>
      <c r="C7" s="10">
        <v>1</v>
      </c>
      <c r="D7" s="13">
        <v>214.5</v>
      </c>
      <c r="E7" s="15">
        <v>1</v>
      </c>
      <c r="G7" s="74"/>
    </row>
    <row r="8" spans="1:9" ht="14.25" customHeight="1" x14ac:dyDescent="0.3">
      <c r="A8" s="10" t="s">
        <v>82</v>
      </c>
      <c r="B8" s="10" t="s">
        <v>83</v>
      </c>
      <c r="C8" s="10">
        <v>1</v>
      </c>
      <c r="D8" s="13">
        <v>0.49</v>
      </c>
      <c r="E8" s="15">
        <v>1</v>
      </c>
      <c r="G8" s="74"/>
    </row>
    <row r="9" spans="1:9" ht="14.25" customHeight="1" x14ac:dyDescent="0.3">
      <c r="A9" s="10" t="s">
        <v>84</v>
      </c>
      <c r="B9" s="10" t="s">
        <v>85</v>
      </c>
      <c r="C9" s="10">
        <v>1</v>
      </c>
      <c r="D9" s="13">
        <v>0.46</v>
      </c>
      <c r="E9" s="15">
        <v>1</v>
      </c>
      <c r="G9" s="74"/>
    </row>
    <row r="10" spans="1:9" ht="14.25" customHeight="1" x14ac:dyDescent="0.3">
      <c r="A10" s="10" t="s">
        <v>86</v>
      </c>
      <c r="B10" s="10" t="s">
        <v>87</v>
      </c>
      <c r="C10" s="10">
        <v>1</v>
      </c>
      <c r="D10" s="13">
        <v>0.84</v>
      </c>
      <c r="E10" s="15">
        <v>1</v>
      </c>
      <c r="G10" s="74"/>
    </row>
    <row r="11" spans="1:9" ht="14.25" customHeight="1" x14ac:dyDescent="0.3">
      <c r="A11" s="10" t="s">
        <v>88</v>
      </c>
      <c r="B11" s="10" t="s">
        <v>89</v>
      </c>
      <c r="C11" s="10">
        <v>1</v>
      </c>
      <c r="D11" s="13">
        <v>12.92</v>
      </c>
      <c r="E11" s="15">
        <v>1</v>
      </c>
      <c r="G11" s="74"/>
    </row>
    <row r="12" spans="1:9" ht="14.25" customHeight="1" x14ac:dyDescent="0.3">
      <c r="A12" s="10" t="s">
        <v>90</v>
      </c>
      <c r="B12" s="10" t="s">
        <v>91</v>
      </c>
      <c r="C12" s="10">
        <v>4</v>
      </c>
      <c r="D12" s="13">
        <v>0.68</v>
      </c>
      <c r="E12" s="15">
        <v>1</v>
      </c>
      <c r="G12" s="74"/>
    </row>
    <row r="13" spans="1:9" ht="14.25" customHeight="1" x14ac:dyDescent="0.3">
      <c r="A13" s="10" t="s">
        <v>92</v>
      </c>
      <c r="B13" s="10" t="s">
        <v>93</v>
      </c>
      <c r="C13" s="10">
        <v>1</v>
      </c>
      <c r="D13" s="13">
        <v>0.84</v>
      </c>
      <c r="E13" s="15">
        <v>0.8</v>
      </c>
      <c r="G13" s="74"/>
    </row>
    <row r="14" spans="1:9" ht="14.25" customHeight="1" x14ac:dyDescent="0.3">
      <c r="A14" s="10" t="s">
        <v>94</v>
      </c>
      <c r="B14" s="10" t="s">
        <v>95</v>
      </c>
      <c r="C14" s="10">
        <v>1</v>
      </c>
      <c r="D14" s="13">
        <v>3.84</v>
      </c>
      <c r="E14" s="15">
        <v>1</v>
      </c>
      <c r="G14" s="74"/>
    </row>
    <row r="15" spans="1:9" ht="14.25" customHeight="1" x14ac:dyDescent="0.3">
      <c r="A15" s="10" t="s">
        <v>96</v>
      </c>
      <c r="B15" s="10" t="s">
        <v>97</v>
      </c>
      <c r="C15" s="10">
        <v>4</v>
      </c>
      <c r="D15" s="13">
        <v>3.62</v>
      </c>
      <c r="E15" s="15">
        <v>1</v>
      </c>
      <c r="G15" s="74"/>
    </row>
    <row r="16" spans="1:9" ht="14.25" customHeight="1" x14ac:dyDescent="0.3">
      <c r="A16" s="10" t="s">
        <v>98</v>
      </c>
      <c r="B16" s="10" t="s">
        <v>99</v>
      </c>
      <c r="C16" s="10">
        <v>4</v>
      </c>
      <c r="D16" s="13">
        <v>1.49</v>
      </c>
      <c r="E16" s="15">
        <v>1</v>
      </c>
      <c r="G16" s="74"/>
    </row>
    <row r="17" spans="1:7" ht="14.25" customHeight="1" x14ac:dyDescent="0.3">
      <c r="A17" s="10" t="s">
        <v>100</v>
      </c>
      <c r="B17" s="10" t="s">
        <v>101</v>
      </c>
      <c r="C17" s="10">
        <v>1</v>
      </c>
      <c r="D17" s="13">
        <v>4.4800000000000004</v>
      </c>
      <c r="E17" s="15">
        <v>1</v>
      </c>
      <c r="G17" s="74"/>
    </row>
    <row r="18" spans="1:7" ht="14.25" customHeight="1" x14ac:dyDescent="0.3">
      <c r="A18" s="10" t="s">
        <v>102</v>
      </c>
      <c r="B18" s="10" t="s">
        <v>103</v>
      </c>
      <c r="C18" s="10">
        <v>1</v>
      </c>
      <c r="D18" s="13">
        <v>181</v>
      </c>
      <c r="E18" s="15">
        <v>1</v>
      </c>
      <c r="G18" s="74"/>
    </row>
    <row r="19" spans="1:7" ht="14.25" customHeight="1" x14ac:dyDescent="0.3">
      <c r="A19" s="10" t="s">
        <v>104</v>
      </c>
      <c r="B19" s="10" t="s">
        <v>105</v>
      </c>
      <c r="C19" s="10">
        <v>1</v>
      </c>
      <c r="D19" s="13">
        <v>4500</v>
      </c>
      <c r="E19" s="15">
        <v>1</v>
      </c>
      <c r="G19" s="74"/>
    </row>
    <row r="20" spans="1:7" ht="14.25" customHeight="1" x14ac:dyDescent="0.3">
      <c r="A20" s="10" t="s">
        <v>260</v>
      </c>
      <c r="B20" s="10" t="s">
        <v>105</v>
      </c>
      <c r="C20" s="10">
        <v>1</v>
      </c>
      <c r="D20" s="13">
        <v>181</v>
      </c>
      <c r="E20" s="15">
        <v>1</v>
      </c>
      <c r="G20" s="74"/>
    </row>
    <row r="21" spans="1:7" ht="14.25" customHeight="1" x14ac:dyDescent="0.3">
      <c r="A21" s="10" t="s">
        <v>261</v>
      </c>
      <c r="B21" s="10" t="s">
        <v>105</v>
      </c>
      <c r="C21" s="10">
        <v>1</v>
      </c>
      <c r="D21" s="13">
        <v>1.49</v>
      </c>
      <c r="E21" s="15">
        <v>1</v>
      </c>
      <c r="G21" s="74"/>
    </row>
    <row r="22" spans="1:7" ht="14.25" customHeight="1" x14ac:dyDescent="0.3">
      <c r="A22" s="10" t="s">
        <v>262</v>
      </c>
      <c r="B22" s="10" t="s">
        <v>105</v>
      </c>
      <c r="C22" s="10">
        <v>1</v>
      </c>
      <c r="D22" s="13">
        <v>12.92</v>
      </c>
      <c r="E22" s="15">
        <v>1</v>
      </c>
      <c r="G22" s="74"/>
    </row>
    <row r="23" spans="1:7" ht="14.25" customHeight="1" x14ac:dyDescent="0.3">
      <c r="G23" s="74"/>
    </row>
    <row r="24" spans="1:7" ht="14.25" customHeight="1" x14ac:dyDescent="0.3"/>
    <row r="25" spans="1:7" ht="14.25" customHeight="1" x14ac:dyDescent="0.3"/>
    <row r="26" spans="1:7" ht="14.25" customHeight="1" x14ac:dyDescent="0.3"/>
    <row r="27" spans="1:7" ht="14.25" customHeight="1" x14ac:dyDescent="0.3"/>
    <row r="28" spans="1:7" ht="14.25" customHeight="1" x14ac:dyDescent="0.3"/>
    <row r="29" spans="1:7" ht="14.25" customHeight="1" x14ac:dyDescent="0.3"/>
    <row r="30" spans="1:7" ht="14.25" customHeight="1" x14ac:dyDescent="0.3"/>
    <row r="31" spans="1:7" ht="14.25" customHeight="1" x14ac:dyDescent="0.3"/>
    <row r="32" spans="1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00"/>
  <sheetViews>
    <sheetView topLeftCell="A4" workbookViewId="0">
      <selection activeCell="E37" sqref="E37"/>
    </sheetView>
  </sheetViews>
  <sheetFormatPr baseColWidth="10" defaultColWidth="12.6640625" defaultRowHeight="15" customHeight="1" x14ac:dyDescent="0.3"/>
  <cols>
    <col min="1" max="1" width="22" customWidth="1"/>
    <col min="2" max="2" width="10.6640625" customWidth="1"/>
    <col min="3" max="4" width="11.44140625" customWidth="1"/>
    <col min="5" max="5" width="10.6640625" customWidth="1"/>
    <col min="6" max="7" width="11.44140625" customWidth="1"/>
    <col min="8" max="8" width="10.6640625" customWidth="1"/>
    <col min="9" max="10" width="11.44140625" customWidth="1"/>
    <col min="11" max="13" width="10.6640625" customWidth="1"/>
    <col min="14" max="14" width="11.6640625" bestFit="1" customWidth="1"/>
    <col min="15" max="26" width="10.6640625" customWidth="1"/>
  </cols>
  <sheetData>
    <row r="1" spans="1:14" ht="14.25" customHeight="1" x14ac:dyDescent="0.3">
      <c r="A1" s="6" t="s">
        <v>136</v>
      </c>
      <c r="B1" s="6">
        <v>2025</v>
      </c>
      <c r="C1" s="6">
        <v>2025</v>
      </c>
      <c r="D1" s="6">
        <v>2026</v>
      </c>
      <c r="E1" s="6">
        <v>2027</v>
      </c>
      <c r="F1" s="6">
        <v>2028</v>
      </c>
      <c r="G1" s="6">
        <v>2029</v>
      </c>
      <c r="H1" s="6">
        <v>2030</v>
      </c>
      <c r="I1" s="6">
        <v>2031</v>
      </c>
      <c r="J1" s="6">
        <v>2032</v>
      </c>
      <c r="K1" s="6">
        <v>2033</v>
      </c>
      <c r="L1" s="6">
        <v>2034</v>
      </c>
    </row>
    <row r="2" spans="1:14" ht="14.25" customHeight="1" x14ac:dyDescent="0.3">
      <c r="A2" s="37" t="s">
        <v>137</v>
      </c>
      <c r="B2" s="38">
        <v>300000</v>
      </c>
      <c r="C2" s="38">
        <f t="shared" ref="C2:L2" si="0">B2</f>
        <v>300000</v>
      </c>
      <c r="D2" s="38">
        <f t="shared" si="0"/>
        <v>300000</v>
      </c>
      <c r="E2" s="38">
        <f t="shared" si="0"/>
        <v>300000</v>
      </c>
      <c r="F2" s="38">
        <f t="shared" si="0"/>
        <v>300000</v>
      </c>
      <c r="G2" s="38">
        <f t="shared" si="0"/>
        <v>300000</v>
      </c>
      <c r="H2" s="38">
        <f t="shared" si="0"/>
        <v>300000</v>
      </c>
      <c r="I2" s="38">
        <f t="shared" si="0"/>
        <v>300000</v>
      </c>
      <c r="J2" s="38">
        <f t="shared" si="0"/>
        <v>300000</v>
      </c>
      <c r="K2" s="38">
        <f t="shared" si="0"/>
        <v>300000</v>
      </c>
      <c r="L2" s="38">
        <f t="shared" si="0"/>
        <v>300000</v>
      </c>
    </row>
    <row r="3" spans="1:14" ht="14.25" customHeight="1" x14ac:dyDescent="0.3">
      <c r="A3" s="37" t="s">
        <v>138</v>
      </c>
      <c r="B3" s="38">
        <v>70000</v>
      </c>
      <c r="C3" s="38">
        <f t="shared" ref="C3:L3" si="1">B3</f>
        <v>70000</v>
      </c>
      <c r="D3" s="38">
        <f t="shared" si="1"/>
        <v>70000</v>
      </c>
      <c r="E3" s="38">
        <f t="shared" si="1"/>
        <v>70000</v>
      </c>
      <c r="F3" s="38">
        <f t="shared" si="1"/>
        <v>70000</v>
      </c>
      <c r="G3" s="38">
        <f t="shared" si="1"/>
        <v>70000</v>
      </c>
      <c r="H3" s="38">
        <f t="shared" si="1"/>
        <v>70000</v>
      </c>
      <c r="I3" s="38">
        <f t="shared" si="1"/>
        <v>70000</v>
      </c>
      <c r="J3" s="38">
        <f t="shared" si="1"/>
        <v>70000</v>
      </c>
      <c r="K3" s="38">
        <f t="shared" si="1"/>
        <v>70000</v>
      </c>
      <c r="L3" s="38">
        <f t="shared" si="1"/>
        <v>70000</v>
      </c>
    </row>
    <row r="4" spans="1:14" ht="14.25" customHeight="1" x14ac:dyDescent="0.3">
      <c r="A4" s="37" t="s">
        <v>143</v>
      </c>
      <c r="B4" s="38">
        <v>70000</v>
      </c>
      <c r="C4" s="38">
        <f t="shared" ref="C4:L4" si="2">B4</f>
        <v>70000</v>
      </c>
      <c r="D4" s="38">
        <f t="shared" si="2"/>
        <v>70000</v>
      </c>
      <c r="E4" s="38">
        <f t="shared" si="2"/>
        <v>70000</v>
      </c>
      <c r="F4" s="38">
        <f t="shared" si="2"/>
        <v>70000</v>
      </c>
      <c r="G4" s="38">
        <f t="shared" si="2"/>
        <v>70000</v>
      </c>
      <c r="H4" s="38">
        <f t="shared" si="2"/>
        <v>70000</v>
      </c>
      <c r="I4" s="38">
        <f t="shared" si="2"/>
        <v>70000</v>
      </c>
      <c r="J4" s="38">
        <f t="shared" si="2"/>
        <v>70000</v>
      </c>
      <c r="K4" s="38">
        <f t="shared" si="2"/>
        <v>70000</v>
      </c>
      <c r="L4" s="38">
        <f t="shared" si="2"/>
        <v>70000</v>
      </c>
    </row>
    <row r="5" spans="1:14" ht="14.25" customHeight="1" x14ac:dyDescent="0.3">
      <c r="A5" s="37" t="s">
        <v>156</v>
      </c>
      <c r="B5" s="38">
        <v>0</v>
      </c>
      <c r="C5" s="38">
        <f t="shared" ref="C5:L5" si="3">B5</f>
        <v>0</v>
      </c>
      <c r="D5" s="38">
        <f t="shared" si="3"/>
        <v>0</v>
      </c>
      <c r="E5" s="38">
        <f t="shared" si="3"/>
        <v>0</v>
      </c>
      <c r="F5" s="38">
        <f t="shared" si="3"/>
        <v>0</v>
      </c>
      <c r="G5" s="38">
        <f t="shared" si="3"/>
        <v>0</v>
      </c>
      <c r="H5" s="38">
        <f t="shared" si="3"/>
        <v>0</v>
      </c>
      <c r="I5" s="38">
        <f t="shared" si="3"/>
        <v>0</v>
      </c>
      <c r="J5" s="38">
        <f t="shared" si="3"/>
        <v>0</v>
      </c>
      <c r="K5" s="38">
        <f t="shared" si="3"/>
        <v>0</v>
      </c>
      <c r="L5" s="38">
        <f t="shared" si="3"/>
        <v>0</v>
      </c>
    </row>
    <row r="6" spans="1:14" ht="14.25" customHeight="1" x14ac:dyDescent="0.3">
      <c r="A6" s="37" t="s">
        <v>161</v>
      </c>
      <c r="B6" s="38">
        <v>400000</v>
      </c>
      <c r="C6" s="38">
        <f t="shared" ref="C6:L6" si="4">B6</f>
        <v>400000</v>
      </c>
      <c r="D6" s="38">
        <f t="shared" si="4"/>
        <v>400000</v>
      </c>
      <c r="E6" s="38">
        <f t="shared" si="4"/>
        <v>400000</v>
      </c>
      <c r="F6" s="38">
        <f t="shared" si="4"/>
        <v>400000</v>
      </c>
      <c r="G6" s="38">
        <f t="shared" si="4"/>
        <v>400000</v>
      </c>
      <c r="H6" s="38">
        <f t="shared" si="4"/>
        <v>400000</v>
      </c>
      <c r="I6" s="38">
        <f t="shared" si="4"/>
        <v>400000</v>
      </c>
      <c r="J6" s="38">
        <f t="shared" si="4"/>
        <v>400000</v>
      </c>
      <c r="K6" s="38">
        <f t="shared" si="4"/>
        <v>400000</v>
      </c>
      <c r="L6" s="38">
        <f t="shared" si="4"/>
        <v>400000</v>
      </c>
    </row>
    <row r="7" spans="1:14" ht="14.25" customHeight="1" x14ac:dyDescent="0.3">
      <c r="A7" s="37" t="s">
        <v>163</v>
      </c>
      <c r="B7" s="38">
        <v>600000</v>
      </c>
      <c r="C7" s="38">
        <f t="shared" ref="C7:L7" si="5">B7</f>
        <v>600000</v>
      </c>
      <c r="D7" s="38">
        <f t="shared" si="5"/>
        <v>600000</v>
      </c>
      <c r="E7" s="38">
        <f t="shared" si="5"/>
        <v>600000</v>
      </c>
      <c r="F7" s="38">
        <f t="shared" si="5"/>
        <v>600000</v>
      </c>
      <c r="G7" s="38">
        <f t="shared" si="5"/>
        <v>600000</v>
      </c>
      <c r="H7" s="38">
        <f t="shared" si="5"/>
        <v>600000</v>
      </c>
      <c r="I7" s="38">
        <f t="shared" si="5"/>
        <v>600000</v>
      </c>
      <c r="J7" s="38">
        <f t="shared" si="5"/>
        <v>600000</v>
      </c>
      <c r="K7" s="38">
        <f t="shared" si="5"/>
        <v>600000</v>
      </c>
      <c r="L7" s="38">
        <f t="shared" si="5"/>
        <v>600000</v>
      </c>
    </row>
    <row r="8" spans="1:14" ht="14.25" customHeight="1" x14ac:dyDescent="0.3">
      <c r="A8" s="37" t="s">
        <v>263</v>
      </c>
      <c r="B8" s="38">
        <v>600001</v>
      </c>
      <c r="C8" s="38">
        <f t="shared" ref="C8:C10" si="6">B8</f>
        <v>600001</v>
      </c>
      <c r="D8" s="38">
        <f t="shared" ref="D8:D10" si="7">C8</f>
        <v>600001</v>
      </c>
      <c r="E8" s="38">
        <f t="shared" ref="E8:E10" si="8">D8</f>
        <v>600001</v>
      </c>
      <c r="F8" s="38">
        <f t="shared" ref="F8:F10" si="9">E8</f>
        <v>600001</v>
      </c>
      <c r="G8" s="38">
        <f t="shared" ref="G8:G10" si="10">F8</f>
        <v>600001</v>
      </c>
      <c r="H8" s="38">
        <f t="shared" ref="H8:H10" si="11">G8</f>
        <v>600001</v>
      </c>
      <c r="I8" s="38">
        <f t="shared" ref="I8:I10" si="12">H8</f>
        <v>600001</v>
      </c>
      <c r="J8" s="38">
        <f t="shared" ref="J8:J10" si="13">I8</f>
        <v>600001</v>
      </c>
      <c r="K8" s="38">
        <f t="shared" ref="K8:K10" si="14">J8</f>
        <v>600001</v>
      </c>
      <c r="L8" s="38">
        <f t="shared" ref="L8:L10" si="15">K8</f>
        <v>600001</v>
      </c>
    </row>
    <row r="9" spans="1:14" ht="14.25" customHeight="1" x14ac:dyDescent="0.3">
      <c r="A9" s="37" t="s">
        <v>264</v>
      </c>
      <c r="B9" s="38">
        <v>400000</v>
      </c>
      <c r="C9" s="38">
        <f t="shared" si="6"/>
        <v>400000</v>
      </c>
      <c r="D9" s="38">
        <f t="shared" si="7"/>
        <v>400000</v>
      </c>
      <c r="E9" s="38">
        <f t="shared" si="8"/>
        <v>400000</v>
      </c>
      <c r="F9" s="38">
        <f t="shared" si="9"/>
        <v>400000</v>
      </c>
      <c r="G9" s="38">
        <f t="shared" si="10"/>
        <v>400000</v>
      </c>
      <c r="H9" s="38">
        <f t="shared" si="11"/>
        <v>400000</v>
      </c>
      <c r="I9" s="38">
        <f t="shared" si="12"/>
        <v>400000</v>
      </c>
      <c r="J9" s="38">
        <f t="shared" si="13"/>
        <v>400000</v>
      </c>
      <c r="K9" s="38">
        <f t="shared" si="14"/>
        <v>400000</v>
      </c>
      <c r="L9" s="38">
        <f t="shared" si="15"/>
        <v>400000</v>
      </c>
    </row>
    <row r="10" spans="1:14" ht="14.25" customHeight="1" x14ac:dyDescent="0.3">
      <c r="A10" s="37" t="s">
        <v>265</v>
      </c>
      <c r="B10" s="38">
        <v>400000</v>
      </c>
      <c r="C10" s="38">
        <f t="shared" si="6"/>
        <v>400000</v>
      </c>
      <c r="D10" s="38">
        <f t="shared" si="7"/>
        <v>400000</v>
      </c>
      <c r="E10" s="38">
        <f t="shared" si="8"/>
        <v>400000</v>
      </c>
      <c r="F10" s="38">
        <f t="shared" si="9"/>
        <v>400000</v>
      </c>
      <c r="G10" s="38">
        <f t="shared" si="10"/>
        <v>400000</v>
      </c>
      <c r="H10" s="38">
        <f t="shared" si="11"/>
        <v>400000</v>
      </c>
      <c r="I10" s="38">
        <f t="shared" si="12"/>
        <v>400000</v>
      </c>
      <c r="J10" s="38">
        <f t="shared" si="13"/>
        <v>400000</v>
      </c>
      <c r="K10" s="38">
        <f t="shared" si="14"/>
        <v>400000</v>
      </c>
      <c r="L10" s="38">
        <f t="shared" si="15"/>
        <v>400000</v>
      </c>
      <c r="N10" s="72"/>
    </row>
    <row r="11" spans="1:14" ht="14.25" customHeight="1" x14ac:dyDescent="0.3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</row>
    <row r="12" spans="1:14" ht="14.25" customHeight="1" x14ac:dyDescent="0.3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</row>
    <row r="13" spans="1:14" ht="14.25" customHeight="1" x14ac:dyDescent="0.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</row>
    <row r="14" spans="1:14" ht="14.25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</row>
    <row r="15" spans="1:14" ht="14.25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</row>
    <row r="16" spans="1:14" ht="14.25" customHeight="1" x14ac:dyDescent="0.3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</row>
    <row r="17" spans="1:12" ht="14.25" customHeight="1" x14ac:dyDescent="0.3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</row>
    <row r="18" spans="1:12" ht="14.25" customHeight="1" x14ac:dyDescent="0.3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</row>
    <row r="19" spans="1:12" ht="14.25" customHeight="1" x14ac:dyDescent="0.3"/>
    <row r="20" spans="1:12" ht="14.25" customHeight="1" x14ac:dyDescent="0.3">
      <c r="A20" s="52" t="s">
        <v>170</v>
      </c>
      <c r="B20" s="6">
        <v>2025</v>
      </c>
      <c r="C20" s="6">
        <v>2025</v>
      </c>
      <c r="D20" s="6">
        <v>2026</v>
      </c>
      <c r="E20" s="6">
        <v>2027</v>
      </c>
      <c r="F20" s="6">
        <v>2028</v>
      </c>
      <c r="G20" s="6">
        <v>2029</v>
      </c>
      <c r="H20" s="6">
        <v>2030</v>
      </c>
      <c r="I20" s="6">
        <v>2031</v>
      </c>
      <c r="J20" s="6">
        <v>2032</v>
      </c>
      <c r="K20" s="6">
        <v>2033</v>
      </c>
      <c r="L20" s="6">
        <v>2034</v>
      </c>
    </row>
    <row r="21" spans="1:12" ht="14.25" customHeight="1" x14ac:dyDescent="0.3">
      <c r="A21" s="66" t="s">
        <v>172</v>
      </c>
      <c r="B21" s="66">
        <v>5800000</v>
      </c>
      <c r="C21" s="66">
        <f t="shared" ref="C21:L24" si="16">B21</f>
        <v>5800000</v>
      </c>
      <c r="D21" s="66">
        <f t="shared" si="16"/>
        <v>5800000</v>
      </c>
      <c r="E21" s="66">
        <f t="shared" si="16"/>
        <v>5800000</v>
      </c>
      <c r="F21" s="66">
        <f t="shared" si="16"/>
        <v>5800000</v>
      </c>
      <c r="G21" s="66">
        <f t="shared" si="16"/>
        <v>5800000</v>
      </c>
      <c r="H21" s="66">
        <f t="shared" si="16"/>
        <v>5800000</v>
      </c>
      <c r="I21" s="66">
        <f t="shared" si="16"/>
        <v>5800000</v>
      </c>
      <c r="J21" s="66">
        <f t="shared" si="16"/>
        <v>5800000</v>
      </c>
      <c r="K21" s="66">
        <f t="shared" si="16"/>
        <v>5800000</v>
      </c>
      <c r="L21" s="66">
        <f t="shared" si="16"/>
        <v>5800000</v>
      </c>
    </row>
    <row r="22" spans="1:12" ht="14.25" customHeight="1" x14ac:dyDescent="0.3">
      <c r="A22" s="66" t="s">
        <v>175</v>
      </c>
      <c r="B22" s="66">
        <v>112000</v>
      </c>
      <c r="C22" s="66">
        <f t="shared" si="16"/>
        <v>112000</v>
      </c>
      <c r="D22" s="66">
        <f t="shared" si="16"/>
        <v>112000</v>
      </c>
      <c r="E22" s="66">
        <f t="shared" si="16"/>
        <v>112000</v>
      </c>
      <c r="F22" s="66">
        <f t="shared" si="16"/>
        <v>112000</v>
      </c>
      <c r="G22" s="66">
        <f t="shared" si="16"/>
        <v>112000</v>
      </c>
      <c r="H22" s="66">
        <f t="shared" si="16"/>
        <v>112000</v>
      </c>
      <c r="I22" s="66">
        <f t="shared" si="16"/>
        <v>112000</v>
      </c>
      <c r="J22" s="66">
        <f t="shared" si="16"/>
        <v>112000</v>
      </c>
      <c r="K22" s="66">
        <f t="shared" si="16"/>
        <v>112000</v>
      </c>
      <c r="L22" s="66">
        <f t="shared" si="16"/>
        <v>112000</v>
      </c>
    </row>
    <row r="23" spans="1:12" ht="14.25" customHeight="1" x14ac:dyDescent="0.3">
      <c r="A23" s="66" t="s">
        <v>177</v>
      </c>
      <c r="B23" s="66">
        <v>45000</v>
      </c>
      <c r="C23" s="66">
        <f t="shared" si="16"/>
        <v>45000</v>
      </c>
      <c r="D23" s="66">
        <f t="shared" si="16"/>
        <v>45000</v>
      </c>
      <c r="E23" s="66">
        <f t="shared" si="16"/>
        <v>45000</v>
      </c>
      <c r="F23" s="66">
        <f t="shared" si="16"/>
        <v>45000</v>
      </c>
      <c r="G23" s="66">
        <f t="shared" si="16"/>
        <v>45000</v>
      </c>
      <c r="H23" s="66">
        <f t="shared" si="16"/>
        <v>45000</v>
      </c>
      <c r="I23" s="66">
        <f t="shared" si="16"/>
        <v>45000</v>
      </c>
      <c r="J23" s="66">
        <f t="shared" si="16"/>
        <v>45000</v>
      </c>
      <c r="K23" s="66">
        <f t="shared" si="16"/>
        <v>45000</v>
      </c>
      <c r="L23" s="66">
        <f t="shared" si="16"/>
        <v>45000</v>
      </c>
    </row>
    <row r="24" spans="1:12" ht="14.25" customHeight="1" x14ac:dyDescent="0.3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</row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>
      <c r="A29" s="52" t="s">
        <v>182</v>
      </c>
      <c r="B29" s="6">
        <v>2025</v>
      </c>
      <c r="C29" s="6">
        <v>2025</v>
      </c>
      <c r="D29" s="6">
        <v>2026</v>
      </c>
      <c r="E29" s="6">
        <v>2027</v>
      </c>
      <c r="F29" s="6">
        <v>2028</v>
      </c>
      <c r="G29" s="6">
        <v>2029</v>
      </c>
      <c r="H29" s="6">
        <v>2030</v>
      </c>
      <c r="I29" s="6">
        <v>2031</v>
      </c>
      <c r="J29" s="6">
        <v>2032</v>
      </c>
      <c r="K29" s="6">
        <v>2033</v>
      </c>
      <c r="L29" s="6">
        <v>2034</v>
      </c>
    </row>
    <row r="30" spans="1:12" ht="14.25" customHeight="1" x14ac:dyDescent="0.3">
      <c r="A30" s="66" t="s">
        <v>183</v>
      </c>
      <c r="B30" s="66">
        <v>15500</v>
      </c>
      <c r="C30" s="66">
        <f t="shared" ref="C30:L36" si="17">B30</f>
        <v>15500</v>
      </c>
      <c r="D30" s="66">
        <f t="shared" si="17"/>
        <v>15500</v>
      </c>
      <c r="E30" s="66">
        <f t="shared" si="17"/>
        <v>15500</v>
      </c>
      <c r="F30" s="66">
        <f t="shared" si="17"/>
        <v>15500</v>
      </c>
      <c r="G30" s="66">
        <f t="shared" si="17"/>
        <v>15500</v>
      </c>
      <c r="H30" s="66">
        <f t="shared" si="17"/>
        <v>15500</v>
      </c>
      <c r="I30" s="66">
        <f t="shared" si="17"/>
        <v>15500</v>
      </c>
      <c r="J30" s="66">
        <f t="shared" si="17"/>
        <v>15500</v>
      </c>
      <c r="K30" s="66">
        <f t="shared" si="17"/>
        <v>15500</v>
      </c>
      <c r="L30" s="66">
        <f t="shared" si="17"/>
        <v>15500</v>
      </c>
    </row>
    <row r="31" spans="1:12" ht="14.25" customHeight="1" x14ac:dyDescent="0.3">
      <c r="A31" s="66" t="s">
        <v>183</v>
      </c>
      <c r="B31" s="66">
        <v>16500</v>
      </c>
      <c r="C31" s="66">
        <f t="shared" si="17"/>
        <v>16500</v>
      </c>
      <c r="D31" s="66">
        <f t="shared" si="17"/>
        <v>16500</v>
      </c>
      <c r="E31" s="66">
        <f t="shared" si="17"/>
        <v>16500</v>
      </c>
      <c r="F31" s="66">
        <f t="shared" si="17"/>
        <v>16500</v>
      </c>
      <c r="G31" s="66">
        <f t="shared" si="17"/>
        <v>16500</v>
      </c>
      <c r="H31" s="66">
        <f t="shared" si="17"/>
        <v>16500</v>
      </c>
      <c r="I31" s="66">
        <f t="shared" si="17"/>
        <v>16500</v>
      </c>
      <c r="J31" s="66">
        <f t="shared" si="17"/>
        <v>16500</v>
      </c>
      <c r="K31" s="66">
        <f t="shared" si="17"/>
        <v>16500</v>
      </c>
      <c r="L31" s="66">
        <f t="shared" si="17"/>
        <v>16500</v>
      </c>
    </row>
    <row r="32" spans="1:12" ht="14.25" customHeight="1" x14ac:dyDescent="0.3">
      <c r="A32" s="66" t="s">
        <v>183</v>
      </c>
      <c r="B32" s="66">
        <v>120000</v>
      </c>
      <c r="C32" s="66">
        <f t="shared" si="17"/>
        <v>120000</v>
      </c>
      <c r="D32" s="66">
        <f t="shared" si="17"/>
        <v>120000</v>
      </c>
      <c r="E32" s="66">
        <f t="shared" si="17"/>
        <v>120000</v>
      </c>
      <c r="F32" s="66">
        <f t="shared" si="17"/>
        <v>120000</v>
      </c>
      <c r="G32" s="66">
        <f t="shared" si="17"/>
        <v>120000</v>
      </c>
      <c r="H32" s="66">
        <f t="shared" si="17"/>
        <v>120000</v>
      </c>
      <c r="I32" s="66">
        <f t="shared" si="17"/>
        <v>120000</v>
      </c>
      <c r="J32" s="66">
        <f t="shared" si="17"/>
        <v>120000</v>
      </c>
      <c r="K32" s="66">
        <f t="shared" si="17"/>
        <v>120000</v>
      </c>
      <c r="L32" s="66">
        <f t="shared" si="17"/>
        <v>120000</v>
      </c>
    </row>
    <row r="33" spans="1:12" ht="14.25" customHeight="1" x14ac:dyDescent="0.3">
      <c r="A33" s="66" t="s">
        <v>183</v>
      </c>
      <c r="B33" s="66">
        <v>15400</v>
      </c>
      <c r="C33" s="66">
        <f t="shared" si="17"/>
        <v>15400</v>
      </c>
      <c r="D33" s="66">
        <f t="shared" si="17"/>
        <v>15400</v>
      </c>
      <c r="E33" s="66">
        <f t="shared" si="17"/>
        <v>15400</v>
      </c>
      <c r="F33" s="66">
        <f t="shared" si="17"/>
        <v>15400</v>
      </c>
      <c r="G33" s="66">
        <f t="shared" si="17"/>
        <v>15400</v>
      </c>
      <c r="H33" s="66">
        <f t="shared" si="17"/>
        <v>15400</v>
      </c>
      <c r="I33" s="66">
        <f t="shared" si="17"/>
        <v>15400</v>
      </c>
      <c r="J33" s="66">
        <f t="shared" si="17"/>
        <v>15400</v>
      </c>
      <c r="K33" s="66">
        <f t="shared" si="17"/>
        <v>15400</v>
      </c>
      <c r="L33" s="66">
        <f t="shared" si="17"/>
        <v>15400</v>
      </c>
    </row>
    <row r="34" spans="1:12" ht="14.25" customHeight="1" x14ac:dyDescent="0.3">
      <c r="A34" s="66" t="s">
        <v>183</v>
      </c>
      <c r="B34" s="66">
        <v>13450</v>
      </c>
      <c r="C34" s="66">
        <f t="shared" si="17"/>
        <v>13450</v>
      </c>
      <c r="D34" s="66">
        <f t="shared" si="17"/>
        <v>13450</v>
      </c>
      <c r="E34" s="66">
        <f t="shared" si="17"/>
        <v>13450</v>
      </c>
      <c r="F34" s="66">
        <f t="shared" si="17"/>
        <v>13450</v>
      </c>
      <c r="G34" s="66">
        <f t="shared" si="17"/>
        <v>13450</v>
      </c>
      <c r="H34" s="66">
        <f t="shared" si="17"/>
        <v>13450</v>
      </c>
      <c r="I34" s="66">
        <f t="shared" si="17"/>
        <v>13450</v>
      </c>
      <c r="J34" s="66">
        <f t="shared" si="17"/>
        <v>13450</v>
      </c>
      <c r="K34" s="66">
        <f t="shared" si="17"/>
        <v>13450</v>
      </c>
      <c r="L34" s="66">
        <f t="shared" si="17"/>
        <v>13450</v>
      </c>
    </row>
    <row r="35" spans="1:12" ht="14.25" customHeight="1" x14ac:dyDescent="0.3">
      <c r="A35" s="66" t="s">
        <v>183</v>
      </c>
      <c r="B35" s="66">
        <v>12500</v>
      </c>
      <c r="C35" s="66">
        <f>B35</f>
        <v>12500</v>
      </c>
      <c r="D35" s="66">
        <f>C35</f>
        <v>12500</v>
      </c>
      <c r="E35" s="66">
        <f>D35</f>
        <v>12500</v>
      </c>
      <c r="F35" s="66">
        <f>E35</f>
        <v>12500</v>
      </c>
      <c r="G35" s="66">
        <f>F35</f>
        <v>12500</v>
      </c>
      <c r="H35" s="66">
        <f>G35</f>
        <v>12500</v>
      </c>
      <c r="I35" s="66">
        <f>H35</f>
        <v>12500</v>
      </c>
      <c r="J35" s="66">
        <f>I35</f>
        <v>12500</v>
      </c>
      <c r="K35" s="66">
        <f>J35</f>
        <v>12500</v>
      </c>
      <c r="L35" s="66">
        <f>K35</f>
        <v>12500</v>
      </c>
    </row>
    <row r="36" spans="1:12" ht="14.25" customHeight="1" x14ac:dyDescent="0.3"/>
    <row r="37" spans="1:12" ht="14.25" customHeight="1" x14ac:dyDescent="0.3"/>
    <row r="38" spans="1:12" ht="14.25" customHeight="1" x14ac:dyDescent="0.3"/>
    <row r="39" spans="1:12" ht="14.25" customHeight="1" x14ac:dyDescent="0.3"/>
    <row r="40" spans="1:12" ht="14.25" customHeight="1" x14ac:dyDescent="0.3"/>
    <row r="41" spans="1:12" ht="14.25" customHeight="1" x14ac:dyDescent="0.3"/>
    <row r="42" spans="1:12" ht="14.25" customHeight="1" x14ac:dyDescent="0.3"/>
    <row r="43" spans="1:12" ht="14.25" customHeight="1" x14ac:dyDescent="0.3"/>
    <row r="44" spans="1:12" ht="14.25" customHeight="1" x14ac:dyDescent="0.3"/>
    <row r="45" spans="1:12" ht="14.25" customHeight="1" x14ac:dyDescent="0.3"/>
    <row r="46" spans="1:12" ht="14.25" customHeight="1" x14ac:dyDescent="0.3"/>
    <row r="47" spans="1:12" ht="14.25" customHeight="1" x14ac:dyDescent="0.3"/>
    <row r="48" spans="1:1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honeticPr fontId="11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7"/>
  <sheetViews>
    <sheetView topLeftCell="F1" workbookViewId="0">
      <selection activeCell="F18" sqref="F18"/>
    </sheetView>
  </sheetViews>
  <sheetFormatPr baseColWidth="10" defaultColWidth="12.6640625" defaultRowHeight="15" customHeight="1" x14ac:dyDescent="0.3"/>
  <cols>
    <col min="1" max="1" width="22.33203125" customWidth="1"/>
    <col min="2" max="2" width="16.6640625" customWidth="1"/>
    <col min="8" max="8" width="12.44140625" customWidth="1"/>
    <col min="9" max="9" width="16" customWidth="1"/>
    <col min="13" max="13" width="14.88671875" customWidth="1"/>
  </cols>
  <sheetData>
    <row r="1" spans="1:23" ht="15" customHeight="1" x14ac:dyDescent="0.3">
      <c r="A1" s="39" t="s">
        <v>139</v>
      </c>
      <c r="B1" s="39" t="s">
        <v>141</v>
      </c>
      <c r="C1" s="39" t="s">
        <v>142</v>
      </c>
      <c r="D1" s="39" t="s">
        <v>144</v>
      </c>
      <c r="E1" s="39" t="s">
        <v>146</v>
      </c>
      <c r="F1" s="39" t="s">
        <v>148</v>
      </c>
      <c r="G1" s="39" t="s">
        <v>150</v>
      </c>
      <c r="H1" s="39" t="s">
        <v>151</v>
      </c>
      <c r="I1" s="39" t="s">
        <v>153</v>
      </c>
      <c r="J1" s="39" t="s">
        <v>154</v>
      </c>
      <c r="K1" s="39" t="s">
        <v>155</v>
      </c>
      <c r="L1" s="39"/>
      <c r="M1" s="39" t="s">
        <v>158</v>
      </c>
      <c r="N1" s="39" t="s">
        <v>13</v>
      </c>
    </row>
    <row r="2" spans="1:23" ht="15" customHeight="1" x14ac:dyDescent="0.3">
      <c r="A2" s="39" t="s">
        <v>140</v>
      </c>
      <c r="B2" s="39" t="s">
        <v>160</v>
      </c>
      <c r="C2" s="42">
        <v>12000</v>
      </c>
      <c r="D2" s="43">
        <v>0.03</v>
      </c>
      <c r="E2" s="43">
        <v>0.2</v>
      </c>
      <c r="F2" s="43">
        <v>0.13</v>
      </c>
      <c r="G2" s="43"/>
      <c r="H2" s="61">
        <v>0.28846100000000002</v>
      </c>
      <c r="I2" s="43">
        <v>7.0000000000000007E-2</v>
      </c>
      <c r="J2" s="43">
        <v>0.02</v>
      </c>
      <c r="K2" s="43">
        <v>0.16</v>
      </c>
      <c r="L2" s="48">
        <f>SUM((D2*C2)+(E2*C2)+(F2*C2)+(G2*C2)+((C2/30)*H2)+(I2*C2)+(J2*C2))</f>
        <v>5515.3843999999999</v>
      </c>
      <c r="M2" s="48">
        <f t="shared" ref="M2:M26" si="0">(C2+L2)</f>
        <v>17515.384399999999</v>
      </c>
      <c r="N2" s="30">
        <v>23</v>
      </c>
      <c r="O2" s="62"/>
      <c r="P2" s="62"/>
      <c r="Q2" s="62"/>
      <c r="R2" s="62"/>
      <c r="S2" s="62"/>
      <c r="T2" s="62"/>
      <c r="U2" s="62"/>
      <c r="W2" s="62"/>
    </row>
    <row r="3" spans="1:23" ht="15" customHeight="1" x14ac:dyDescent="0.3">
      <c r="A3" s="39" t="s">
        <v>152</v>
      </c>
      <c r="B3" s="39" t="s">
        <v>160</v>
      </c>
      <c r="C3" s="42">
        <v>10000</v>
      </c>
      <c r="D3" s="43">
        <v>0.03</v>
      </c>
      <c r="E3" s="43">
        <v>0.2</v>
      </c>
      <c r="F3" s="43">
        <v>0.13</v>
      </c>
      <c r="G3" s="50"/>
      <c r="H3" s="51">
        <v>0.28846100000000002</v>
      </c>
      <c r="I3" s="43">
        <v>7.0000000000000007E-2</v>
      </c>
      <c r="J3" s="43">
        <v>0.02</v>
      </c>
      <c r="K3" s="43">
        <v>0.11</v>
      </c>
      <c r="L3" s="48">
        <f t="shared" ref="L3:L26" si="1">SUM((D3*C3)+(E3*C3)+(F3*C3)+(G3*C3)+((C3/30)*H3)+(I3*C3)+(J3*C3))</f>
        <v>4596.153666666667</v>
      </c>
      <c r="M3" s="48">
        <f t="shared" si="0"/>
        <v>14596.153666666667</v>
      </c>
      <c r="N3" s="30">
        <v>2</v>
      </c>
      <c r="S3" s="62"/>
    </row>
    <row r="4" spans="1:23" ht="15" customHeight="1" x14ac:dyDescent="0.3">
      <c r="A4" s="39" t="s">
        <v>157</v>
      </c>
      <c r="B4" s="39" t="s">
        <v>160</v>
      </c>
      <c r="C4" s="42">
        <v>15000</v>
      </c>
      <c r="D4" s="43">
        <v>0.03</v>
      </c>
      <c r="E4" s="43">
        <v>0.2</v>
      </c>
      <c r="F4" s="43">
        <v>0.13</v>
      </c>
      <c r="G4" s="50"/>
      <c r="H4" s="51">
        <v>0.28846100000000002</v>
      </c>
      <c r="I4" s="43">
        <v>7.0000000000000007E-2</v>
      </c>
      <c r="J4" s="43">
        <v>0.02</v>
      </c>
      <c r="K4" s="43">
        <v>0.18</v>
      </c>
      <c r="L4" s="48">
        <f t="shared" si="1"/>
        <v>6894.2304999999997</v>
      </c>
      <c r="M4" s="48">
        <f t="shared" si="0"/>
        <v>21894.230499999998</v>
      </c>
      <c r="N4" s="30">
        <v>1</v>
      </c>
    </row>
    <row r="5" spans="1:23" ht="15" customHeight="1" x14ac:dyDescent="0.3">
      <c r="A5" s="39" t="s">
        <v>164</v>
      </c>
      <c r="B5" s="39" t="s">
        <v>160</v>
      </c>
      <c r="C5" s="42">
        <v>15000</v>
      </c>
      <c r="D5" s="43">
        <v>0.03</v>
      </c>
      <c r="E5" s="43">
        <v>0.2</v>
      </c>
      <c r="F5" s="43">
        <v>0.13</v>
      </c>
      <c r="G5" s="50"/>
      <c r="H5" s="51">
        <v>0.28846100000000002</v>
      </c>
      <c r="I5" s="43">
        <v>7.0000000000000007E-2</v>
      </c>
      <c r="J5" s="43">
        <v>0.02</v>
      </c>
      <c r="K5" s="43">
        <v>0.18</v>
      </c>
      <c r="L5" s="48">
        <f t="shared" si="1"/>
        <v>6894.2304999999997</v>
      </c>
      <c r="M5" s="48">
        <f t="shared" si="0"/>
        <v>21894.230499999998</v>
      </c>
      <c r="N5" s="30">
        <v>1</v>
      </c>
    </row>
    <row r="6" spans="1:23" ht="15" customHeight="1" x14ac:dyDescent="0.3">
      <c r="A6" s="39" t="s">
        <v>165</v>
      </c>
      <c r="B6" s="39" t="s">
        <v>160</v>
      </c>
      <c r="C6" s="42">
        <v>15000</v>
      </c>
      <c r="D6" s="43">
        <v>0.03</v>
      </c>
      <c r="E6" s="43">
        <v>0.2</v>
      </c>
      <c r="F6" s="43">
        <v>0.13</v>
      </c>
      <c r="G6" s="50"/>
      <c r="H6" s="51">
        <v>0.28846100000000002</v>
      </c>
      <c r="I6" s="43">
        <v>7.0000000000000007E-2</v>
      </c>
      <c r="J6" s="43">
        <v>0.02</v>
      </c>
      <c r="K6" s="43">
        <v>0.18</v>
      </c>
      <c r="L6" s="48">
        <f t="shared" si="1"/>
        <v>6894.2304999999997</v>
      </c>
      <c r="M6" s="48">
        <f t="shared" si="0"/>
        <v>21894.230499999998</v>
      </c>
      <c r="N6" s="30">
        <v>2</v>
      </c>
    </row>
    <row r="7" spans="1:23" ht="15" customHeight="1" x14ac:dyDescent="0.3">
      <c r="A7" s="39" t="s">
        <v>167</v>
      </c>
      <c r="B7" s="39" t="s">
        <v>160</v>
      </c>
      <c r="C7" s="42">
        <v>16500</v>
      </c>
      <c r="D7" s="43">
        <v>0.03</v>
      </c>
      <c r="E7" s="43">
        <v>0.2</v>
      </c>
      <c r="F7" s="43">
        <v>0.13</v>
      </c>
      <c r="G7" s="50"/>
      <c r="H7" s="51">
        <v>0.28846100000000002</v>
      </c>
      <c r="I7" s="43">
        <v>7.0000000000000007E-2</v>
      </c>
      <c r="J7" s="43">
        <v>0.02</v>
      </c>
      <c r="K7" s="43">
        <v>0.21</v>
      </c>
      <c r="L7" s="48">
        <f t="shared" si="1"/>
        <v>7583.65355</v>
      </c>
      <c r="M7" s="48">
        <f t="shared" si="0"/>
        <v>24083.653549999999</v>
      </c>
      <c r="N7" s="30">
        <v>1</v>
      </c>
    </row>
    <row r="8" spans="1:23" ht="15" customHeight="1" x14ac:dyDescent="0.3">
      <c r="A8" s="39" t="s">
        <v>168</v>
      </c>
      <c r="B8" s="39" t="s">
        <v>160</v>
      </c>
      <c r="C8" s="42">
        <v>16500</v>
      </c>
      <c r="D8" s="43">
        <v>0.03</v>
      </c>
      <c r="E8" s="43">
        <v>0.2</v>
      </c>
      <c r="F8" s="43">
        <v>0.13</v>
      </c>
      <c r="G8" s="50"/>
      <c r="H8" s="51">
        <v>0.28846100000000002</v>
      </c>
      <c r="I8" s="43">
        <v>7.0000000000000007E-2</v>
      </c>
      <c r="J8" s="43">
        <v>0.02</v>
      </c>
      <c r="K8" s="43">
        <v>0.21</v>
      </c>
      <c r="L8" s="48">
        <f t="shared" si="1"/>
        <v>7583.65355</v>
      </c>
      <c r="M8" s="48">
        <f t="shared" si="0"/>
        <v>24083.653549999999</v>
      </c>
      <c r="N8" s="30">
        <v>1</v>
      </c>
    </row>
    <row r="9" spans="1:23" ht="15" customHeight="1" x14ac:dyDescent="0.3">
      <c r="A9" s="39" t="s">
        <v>169</v>
      </c>
      <c r="B9" s="39" t="s">
        <v>160</v>
      </c>
      <c r="C9" s="42">
        <v>16500</v>
      </c>
      <c r="D9" s="43">
        <v>0.03</v>
      </c>
      <c r="E9" s="43">
        <v>0.2</v>
      </c>
      <c r="F9" s="43">
        <v>0.13</v>
      </c>
      <c r="G9" s="50"/>
      <c r="H9" s="51">
        <v>0.28846100000000002</v>
      </c>
      <c r="I9" s="43">
        <v>7.0000000000000007E-2</v>
      </c>
      <c r="J9" s="43">
        <v>0.02</v>
      </c>
      <c r="K9" s="43">
        <v>0.21</v>
      </c>
      <c r="L9" s="48">
        <f t="shared" si="1"/>
        <v>7583.65355</v>
      </c>
      <c r="M9" s="48">
        <f t="shared" si="0"/>
        <v>24083.653549999999</v>
      </c>
      <c r="N9" s="30">
        <v>1</v>
      </c>
    </row>
    <row r="10" spans="1:23" ht="15" customHeight="1" x14ac:dyDescent="0.3">
      <c r="A10" s="39" t="s">
        <v>171</v>
      </c>
      <c r="B10" s="39" t="s">
        <v>160</v>
      </c>
      <c r="C10" s="42">
        <v>21000</v>
      </c>
      <c r="D10" s="43">
        <v>0.03</v>
      </c>
      <c r="E10" s="43">
        <v>0.2</v>
      </c>
      <c r="F10" s="43">
        <v>0.13</v>
      </c>
      <c r="G10" s="50"/>
      <c r="H10" s="51">
        <v>0.28846100000000002</v>
      </c>
      <c r="I10" s="43">
        <v>7.0000000000000007E-2</v>
      </c>
      <c r="J10" s="43">
        <v>0.02</v>
      </c>
      <c r="K10" s="43">
        <v>0.21</v>
      </c>
      <c r="L10" s="48">
        <f t="shared" si="1"/>
        <v>9651.922700000001</v>
      </c>
      <c r="M10" s="48">
        <f t="shared" si="0"/>
        <v>30651.922700000003</v>
      </c>
      <c r="N10" s="30">
        <v>1</v>
      </c>
    </row>
    <row r="11" spans="1:23" ht="15" customHeight="1" x14ac:dyDescent="0.3">
      <c r="A11" s="39" t="s">
        <v>173</v>
      </c>
      <c r="B11" s="39" t="s">
        <v>160</v>
      </c>
      <c r="C11" s="42">
        <v>21000</v>
      </c>
      <c r="D11" s="43">
        <v>0.03</v>
      </c>
      <c r="E11" s="43">
        <v>0.2</v>
      </c>
      <c r="F11" s="43">
        <v>0.13</v>
      </c>
      <c r="G11" s="50"/>
      <c r="H11" s="51">
        <v>0.28846100000000002</v>
      </c>
      <c r="I11" s="43">
        <v>7.0000000000000007E-2</v>
      </c>
      <c r="J11" s="43">
        <v>0.02</v>
      </c>
      <c r="K11" s="43">
        <v>0.21</v>
      </c>
      <c r="L11" s="48">
        <f t="shared" si="1"/>
        <v>9651.922700000001</v>
      </c>
      <c r="M11" s="48">
        <f t="shared" si="0"/>
        <v>30651.922700000003</v>
      </c>
      <c r="N11" s="30">
        <v>1</v>
      </c>
    </row>
    <row r="12" spans="1:23" ht="15" customHeight="1" x14ac:dyDescent="0.3">
      <c r="A12" s="39" t="s">
        <v>174</v>
      </c>
      <c r="B12" s="39" t="s">
        <v>160</v>
      </c>
      <c r="C12" s="42">
        <v>16500</v>
      </c>
      <c r="D12" s="43">
        <v>0.03</v>
      </c>
      <c r="E12" s="43">
        <v>0.2</v>
      </c>
      <c r="F12" s="43">
        <v>0.13</v>
      </c>
      <c r="G12" s="50"/>
      <c r="H12" s="51">
        <v>0.28846100000000002</v>
      </c>
      <c r="I12" s="43">
        <v>7.0000000000000007E-2</v>
      </c>
      <c r="J12" s="43">
        <v>0.02</v>
      </c>
      <c r="K12" s="43">
        <v>0.21</v>
      </c>
      <c r="L12" s="48">
        <f t="shared" si="1"/>
        <v>7583.65355</v>
      </c>
      <c r="M12" s="48">
        <f t="shared" si="0"/>
        <v>24083.653549999999</v>
      </c>
      <c r="N12" s="30">
        <v>1</v>
      </c>
    </row>
    <row r="13" spans="1:23" ht="15" customHeight="1" x14ac:dyDescent="0.3">
      <c r="A13" s="39" t="s">
        <v>176</v>
      </c>
      <c r="B13" s="39" t="s">
        <v>160</v>
      </c>
      <c r="C13" s="42">
        <v>21000</v>
      </c>
      <c r="D13" s="43">
        <v>0.03</v>
      </c>
      <c r="E13" s="43">
        <v>0.2</v>
      </c>
      <c r="F13" s="43">
        <v>0.13</v>
      </c>
      <c r="G13" s="50"/>
      <c r="H13" s="51">
        <v>0.28846100000000002</v>
      </c>
      <c r="I13" s="43">
        <v>7.0000000000000007E-2</v>
      </c>
      <c r="J13" s="43">
        <v>0.02</v>
      </c>
      <c r="K13" s="43">
        <v>0.21</v>
      </c>
      <c r="L13" s="48">
        <f t="shared" si="1"/>
        <v>9651.922700000001</v>
      </c>
      <c r="M13" s="48">
        <f t="shared" si="0"/>
        <v>30651.922700000003</v>
      </c>
      <c r="N13" s="30">
        <v>1</v>
      </c>
    </row>
    <row r="14" spans="1:23" ht="15" customHeight="1" x14ac:dyDescent="0.3">
      <c r="A14" s="39" t="s">
        <v>178</v>
      </c>
      <c r="B14" s="39" t="s">
        <v>160</v>
      </c>
      <c r="C14" s="42">
        <v>35000</v>
      </c>
      <c r="D14" s="43">
        <v>0.03</v>
      </c>
      <c r="E14" s="43">
        <v>0.2</v>
      </c>
      <c r="F14" s="43">
        <v>0.13</v>
      </c>
      <c r="G14" s="50"/>
      <c r="H14" s="51">
        <v>0.28846100000000002</v>
      </c>
      <c r="I14" s="43">
        <v>7.0000000000000007E-2</v>
      </c>
      <c r="J14" s="43">
        <v>0.02</v>
      </c>
      <c r="K14" s="43">
        <v>0.24</v>
      </c>
      <c r="L14" s="48">
        <f t="shared" si="1"/>
        <v>16086.537833333334</v>
      </c>
      <c r="M14" s="48">
        <f t="shared" si="0"/>
        <v>51086.537833333336</v>
      </c>
      <c r="N14" s="30">
        <v>1</v>
      </c>
    </row>
    <row r="15" spans="1:23" ht="15" customHeight="1" x14ac:dyDescent="0.3">
      <c r="A15" s="39" t="s">
        <v>179</v>
      </c>
      <c r="B15" s="39" t="s">
        <v>180</v>
      </c>
      <c r="C15" s="42">
        <v>21000</v>
      </c>
      <c r="D15" s="43">
        <v>0.03</v>
      </c>
      <c r="E15" s="43">
        <v>0.2</v>
      </c>
      <c r="F15" s="43">
        <v>0.13</v>
      </c>
      <c r="G15" s="50"/>
      <c r="H15" s="51">
        <v>0.28846100000000002</v>
      </c>
      <c r="I15" s="43">
        <v>7.0000000000000007E-2</v>
      </c>
      <c r="J15" s="43">
        <v>0.02</v>
      </c>
      <c r="K15" s="43">
        <v>0.16</v>
      </c>
      <c r="L15" s="48">
        <f t="shared" si="1"/>
        <v>9651.922700000001</v>
      </c>
      <c r="M15" s="48">
        <f t="shared" si="0"/>
        <v>30651.922700000003</v>
      </c>
      <c r="N15" s="30">
        <v>2</v>
      </c>
    </row>
    <row r="16" spans="1:23" ht="15" customHeight="1" x14ac:dyDescent="0.3">
      <c r="A16" s="39" t="s">
        <v>181</v>
      </c>
      <c r="B16" s="39" t="s">
        <v>180</v>
      </c>
      <c r="C16" s="42">
        <v>25000</v>
      </c>
      <c r="D16" s="43">
        <v>0.03</v>
      </c>
      <c r="E16" s="43">
        <v>0.2</v>
      </c>
      <c r="F16" s="43">
        <v>0.13</v>
      </c>
      <c r="G16" s="50"/>
      <c r="H16" s="51">
        <v>0.28846100000000002</v>
      </c>
      <c r="I16" s="43">
        <v>7.0000000000000007E-2</v>
      </c>
      <c r="J16" s="43">
        <v>0.02</v>
      </c>
      <c r="K16" s="43">
        <v>0.16</v>
      </c>
      <c r="L16" s="48">
        <f t="shared" si="1"/>
        <v>11490.384166666667</v>
      </c>
      <c r="M16" s="48">
        <f t="shared" si="0"/>
        <v>36490.38416666667</v>
      </c>
      <c r="N16" s="30">
        <v>2</v>
      </c>
    </row>
    <row r="17" spans="1:14" ht="15" customHeight="1" x14ac:dyDescent="0.3">
      <c r="A17" s="39" t="s">
        <v>184</v>
      </c>
      <c r="B17" s="39" t="s">
        <v>180</v>
      </c>
      <c r="C17" s="42">
        <v>21000</v>
      </c>
      <c r="D17" s="43">
        <v>0.03</v>
      </c>
      <c r="E17" s="43">
        <v>0.2</v>
      </c>
      <c r="F17" s="43">
        <v>0.13</v>
      </c>
      <c r="G17" s="50"/>
      <c r="H17" s="51">
        <v>0.28846100000000002</v>
      </c>
      <c r="I17" s="43">
        <v>7.0000000000000007E-2</v>
      </c>
      <c r="J17" s="43">
        <v>0.02</v>
      </c>
      <c r="K17" s="43">
        <v>0.16</v>
      </c>
      <c r="L17" s="48">
        <f t="shared" si="1"/>
        <v>9651.922700000001</v>
      </c>
      <c r="M17" s="48">
        <f t="shared" si="0"/>
        <v>30651.922700000003</v>
      </c>
      <c r="N17" s="30">
        <v>3</v>
      </c>
    </row>
    <row r="18" spans="1:14" ht="15" customHeight="1" x14ac:dyDescent="0.3">
      <c r="A18" s="39" t="s">
        <v>185</v>
      </c>
      <c r="B18" s="39" t="s">
        <v>180</v>
      </c>
      <c r="C18" s="42">
        <v>21000</v>
      </c>
      <c r="D18" s="43">
        <v>0.03</v>
      </c>
      <c r="E18" s="43">
        <v>0.2</v>
      </c>
      <c r="F18" s="43">
        <v>0.13</v>
      </c>
      <c r="G18" s="50"/>
      <c r="H18" s="51">
        <v>0.28846100000000002</v>
      </c>
      <c r="I18" s="43">
        <v>7.0000000000000007E-2</v>
      </c>
      <c r="J18" s="43">
        <v>0.02</v>
      </c>
      <c r="K18" s="43">
        <v>0.16</v>
      </c>
      <c r="L18" s="48">
        <f t="shared" si="1"/>
        <v>9651.922700000001</v>
      </c>
      <c r="M18" s="48">
        <f t="shared" si="0"/>
        <v>30651.922700000003</v>
      </c>
      <c r="N18" s="30">
        <v>2</v>
      </c>
    </row>
    <row r="19" spans="1:14" ht="15" customHeight="1" x14ac:dyDescent="0.3">
      <c r="A19" s="39" t="s">
        <v>186</v>
      </c>
      <c r="B19" s="39" t="s">
        <v>180</v>
      </c>
      <c r="C19" s="42">
        <v>18000</v>
      </c>
      <c r="D19" s="43">
        <v>0.03</v>
      </c>
      <c r="E19" s="43">
        <v>0.2</v>
      </c>
      <c r="F19" s="43">
        <v>0.13</v>
      </c>
      <c r="G19" s="50"/>
      <c r="H19" s="51">
        <v>0.28846100000000002</v>
      </c>
      <c r="I19" s="43">
        <v>7.0000000000000007E-2</v>
      </c>
      <c r="J19" s="43">
        <v>0.02</v>
      </c>
      <c r="K19" s="43">
        <v>0.16</v>
      </c>
      <c r="L19" s="48">
        <f t="shared" si="1"/>
        <v>8273.0766000000003</v>
      </c>
      <c r="M19" s="48">
        <f t="shared" si="0"/>
        <v>26273.0766</v>
      </c>
      <c r="N19" s="30">
        <v>1</v>
      </c>
    </row>
    <row r="20" spans="1:14" ht="15" customHeight="1" x14ac:dyDescent="0.3">
      <c r="A20" s="39" t="s">
        <v>187</v>
      </c>
      <c r="B20" s="39" t="s">
        <v>180</v>
      </c>
      <c r="C20" s="42">
        <v>25000</v>
      </c>
      <c r="D20" s="43">
        <v>0.03</v>
      </c>
      <c r="E20" s="43">
        <v>0.2</v>
      </c>
      <c r="F20" s="43">
        <v>0.13</v>
      </c>
      <c r="G20" s="50"/>
      <c r="H20" s="51">
        <v>0.28846100000000002</v>
      </c>
      <c r="I20" s="43">
        <v>7.0000000000000007E-2</v>
      </c>
      <c r="J20" s="43">
        <v>0.02</v>
      </c>
      <c r="K20" s="43">
        <v>0.16</v>
      </c>
      <c r="L20" s="48">
        <f t="shared" si="1"/>
        <v>11490.384166666667</v>
      </c>
      <c r="M20" s="48">
        <f t="shared" si="0"/>
        <v>36490.38416666667</v>
      </c>
      <c r="N20" s="30">
        <v>1</v>
      </c>
    </row>
    <row r="21" spans="1:14" ht="15" customHeight="1" x14ac:dyDescent="0.3">
      <c r="A21" s="39" t="s">
        <v>188</v>
      </c>
      <c r="B21" s="39" t="s">
        <v>180</v>
      </c>
      <c r="C21" s="42">
        <v>25000</v>
      </c>
      <c r="D21" s="43">
        <v>0.03</v>
      </c>
      <c r="E21" s="43">
        <v>0.2</v>
      </c>
      <c r="F21" s="43">
        <v>0.13</v>
      </c>
      <c r="G21" s="50"/>
      <c r="H21" s="51">
        <v>0.28846100000000002</v>
      </c>
      <c r="I21" s="43">
        <v>7.0000000000000007E-2</v>
      </c>
      <c r="J21" s="43">
        <v>0.02</v>
      </c>
      <c r="K21" s="43">
        <v>0.16</v>
      </c>
      <c r="L21" s="48">
        <f t="shared" si="1"/>
        <v>11490.384166666667</v>
      </c>
      <c r="M21" s="48">
        <f t="shared" si="0"/>
        <v>36490.38416666667</v>
      </c>
      <c r="N21" s="30">
        <v>1</v>
      </c>
    </row>
    <row r="22" spans="1:14" ht="15" customHeight="1" x14ac:dyDescent="0.3">
      <c r="A22" s="39" t="s">
        <v>189</v>
      </c>
      <c r="B22" s="39" t="s">
        <v>180</v>
      </c>
      <c r="C22" s="42">
        <v>35000</v>
      </c>
      <c r="D22" s="43">
        <v>0.03</v>
      </c>
      <c r="E22" s="43">
        <v>0.2</v>
      </c>
      <c r="F22" s="43">
        <v>0.13</v>
      </c>
      <c r="G22" s="50"/>
      <c r="H22" s="51">
        <v>0.28846100000000002</v>
      </c>
      <c r="I22" s="43">
        <v>7.0000000000000007E-2</v>
      </c>
      <c r="J22" s="43">
        <v>0.02</v>
      </c>
      <c r="K22" s="43">
        <v>0.16</v>
      </c>
      <c r="L22" s="48">
        <f t="shared" si="1"/>
        <v>16086.537833333334</v>
      </c>
      <c r="M22" s="48">
        <f t="shared" si="0"/>
        <v>51086.537833333336</v>
      </c>
      <c r="N22" s="30">
        <v>1</v>
      </c>
    </row>
    <row r="23" spans="1:14" ht="15" customHeight="1" x14ac:dyDescent="0.3">
      <c r="A23" s="39" t="s">
        <v>190</v>
      </c>
      <c r="B23" s="39" t="s">
        <v>180</v>
      </c>
      <c r="C23" s="42">
        <v>50000</v>
      </c>
      <c r="D23" s="43">
        <v>0.03</v>
      </c>
      <c r="E23" s="43">
        <v>0.2</v>
      </c>
      <c r="F23" s="43">
        <v>0.13</v>
      </c>
      <c r="G23" s="50"/>
      <c r="H23" s="51">
        <v>0.28846100000000002</v>
      </c>
      <c r="I23" s="43">
        <v>7.0000000000000007E-2</v>
      </c>
      <c r="J23" s="43">
        <v>0.02</v>
      </c>
      <c r="K23" s="43">
        <v>0.16</v>
      </c>
      <c r="L23" s="48">
        <f t="shared" si="1"/>
        <v>22980.768333333333</v>
      </c>
      <c r="M23" s="48">
        <f t="shared" si="0"/>
        <v>72980.768333333341</v>
      </c>
      <c r="N23" s="30">
        <v>1</v>
      </c>
    </row>
    <row r="24" spans="1:14" ht="15" customHeight="1" x14ac:dyDescent="0.3">
      <c r="A24" s="39" t="s">
        <v>191</v>
      </c>
      <c r="B24" s="39" t="s">
        <v>180</v>
      </c>
      <c r="C24" s="42">
        <v>10000</v>
      </c>
      <c r="D24" s="43">
        <v>0.03</v>
      </c>
      <c r="E24" s="43">
        <v>0.2</v>
      </c>
      <c r="F24" s="43">
        <v>0.13</v>
      </c>
      <c r="G24" s="50"/>
      <c r="H24" s="51">
        <v>0.28846100000000002</v>
      </c>
      <c r="I24" s="43">
        <v>7.0000000000000007E-2</v>
      </c>
      <c r="J24" s="43">
        <v>0.02</v>
      </c>
      <c r="K24" s="43">
        <v>0.16</v>
      </c>
      <c r="L24" s="48">
        <f t="shared" si="1"/>
        <v>4596.153666666667</v>
      </c>
      <c r="M24" s="48">
        <f t="shared" si="0"/>
        <v>14596.153666666667</v>
      </c>
      <c r="N24" s="30">
        <v>5</v>
      </c>
    </row>
    <row r="25" spans="1:14" ht="15" customHeight="1" x14ac:dyDescent="0.3">
      <c r="A25" s="39" t="s">
        <v>192</v>
      </c>
      <c r="B25" s="39" t="s">
        <v>180</v>
      </c>
      <c r="C25" s="42">
        <v>10000</v>
      </c>
      <c r="D25" s="43">
        <v>0.03</v>
      </c>
      <c r="E25" s="43">
        <v>0.2</v>
      </c>
      <c r="F25" s="43">
        <v>0.13</v>
      </c>
      <c r="G25" s="50"/>
      <c r="H25" s="51">
        <v>0.28846100000000002</v>
      </c>
      <c r="I25" s="43">
        <v>7.0000000000000007E-2</v>
      </c>
      <c r="J25" s="43">
        <v>0.02</v>
      </c>
      <c r="K25" s="43">
        <v>0.16</v>
      </c>
      <c r="L25" s="48">
        <f t="shared" si="1"/>
        <v>4596.153666666667</v>
      </c>
      <c r="M25" s="48">
        <f t="shared" si="0"/>
        <v>14596.153666666667</v>
      </c>
      <c r="N25" s="30">
        <v>3</v>
      </c>
    </row>
    <row r="26" spans="1:14" ht="15" customHeight="1" x14ac:dyDescent="0.3">
      <c r="A26" s="39" t="s">
        <v>193</v>
      </c>
      <c r="B26" s="39" t="s">
        <v>180</v>
      </c>
      <c r="C26" s="53">
        <v>15000</v>
      </c>
      <c r="D26" s="43">
        <v>0.03</v>
      </c>
      <c r="E26" s="43">
        <v>0.2</v>
      </c>
      <c r="F26" s="43">
        <v>0.13</v>
      </c>
      <c r="G26" s="50"/>
      <c r="H26" s="51">
        <v>0.28846100000000002</v>
      </c>
      <c r="I26" s="43">
        <v>7.0000000000000007E-2</v>
      </c>
      <c r="J26" s="43">
        <v>0.02</v>
      </c>
      <c r="K26" s="43">
        <v>0.16</v>
      </c>
      <c r="L26" s="48">
        <f t="shared" si="1"/>
        <v>6894.2304999999997</v>
      </c>
      <c r="M26" s="48">
        <f t="shared" si="0"/>
        <v>21894.230499999998</v>
      </c>
      <c r="N26" s="30">
        <v>1</v>
      </c>
    </row>
    <row r="27" spans="1:14" ht="15" customHeight="1" x14ac:dyDescent="0.3">
      <c r="F27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00"/>
  <sheetViews>
    <sheetView topLeftCell="A44" workbookViewId="0"/>
  </sheetViews>
  <sheetFormatPr baseColWidth="10" defaultColWidth="12.6640625" defaultRowHeight="15" customHeight="1" x14ac:dyDescent="0.3"/>
  <cols>
    <col min="1" max="1" width="17.44140625" customWidth="1"/>
    <col min="2" max="5" width="10.6640625" customWidth="1"/>
    <col min="6" max="6" width="15.88671875" customWidth="1"/>
    <col min="7" max="7" width="15.109375" customWidth="1"/>
    <col min="8" max="26" width="10.6640625" customWidth="1"/>
  </cols>
  <sheetData>
    <row r="1" spans="1:16" ht="14.25" customHeight="1" x14ac:dyDescent="0.3">
      <c r="A1" s="40" t="s">
        <v>140</v>
      </c>
      <c r="B1" s="40" t="s">
        <v>145</v>
      </c>
      <c r="C1" s="40" t="s">
        <v>147</v>
      </c>
      <c r="D1" s="41" t="s">
        <v>149</v>
      </c>
      <c r="E1" s="40" t="s">
        <v>152</v>
      </c>
      <c r="F1" s="40" t="s">
        <v>145</v>
      </c>
      <c r="G1" s="40" t="s">
        <v>147</v>
      </c>
      <c r="H1" s="41" t="s">
        <v>149</v>
      </c>
      <c r="I1" s="40" t="s">
        <v>157</v>
      </c>
      <c r="J1" s="40" t="s">
        <v>145</v>
      </c>
      <c r="K1" s="40" t="s">
        <v>147</v>
      </c>
      <c r="L1" s="41" t="s">
        <v>149</v>
      </c>
      <c r="M1" s="40" t="s">
        <v>159</v>
      </c>
      <c r="N1" s="40" t="s">
        <v>145</v>
      </c>
      <c r="O1" s="40" t="s">
        <v>147</v>
      </c>
      <c r="P1" s="41" t="s">
        <v>149</v>
      </c>
    </row>
    <row r="2" spans="1:16" ht="14.25" customHeight="1" x14ac:dyDescent="0.3">
      <c r="A2" s="44" t="s">
        <v>162</v>
      </c>
      <c r="B2" s="44"/>
      <c r="C2" s="45">
        <v>12000</v>
      </c>
      <c r="D2" s="46">
        <v>1</v>
      </c>
      <c r="E2" s="44" t="s">
        <v>162</v>
      </c>
      <c r="F2" s="44"/>
      <c r="G2" s="45">
        <v>10000</v>
      </c>
      <c r="H2" s="46">
        <v>1</v>
      </c>
      <c r="I2" s="44" t="s">
        <v>162</v>
      </c>
      <c r="J2" s="44"/>
      <c r="K2" s="45">
        <v>15000</v>
      </c>
      <c r="L2" s="46">
        <v>1</v>
      </c>
      <c r="M2" s="44" t="s">
        <v>162</v>
      </c>
      <c r="N2" s="44"/>
      <c r="O2" s="45">
        <v>15000</v>
      </c>
      <c r="P2" s="46">
        <v>1</v>
      </c>
    </row>
    <row r="3" spans="1:16" ht="14.25" customHeight="1" x14ac:dyDescent="0.3">
      <c r="A3" s="44" t="s">
        <v>144</v>
      </c>
      <c r="B3" s="47">
        <v>0.03</v>
      </c>
      <c r="C3" s="49">
        <f>C2*B3</f>
        <v>360</v>
      </c>
      <c r="E3" s="44" t="s">
        <v>144</v>
      </c>
      <c r="F3" s="47">
        <v>0.03</v>
      </c>
      <c r="G3" s="49">
        <f>G2*F3</f>
        <v>300</v>
      </c>
      <c r="I3" s="44" t="s">
        <v>144</v>
      </c>
      <c r="J3" s="47">
        <v>0.03</v>
      </c>
      <c r="K3" s="49">
        <f>K2*J3</f>
        <v>450</v>
      </c>
      <c r="M3" s="44" t="s">
        <v>144</v>
      </c>
      <c r="N3" s="47">
        <v>0.03</v>
      </c>
      <c r="O3" s="49">
        <f>O2*N3</f>
        <v>450</v>
      </c>
    </row>
    <row r="4" spans="1:16" ht="14.25" customHeight="1" x14ac:dyDescent="0.3">
      <c r="A4" s="44" t="s">
        <v>146</v>
      </c>
      <c r="B4" s="47">
        <v>0.2</v>
      </c>
      <c r="C4" s="49">
        <f>C2*B4</f>
        <v>2400</v>
      </c>
      <c r="E4" s="44" t="s">
        <v>146</v>
      </c>
      <c r="F4" s="47">
        <v>0.2</v>
      </c>
      <c r="G4" s="49">
        <f>G2*F4</f>
        <v>2000</v>
      </c>
      <c r="I4" s="44" t="s">
        <v>146</v>
      </c>
      <c r="J4" s="47">
        <v>0.2</v>
      </c>
      <c r="K4" s="49">
        <f>K2*J4</f>
        <v>3000</v>
      </c>
      <c r="M4" s="44" t="s">
        <v>146</v>
      </c>
      <c r="N4" s="47">
        <v>0.2</v>
      </c>
      <c r="O4" s="49">
        <f>O2*N4</f>
        <v>3000</v>
      </c>
    </row>
    <row r="5" spans="1:16" ht="14.25" customHeight="1" x14ac:dyDescent="0.3">
      <c r="A5" s="44" t="s">
        <v>166</v>
      </c>
      <c r="B5" s="47">
        <v>0.13</v>
      </c>
      <c r="C5" s="49">
        <f>C2*B5</f>
        <v>1560</v>
      </c>
      <c r="E5" s="44" t="s">
        <v>166</v>
      </c>
      <c r="F5" s="47">
        <v>0.13</v>
      </c>
      <c r="G5" s="49">
        <f>G2*F5</f>
        <v>1300</v>
      </c>
      <c r="I5" s="44" t="s">
        <v>166</v>
      </c>
      <c r="J5" s="47">
        <v>0.13</v>
      </c>
      <c r="K5" s="49">
        <f>K2*J5</f>
        <v>1950</v>
      </c>
      <c r="M5" s="44" t="s">
        <v>166</v>
      </c>
      <c r="N5" s="47">
        <v>0.13</v>
      </c>
      <c r="O5" s="49">
        <f>O2*N5</f>
        <v>1950</v>
      </c>
    </row>
    <row r="6" spans="1:16" ht="14.25" customHeight="1" x14ac:dyDescent="0.3">
      <c r="A6" s="44" t="s">
        <v>150</v>
      </c>
      <c r="B6" s="44"/>
      <c r="C6" s="49"/>
      <c r="E6" s="44" t="s">
        <v>150</v>
      </c>
      <c r="F6" s="44"/>
      <c r="G6" s="49"/>
      <c r="I6" s="44" t="s">
        <v>150</v>
      </c>
      <c r="J6" s="44"/>
      <c r="K6" s="49"/>
      <c r="M6" s="44" t="s">
        <v>150</v>
      </c>
      <c r="N6" s="44"/>
      <c r="O6" s="49"/>
    </row>
    <row r="7" spans="1:16" ht="14.25" customHeight="1" x14ac:dyDescent="0.3">
      <c r="A7" s="44" t="s">
        <v>151</v>
      </c>
      <c r="B7" s="44">
        <v>0.28846100000000002</v>
      </c>
      <c r="C7" s="49">
        <f>(C2/30)*B7</f>
        <v>115.38440000000001</v>
      </c>
      <c r="E7" s="44" t="s">
        <v>151</v>
      </c>
      <c r="F7" s="44">
        <v>0.28846100000000002</v>
      </c>
      <c r="G7" s="49">
        <f>(G2/30)*F7</f>
        <v>96.153666666666666</v>
      </c>
      <c r="I7" s="44" t="s">
        <v>151</v>
      </c>
      <c r="J7" s="44">
        <v>0.28846100000000002</v>
      </c>
      <c r="K7" s="49">
        <f>(K2/30)*J7</f>
        <v>144.23050000000001</v>
      </c>
      <c r="M7" s="44" t="s">
        <v>151</v>
      </c>
      <c r="N7" s="44">
        <v>0.28846100000000002</v>
      </c>
      <c r="O7" s="49">
        <f>(O2/30)*N7</f>
        <v>144.23050000000001</v>
      </c>
    </row>
    <row r="8" spans="1:16" ht="14.25" customHeight="1" x14ac:dyDescent="0.3">
      <c r="A8" s="44" t="s">
        <v>153</v>
      </c>
      <c r="B8" s="47">
        <v>7.0000000000000007E-2</v>
      </c>
      <c r="C8" s="49">
        <f>C2*B8</f>
        <v>840.00000000000011</v>
      </c>
      <c r="E8" s="44" t="s">
        <v>153</v>
      </c>
      <c r="F8" s="47">
        <v>7.0000000000000007E-2</v>
      </c>
      <c r="G8" s="49">
        <f>G2*F8</f>
        <v>700.00000000000011</v>
      </c>
      <c r="I8" s="44" t="s">
        <v>153</v>
      </c>
      <c r="J8" s="47">
        <v>7.0000000000000007E-2</v>
      </c>
      <c r="K8" s="49">
        <f>K2*J8</f>
        <v>1050</v>
      </c>
      <c r="M8" s="44" t="s">
        <v>153</v>
      </c>
      <c r="N8" s="47">
        <v>7.0000000000000007E-2</v>
      </c>
      <c r="O8" s="49">
        <f>O2*N8</f>
        <v>1050</v>
      </c>
    </row>
    <row r="9" spans="1:16" ht="14.25" customHeight="1" x14ac:dyDescent="0.3">
      <c r="A9" s="44" t="s">
        <v>154</v>
      </c>
      <c r="B9" s="47">
        <v>0.02</v>
      </c>
      <c r="C9" s="49">
        <f>C2*B9</f>
        <v>240</v>
      </c>
      <c r="E9" s="44" t="s">
        <v>154</v>
      </c>
      <c r="F9" s="47">
        <v>0.02</v>
      </c>
      <c r="G9" s="49">
        <f>G2*F9</f>
        <v>200</v>
      </c>
      <c r="I9" s="44" t="s">
        <v>154</v>
      </c>
      <c r="J9" s="47">
        <v>0.02</v>
      </c>
      <c r="K9" s="49">
        <f>K2*J9</f>
        <v>300</v>
      </c>
      <c r="M9" s="44" t="s">
        <v>154</v>
      </c>
      <c r="N9" s="47">
        <v>0.02</v>
      </c>
      <c r="O9" s="49">
        <f>O2*N9</f>
        <v>300</v>
      </c>
    </row>
    <row r="10" spans="1:16" ht="14.25" customHeight="1" x14ac:dyDescent="0.3">
      <c r="A10" s="44" t="s">
        <v>155</v>
      </c>
      <c r="B10" s="47">
        <v>0.16</v>
      </c>
      <c r="C10" s="49">
        <f>C2*B10</f>
        <v>1920</v>
      </c>
      <c r="E10" s="44" t="s">
        <v>155</v>
      </c>
      <c r="F10" s="47">
        <v>0.10879999999999999</v>
      </c>
      <c r="G10" s="49">
        <f>G2*F10</f>
        <v>1088</v>
      </c>
      <c r="I10" s="44" t="s">
        <v>155</v>
      </c>
      <c r="J10" s="47">
        <v>0.1792</v>
      </c>
      <c r="K10" s="49">
        <f>K2*J10</f>
        <v>2688</v>
      </c>
      <c r="M10" s="44" t="s">
        <v>155</v>
      </c>
      <c r="N10" s="47">
        <v>0.1792</v>
      </c>
      <c r="O10" s="49">
        <f>O2*N10</f>
        <v>2688</v>
      </c>
    </row>
    <row r="11" spans="1:16" ht="14.25" customHeight="1" x14ac:dyDescent="0.3">
      <c r="A11" s="35"/>
      <c r="B11" s="35"/>
      <c r="C11" s="49">
        <f>SUM(C3:C9)</f>
        <v>5515.3843999999999</v>
      </c>
      <c r="E11" s="35"/>
      <c r="F11" s="35"/>
      <c r="G11" s="49">
        <f>SUM(G3:G9)</f>
        <v>4596.153666666667</v>
      </c>
      <c r="I11" s="35"/>
      <c r="J11" s="35"/>
      <c r="K11" s="49">
        <f>SUM(K3:K9)</f>
        <v>6894.2304999999997</v>
      </c>
      <c r="M11" s="35"/>
      <c r="N11" s="35"/>
      <c r="O11" s="49">
        <f>SUM(O3:O9)</f>
        <v>6894.2304999999997</v>
      </c>
    </row>
    <row r="12" spans="1:16" ht="14.25" customHeight="1" x14ac:dyDescent="0.3">
      <c r="A12" s="35" t="s">
        <v>158</v>
      </c>
      <c r="B12" s="35"/>
      <c r="C12" s="49">
        <f>C2+C11</f>
        <v>17515.384399999999</v>
      </c>
      <c r="E12" s="35" t="s">
        <v>158</v>
      </c>
      <c r="F12" s="35"/>
      <c r="G12" s="49">
        <f>G2+G11</f>
        <v>14596.153666666667</v>
      </c>
      <c r="I12" s="35" t="s">
        <v>158</v>
      </c>
      <c r="J12" s="35"/>
      <c r="K12" s="49">
        <f>K2+K11</f>
        <v>21894.230499999998</v>
      </c>
      <c r="M12" s="35" t="s">
        <v>158</v>
      </c>
      <c r="N12" s="35"/>
      <c r="O12" s="49">
        <f>O2+O11</f>
        <v>21894.230499999998</v>
      </c>
    </row>
    <row r="13" spans="1:16" ht="14.25" customHeight="1" x14ac:dyDescent="0.3">
      <c r="C13" s="9"/>
      <c r="G13" s="9"/>
    </row>
    <row r="14" spans="1:16" ht="14.25" customHeight="1" x14ac:dyDescent="0.3">
      <c r="C14" s="9"/>
      <c r="G14" s="9"/>
    </row>
    <row r="15" spans="1:16" ht="14.25" customHeight="1" x14ac:dyDescent="0.3">
      <c r="A15" s="40" t="s">
        <v>165</v>
      </c>
      <c r="B15" s="40" t="s">
        <v>145</v>
      </c>
      <c r="C15" s="40" t="s">
        <v>147</v>
      </c>
      <c r="D15" s="41" t="s">
        <v>149</v>
      </c>
      <c r="E15" s="40" t="s">
        <v>167</v>
      </c>
      <c r="F15" s="40" t="s">
        <v>145</v>
      </c>
      <c r="G15" s="40" t="s">
        <v>147</v>
      </c>
      <c r="H15" s="41" t="s">
        <v>149</v>
      </c>
      <c r="I15" s="40" t="s">
        <v>168</v>
      </c>
      <c r="J15" s="40" t="s">
        <v>145</v>
      </c>
      <c r="K15" s="40" t="s">
        <v>147</v>
      </c>
      <c r="L15" s="41" t="s">
        <v>149</v>
      </c>
      <c r="M15" s="40" t="s">
        <v>169</v>
      </c>
      <c r="N15" s="40" t="s">
        <v>145</v>
      </c>
      <c r="O15" s="40" t="s">
        <v>147</v>
      </c>
      <c r="P15" s="41" t="s">
        <v>149</v>
      </c>
    </row>
    <row r="16" spans="1:16" ht="14.25" customHeight="1" x14ac:dyDescent="0.3">
      <c r="A16" s="44" t="s">
        <v>162</v>
      </c>
      <c r="B16" s="44"/>
      <c r="C16" s="45">
        <v>15000</v>
      </c>
      <c r="D16" s="46">
        <v>1</v>
      </c>
      <c r="E16" s="44" t="s">
        <v>162</v>
      </c>
      <c r="F16" s="44"/>
      <c r="G16" s="45">
        <v>16500</v>
      </c>
      <c r="H16" s="46">
        <v>1</v>
      </c>
      <c r="I16" s="44" t="s">
        <v>162</v>
      </c>
      <c r="J16" s="44"/>
      <c r="K16" s="45">
        <v>16500</v>
      </c>
      <c r="L16" s="46">
        <v>1</v>
      </c>
      <c r="M16" s="44" t="s">
        <v>162</v>
      </c>
      <c r="N16" s="44"/>
      <c r="O16" s="45">
        <v>16500</v>
      </c>
      <c r="P16" s="46">
        <v>1</v>
      </c>
    </row>
    <row r="17" spans="1:16" ht="14.25" customHeight="1" x14ac:dyDescent="0.3">
      <c r="A17" s="44" t="s">
        <v>144</v>
      </c>
      <c r="B17" s="47">
        <v>0.03</v>
      </c>
      <c r="C17" s="49">
        <f>C16*B17</f>
        <v>450</v>
      </c>
      <c r="E17" s="44" t="s">
        <v>144</v>
      </c>
      <c r="F17" s="47">
        <v>0.03</v>
      </c>
      <c r="G17" s="49">
        <f>G16*F17</f>
        <v>495</v>
      </c>
      <c r="I17" s="44" t="s">
        <v>144</v>
      </c>
      <c r="J17" s="47">
        <v>0.03</v>
      </c>
      <c r="K17" s="49">
        <f>K16*J17</f>
        <v>495</v>
      </c>
      <c r="M17" s="44" t="s">
        <v>144</v>
      </c>
      <c r="N17" s="47">
        <v>0.03</v>
      </c>
      <c r="O17" s="49">
        <f>O16*N17</f>
        <v>495</v>
      </c>
    </row>
    <row r="18" spans="1:16" ht="14.25" customHeight="1" x14ac:dyDescent="0.3">
      <c r="A18" s="44" t="s">
        <v>146</v>
      </c>
      <c r="B18" s="47">
        <v>0.2</v>
      </c>
      <c r="C18" s="49">
        <f>C16*B18</f>
        <v>3000</v>
      </c>
      <c r="E18" s="44" t="s">
        <v>146</v>
      </c>
      <c r="F18" s="47">
        <v>0.2</v>
      </c>
      <c r="G18" s="49">
        <f>G16*F18</f>
        <v>3300</v>
      </c>
      <c r="I18" s="44" t="s">
        <v>146</v>
      </c>
      <c r="J18" s="47">
        <v>0.2</v>
      </c>
      <c r="K18" s="49">
        <f>K16*J18</f>
        <v>3300</v>
      </c>
      <c r="M18" s="44" t="s">
        <v>146</v>
      </c>
      <c r="N18" s="47">
        <v>0.2</v>
      </c>
      <c r="O18" s="49">
        <f>O16*N18</f>
        <v>3300</v>
      </c>
    </row>
    <row r="19" spans="1:16" ht="14.25" customHeight="1" x14ac:dyDescent="0.3">
      <c r="A19" s="44" t="s">
        <v>166</v>
      </c>
      <c r="B19" s="47">
        <v>0.13</v>
      </c>
      <c r="C19" s="49">
        <f>C16*B19</f>
        <v>1950</v>
      </c>
      <c r="E19" s="44" t="s">
        <v>166</v>
      </c>
      <c r="F19" s="47">
        <v>0.13</v>
      </c>
      <c r="G19" s="49">
        <f>G16*F19</f>
        <v>2145</v>
      </c>
      <c r="I19" s="44" t="s">
        <v>166</v>
      </c>
      <c r="J19" s="47">
        <v>0.13</v>
      </c>
      <c r="K19" s="49">
        <f>K16*J19</f>
        <v>2145</v>
      </c>
      <c r="M19" s="44" t="s">
        <v>166</v>
      </c>
      <c r="N19" s="47">
        <v>0.13</v>
      </c>
      <c r="O19" s="49">
        <f>O16*N19</f>
        <v>2145</v>
      </c>
    </row>
    <row r="20" spans="1:16" ht="14.25" customHeight="1" x14ac:dyDescent="0.3">
      <c r="A20" s="44" t="s">
        <v>150</v>
      </c>
      <c r="B20" s="44"/>
      <c r="C20" s="49"/>
      <c r="E20" s="44" t="s">
        <v>150</v>
      </c>
      <c r="F20" s="44"/>
      <c r="G20" s="49"/>
      <c r="I20" s="44" t="s">
        <v>150</v>
      </c>
      <c r="J20" s="44"/>
      <c r="K20" s="49"/>
      <c r="M20" s="44" t="s">
        <v>150</v>
      </c>
      <c r="N20" s="44"/>
      <c r="O20" s="49"/>
    </row>
    <row r="21" spans="1:16" ht="14.25" customHeight="1" x14ac:dyDescent="0.3">
      <c r="A21" s="44" t="s">
        <v>151</v>
      </c>
      <c r="B21" s="44">
        <v>0.28846100000000002</v>
      </c>
      <c r="C21" s="49">
        <f>(C16/30)*B21</f>
        <v>144.23050000000001</v>
      </c>
      <c r="E21" s="44" t="s">
        <v>151</v>
      </c>
      <c r="F21" s="44">
        <v>0.28846100000000002</v>
      </c>
      <c r="G21" s="49">
        <f>(G16/30)*F21</f>
        <v>158.65355000000002</v>
      </c>
      <c r="I21" s="44" t="s">
        <v>151</v>
      </c>
      <c r="J21" s="44">
        <v>0.28846100000000002</v>
      </c>
      <c r="K21" s="49">
        <f>(K16/30)*J21</f>
        <v>158.65355000000002</v>
      </c>
      <c r="M21" s="44" t="s">
        <v>151</v>
      </c>
      <c r="N21" s="44">
        <v>0.28846100000000002</v>
      </c>
      <c r="O21" s="49">
        <f>(O16/30)*N21</f>
        <v>158.65355000000002</v>
      </c>
    </row>
    <row r="22" spans="1:16" ht="14.25" customHeight="1" x14ac:dyDescent="0.3">
      <c r="A22" s="44" t="s">
        <v>153</v>
      </c>
      <c r="B22" s="47">
        <v>7.0000000000000007E-2</v>
      </c>
      <c r="C22" s="49">
        <f>C16*B22</f>
        <v>1050</v>
      </c>
      <c r="E22" s="44" t="s">
        <v>153</v>
      </c>
      <c r="F22" s="47">
        <v>7.0000000000000007E-2</v>
      </c>
      <c r="G22" s="49">
        <f>G16*F22</f>
        <v>1155</v>
      </c>
      <c r="I22" s="44" t="s">
        <v>153</v>
      </c>
      <c r="J22" s="47">
        <v>7.0000000000000007E-2</v>
      </c>
      <c r="K22" s="49">
        <f>K16*J22</f>
        <v>1155</v>
      </c>
      <c r="M22" s="44" t="s">
        <v>153</v>
      </c>
      <c r="N22" s="47">
        <v>7.0000000000000007E-2</v>
      </c>
      <c r="O22" s="49">
        <f>O16*N22</f>
        <v>1155</v>
      </c>
    </row>
    <row r="23" spans="1:16" ht="14.25" customHeight="1" x14ac:dyDescent="0.3">
      <c r="A23" s="44" t="s">
        <v>154</v>
      </c>
      <c r="B23" s="47">
        <v>0.02</v>
      </c>
      <c r="C23" s="49">
        <f>C16*B23</f>
        <v>300</v>
      </c>
      <c r="E23" s="44" t="s">
        <v>154</v>
      </c>
      <c r="F23" s="47">
        <v>0.02</v>
      </c>
      <c r="G23" s="49">
        <f>G16*F23</f>
        <v>330</v>
      </c>
      <c r="I23" s="44" t="s">
        <v>154</v>
      </c>
      <c r="J23" s="47">
        <v>0.02</v>
      </c>
      <c r="K23" s="49">
        <f>K16*J23</f>
        <v>330</v>
      </c>
      <c r="M23" s="44" t="s">
        <v>154</v>
      </c>
      <c r="N23" s="47">
        <v>0.02</v>
      </c>
      <c r="O23" s="49">
        <f>O16*N23</f>
        <v>330</v>
      </c>
    </row>
    <row r="24" spans="1:16" ht="14.25" customHeight="1" x14ac:dyDescent="0.3">
      <c r="A24" s="44" t="s">
        <v>155</v>
      </c>
      <c r="B24" s="47">
        <v>0.1792</v>
      </c>
      <c r="C24" s="49"/>
      <c r="E24" s="44" t="s">
        <v>155</v>
      </c>
      <c r="F24" s="47">
        <v>0.21360000000000001</v>
      </c>
      <c r="G24" s="49">
        <f>F24*G16</f>
        <v>3524.4</v>
      </c>
      <c r="I24" s="44" t="s">
        <v>155</v>
      </c>
      <c r="J24" s="47">
        <v>0.21360000000000001</v>
      </c>
      <c r="K24" s="49">
        <f>J24*K16</f>
        <v>3524.4</v>
      </c>
      <c r="M24" s="44" t="s">
        <v>155</v>
      </c>
      <c r="N24" s="47">
        <v>0.21360000000000001</v>
      </c>
      <c r="O24" s="49">
        <f>N24*O16</f>
        <v>3524.4</v>
      </c>
    </row>
    <row r="25" spans="1:16" ht="14.25" customHeight="1" x14ac:dyDescent="0.3">
      <c r="A25" s="35"/>
      <c r="B25" s="35"/>
      <c r="C25" s="49">
        <f>SUM(C17:C23)</f>
        <v>6894.2304999999997</v>
      </c>
      <c r="E25" s="35"/>
      <c r="F25" s="35"/>
      <c r="G25" s="49">
        <f>SUM(G17:G23)</f>
        <v>7583.65355</v>
      </c>
      <c r="I25" s="35"/>
      <c r="J25" s="35"/>
      <c r="K25" s="49">
        <f>SUM(K17:K23)</f>
        <v>7583.65355</v>
      </c>
      <c r="M25" s="35"/>
      <c r="N25" s="35"/>
      <c r="O25" s="49">
        <f>SUM(O17:O23)</f>
        <v>7583.65355</v>
      </c>
    </row>
    <row r="26" spans="1:16" ht="14.25" customHeight="1" x14ac:dyDescent="0.3">
      <c r="A26" s="35" t="s">
        <v>158</v>
      </c>
      <c r="B26" s="35"/>
      <c r="C26" s="49">
        <f>C16+C25</f>
        <v>21894.230499999998</v>
      </c>
      <c r="E26" s="35" t="s">
        <v>158</v>
      </c>
      <c r="F26" s="35"/>
      <c r="G26" s="49">
        <f>G16+G25</f>
        <v>24083.653549999999</v>
      </c>
      <c r="I26" s="35" t="s">
        <v>158</v>
      </c>
      <c r="J26" s="35"/>
      <c r="K26" s="49">
        <f>K16+K25</f>
        <v>24083.653549999999</v>
      </c>
      <c r="M26" s="35" t="s">
        <v>158</v>
      </c>
      <c r="N26" s="35"/>
      <c r="O26" s="49">
        <f>O16+O25</f>
        <v>24083.653549999999</v>
      </c>
    </row>
    <row r="27" spans="1:16" ht="14.25" customHeight="1" x14ac:dyDescent="0.3">
      <c r="C27" s="9"/>
    </row>
    <row r="28" spans="1:16" ht="14.25" customHeight="1" x14ac:dyDescent="0.3">
      <c r="C28" s="9"/>
    </row>
    <row r="29" spans="1:16" ht="14.25" customHeight="1" x14ac:dyDescent="0.3">
      <c r="A29" s="40" t="s">
        <v>171</v>
      </c>
      <c r="B29" s="40" t="s">
        <v>145</v>
      </c>
      <c r="C29" s="40" t="s">
        <v>147</v>
      </c>
      <c r="D29" s="41" t="s">
        <v>149</v>
      </c>
      <c r="E29" s="40" t="s">
        <v>173</v>
      </c>
      <c r="F29" s="40" t="s">
        <v>145</v>
      </c>
      <c r="G29" s="40" t="s">
        <v>147</v>
      </c>
      <c r="H29" s="41" t="s">
        <v>149</v>
      </c>
      <c r="I29" s="40" t="s">
        <v>174</v>
      </c>
      <c r="J29" s="40" t="s">
        <v>145</v>
      </c>
      <c r="K29" s="40" t="s">
        <v>147</v>
      </c>
      <c r="L29" s="41" t="s">
        <v>149</v>
      </c>
      <c r="M29" s="40" t="s">
        <v>176</v>
      </c>
      <c r="N29" s="40" t="s">
        <v>145</v>
      </c>
      <c r="O29" s="40" t="s">
        <v>147</v>
      </c>
      <c r="P29" s="41" t="s">
        <v>149</v>
      </c>
    </row>
    <row r="30" spans="1:16" ht="14.25" customHeight="1" x14ac:dyDescent="0.3">
      <c r="A30" s="44" t="s">
        <v>162</v>
      </c>
      <c r="B30" s="44"/>
      <c r="C30" s="45">
        <v>21000</v>
      </c>
      <c r="D30" s="46">
        <v>1</v>
      </c>
      <c r="E30" s="44" t="s">
        <v>162</v>
      </c>
      <c r="F30" s="44"/>
      <c r="G30" s="45">
        <v>21000</v>
      </c>
      <c r="H30" s="46">
        <v>1</v>
      </c>
      <c r="I30" s="44" t="s">
        <v>162</v>
      </c>
      <c r="J30" s="44"/>
      <c r="K30" s="45">
        <v>16500</v>
      </c>
      <c r="L30" s="46">
        <v>1</v>
      </c>
      <c r="M30" s="44" t="s">
        <v>162</v>
      </c>
      <c r="N30" s="44"/>
      <c r="O30" s="45">
        <v>21000</v>
      </c>
      <c r="P30" s="46">
        <v>1</v>
      </c>
    </row>
    <row r="31" spans="1:16" ht="14.25" customHeight="1" x14ac:dyDescent="0.3">
      <c r="A31" s="44" t="s">
        <v>144</v>
      </c>
      <c r="B31" s="47">
        <v>0.03</v>
      </c>
      <c r="C31" s="49">
        <f>C30*B31</f>
        <v>630</v>
      </c>
      <c r="E31" s="44" t="s">
        <v>144</v>
      </c>
      <c r="F31" s="47">
        <v>0.03</v>
      </c>
      <c r="G31" s="49">
        <f>G30*F31</f>
        <v>630</v>
      </c>
      <c r="I31" s="44" t="s">
        <v>144</v>
      </c>
      <c r="J31" s="47">
        <v>0.03</v>
      </c>
      <c r="K31" s="49">
        <f>K30*J31</f>
        <v>495</v>
      </c>
      <c r="M31" s="44" t="s">
        <v>144</v>
      </c>
      <c r="N31" s="47">
        <v>0.03</v>
      </c>
      <c r="O31" s="49">
        <f>O30*N31</f>
        <v>630</v>
      </c>
    </row>
    <row r="32" spans="1:16" ht="14.25" customHeight="1" x14ac:dyDescent="0.3">
      <c r="A32" s="44" t="s">
        <v>146</v>
      </c>
      <c r="B32" s="47">
        <v>0.2</v>
      </c>
      <c r="C32" s="49">
        <f>C30*B32</f>
        <v>4200</v>
      </c>
      <c r="E32" s="44" t="s">
        <v>146</v>
      </c>
      <c r="F32" s="47">
        <v>0.2</v>
      </c>
      <c r="G32" s="49">
        <f>G30*F32</f>
        <v>4200</v>
      </c>
      <c r="I32" s="44" t="s">
        <v>146</v>
      </c>
      <c r="J32" s="47">
        <v>0.2</v>
      </c>
      <c r="K32" s="49">
        <f>K30*J32</f>
        <v>3300</v>
      </c>
      <c r="M32" s="44" t="s">
        <v>146</v>
      </c>
      <c r="N32" s="47">
        <v>0.2</v>
      </c>
      <c r="O32" s="49">
        <f>O30*N32</f>
        <v>4200</v>
      </c>
    </row>
    <row r="33" spans="1:15" ht="14.25" customHeight="1" x14ac:dyDescent="0.3">
      <c r="A33" s="44" t="s">
        <v>166</v>
      </c>
      <c r="B33" s="47">
        <v>0.13</v>
      </c>
      <c r="C33" s="49">
        <f>C30*B33</f>
        <v>2730</v>
      </c>
      <c r="E33" s="44" t="s">
        <v>166</v>
      </c>
      <c r="F33" s="47">
        <v>0.13</v>
      </c>
      <c r="G33" s="49">
        <f>G30*F33</f>
        <v>2730</v>
      </c>
      <c r="I33" s="44" t="s">
        <v>166</v>
      </c>
      <c r="J33" s="47">
        <v>0.13</v>
      </c>
      <c r="K33" s="49">
        <f>K30*J33</f>
        <v>2145</v>
      </c>
      <c r="M33" s="44" t="s">
        <v>166</v>
      </c>
      <c r="N33" s="47">
        <v>0.13</v>
      </c>
      <c r="O33" s="49">
        <f>O30*N33</f>
        <v>2730</v>
      </c>
    </row>
    <row r="34" spans="1:15" ht="14.25" customHeight="1" x14ac:dyDescent="0.3">
      <c r="A34" s="44" t="s">
        <v>150</v>
      </c>
      <c r="B34" s="44"/>
      <c r="C34" s="49"/>
      <c r="E34" s="44" t="s">
        <v>150</v>
      </c>
      <c r="F34" s="44"/>
      <c r="G34" s="49"/>
      <c r="I34" s="44" t="s">
        <v>150</v>
      </c>
      <c r="J34" s="44"/>
      <c r="K34" s="49"/>
      <c r="M34" s="44" t="s">
        <v>150</v>
      </c>
      <c r="N34" s="44"/>
      <c r="O34" s="49"/>
    </row>
    <row r="35" spans="1:15" ht="14.25" customHeight="1" x14ac:dyDescent="0.3">
      <c r="A35" s="44" t="s">
        <v>151</v>
      </c>
      <c r="B35" s="44">
        <v>0.28846100000000002</v>
      </c>
      <c r="C35" s="49">
        <f>(C30/30)*B35</f>
        <v>201.92270000000002</v>
      </c>
      <c r="E35" s="44" t="s">
        <v>151</v>
      </c>
      <c r="F35" s="44">
        <v>0.28846100000000002</v>
      </c>
      <c r="G35" s="49">
        <f>(G30/30)*F35</f>
        <v>201.92270000000002</v>
      </c>
      <c r="I35" s="44" t="s">
        <v>151</v>
      </c>
      <c r="J35" s="44">
        <v>0.28846100000000002</v>
      </c>
      <c r="K35" s="49">
        <f>(K30/30)*J35</f>
        <v>158.65355000000002</v>
      </c>
      <c r="M35" s="44" t="s">
        <v>151</v>
      </c>
      <c r="N35" s="44">
        <v>0.28846100000000002</v>
      </c>
      <c r="O35" s="49">
        <f>(O30/30)*N35</f>
        <v>201.92270000000002</v>
      </c>
    </row>
    <row r="36" spans="1:15" ht="14.25" customHeight="1" x14ac:dyDescent="0.3">
      <c r="A36" s="44" t="s">
        <v>153</v>
      </c>
      <c r="B36" s="47">
        <v>7.0000000000000007E-2</v>
      </c>
      <c r="C36" s="49">
        <f>C30*B36</f>
        <v>1470.0000000000002</v>
      </c>
      <c r="E36" s="44" t="s">
        <v>153</v>
      </c>
      <c r="F36" s="47">
        <v>7.0000000000000007E-2</v>
      </c>
      <c r="G36" s="49">
        <f>G30*F36</f>
        <v>1470.0000000000002</v>
      </c>
      <c r="I36" s="44" t="s">
        <v>153</v>
      </c>
      <c r="J36" s="47">
        <v>7.0000000000000007E-2</v>
      </c>
      <c r="K36" s="49">
        <f>K30*J36</f>
        <v>1155</v>
      </c>
      <c r="M36" s="44" t="s">
        <v>153</v>
      </c>
      <c r="N36" s="47">
        <v>7.0000000000000007E-2</v>
      </c>
      <c r="O36" s="49">
        <f>O30*N36</f>
        <v>1470.0000000000002</v>
      </c>
    </row>
    <row r="37" spans="1:15" ht="14.25" customHeight="1" x14ac:dyDescent="0.3">
      <c r="A37" s="44" t="s">
        <v>154</v>
      </c>
      <c r="B37" s="47">
        <v>0.02</v>
      </c>
      <c r="C37" s="49">
        <f>C30*B37</f>
        <v>420</v>
      </c>
      <c r="E37" s="44" t="s">
        <v>154</v>
      </c>
      <c r="F37" s="47">
        <v>0.02</v>
      </c>
      <c r="G37" s="49">
        <f>G30*F37</f>
        <v>420</v>
      </c>
      <c r="I37" s="44" t="s">
        <v>154</v>
      </c>
      <c r="J37" s="47">
        <v>0.02</v>
      </c>
      <c r="K37" s="49">
        <f>K30*J37</f>
        <v>330</v>
      </c>
      <c r="M37" s="44" t="s">
        <v>154</v>
      </c>
      <c r="N37" s="47">
        <v>0.02</v>
      </c>
      <c r="O37" s="49">
        <f>O30*N37</f>
        <v>420</v>
      </c>
    </row>
    <row r="38" spans="1:15" ht="14.25" customHeight="1" x14ac:dyDescent="0.3">
      <c r="A38" s="44" t="s">
        <v>155</v>
      </c>
      <c r="B38" s="47">
        <v>0.21360000000000001</v>
      </c>
      <c r="C38" s="49">
        <f>B38*C30</f>
        <v>4485.6000000000004</v>
      </c>
      <c r="E38" s="44" t="s">
        <v>155</v>
      </c>
      <c r="F38" s="47">
        <v>0.21360000000000001</v>
      </c>
      <c r="G38" s="49">
        <f>F38*G30</f>
        <v>4485.6000000000004</v>
      </c>
      <c r="I38" s="44" t="s">
        <v>155</v>
      </c>
      <c r="J38" s="47">
        <v>0.21360000000000001</v>
      </c>
      <c r="K38" s="49">
        <f>J38*K30</f>
        <v>3524.4</v>
      </c>
      <c r="M38" s="44" t="s">
        <v>155</v>
      </c>
      <c r="N38" s="47">
        <v>0.21360000000000001</v>
      </c>
      <c r="O38" s="49">
        <f>N38*O30</f>
        <v>4485.6000000000004</v>
      </c>
    </row>
    <row r="39" spans="1:15" ht="14.25" customHeight="1" x14ac:dyDescent="0.3">
      <c r="A39" s="35"/>
      <c r="B39" s="35"/>
      <c r="C39" s="49">
        <f>SUM(C31:C37)</f>
        <v>9651.922700000001</v>
      </c>
      <c r="E39" s="35"/>
      <c r="F39" s="35"/>
      <c r="G39" s="49">
        <f>SUM(G31:G37)</f>
        <v>9651.922700000001</v>
      </c>
      <c r="I39" s="35"/>
      <c r="J39" s="35"/>
      <c r="K39" s="49">
        <f>SUM(K31:K37)</f>
        <v>7583.65355</v>
      </c>
      <c r="M39" s="35"/>
      <c r="N39" s="35"/>
      <c r="O39" s="49">
        <f>SUM(O31:O37)</f>
        <v>9651.922700000001</v>
      </c>
    </row>
    <row r="40" spans="1:15" ht="14.25" customHeight="1" x14ac:dyDescent="0.3">
      <c r="A40" s="35" t="s">
        <v>158</v>
      </c>
      <c r="B40" s="35"/>
      <c r="C40" s="49">
        <f>C30+C39</f>
        <v>30651.922700000003</v>
      </c>
      <c r="E40" s="35" t="s">
        <v>158</v>
      </c>
      <c r="F40" s="35"/>
      <c r="G40" s="49">
        <f>G30+G39</f>
        <v>30651.922700000003</v>
      </c>
      <c r="I40" s="35" t="s">
        <v>158</v>
      </c>
      <c r="J40" s="35"/>
      <c r="K40" s="49">
        <f>K30+K39</f>
        <v>24083.653549999999</v>
      </c>
      <c r="M40" s="35" t="s">
        <v>158</v>
      </c>
      <c r="N40" s="35"/>
      <c r="O40" s="49">
        <f>O30+O39</f>
        <v>30651.922700000003</v>
      </c>
    </row>
    <row r="41" spans="1:15" ht="14.25" customHeight="1" x14ac:dyDescent="0.3"/>
    <row r="42" spans="1:15" ht="14.25" customHeight="1" x14ac:dyDescent="0.3"/>
    <row r="43" spans="1:15" ht="14.25" customHeight="1" x14ac:dyDescent="0.3">
      <c r="A43" s="40" t="s">
        <v>178</v>
      </c>
      <c r="B43" s="40" t="s">
        <v>145</v>
      </c>
      <c r="C43" s="40" t="s">
        <v>147</v>
      </c>
      <c r="D43" s="41" t="s">
        <v>149</v>
      </c>
    </row>
    <row r="44" spans="1:15" ht="14.25" customHeight="1" x14ac:dyDescent="0.3">
      <c r="A44" s="44" t="s">
        <v>162</v>
      </c>
      <c r="B44" s="44"/>
      <c r="C44" s="45">
        <v>35000</v>
      </c>
      <c r="D44" s="46">
        <v>1</v>
      </c>
    </row>
    <row r="45" spans="1:15" ht="14.25" customHeight="1" x14ac:dyDescent="0.3">
      <c r="A45" s="44" t="s">
        <v>144</v>
      </c>
      <c r="B45" s="47">
        <v>0.03</v>
      </c>
      <c r="C45" s="49">
        <f>C44*B45</f>
        <v>1050</v>
      </c>
    </row>
    <row r="46" spans="1:15" ht="14.25" customHeight="1" x14ac:dyDescent="0.3">
      <c r="A46" s="44" t="s">
        <v>146</v>
      </c>
      <c r="B46" s="47">
        <v>0.2</v>
      </c>
      <c r="C46" s="49">
        <f>C44*B46</f>
        <v>7000</v>
      </c>
    </row>
    <row r="47" spans="1:15" ht="14.25" customHeight="1" x14ac:dyDescent="0.3">
      <c r="A47" s="44" t="s">
        <v>166</v>
      </c>
      <c r="B47" s="47">
        <v>0.13</v>
      </c>
      <c r="C47" s="49">
        <f>C44*B47</f>
        <v>4550</v>
      </c>
    </row>
    <row r="48" spans="1:15" ht="14.25" customHeight="1" x14ac:dyDescent="0.3">
      <c r="A48" s="44" t="s">
        <v>150</v>
      </c>
      <c r="B48" s="44"/>
      <c r="C48" s="49"/>
    </row>
    <row r="49" spans="1:16" ht="14.25" customHeight="1" x14ac:dyDescent="0.3">
      <c r="A49" s="44" t="s">
        <v>151</v>
      </c>
      <c r="B49" s="44">
        <v>0.28846100000000002</v>
      </c>
      <c r="C49" s="49">
        <f>(C44/30)*B49</f>
        <v>336.53783333333337</v>
      </c>
    </row>
    <row r="50" spans="1:16" ht="14.25" customHeight="1" x14ac:dyDescent="0.3">
      <c r="A50" s="44" t="s">
        <v>153</v>
      </c>
      <c r="B50" s="47">
        <v>7.0000000000000007E-2</v>
      </c>
      <c r="C50" s="49">
        <f>C44*B50</f>
        <v>2450.0000000000005</v>
      </c>
    </row>
    <row r="51" spans="1:16" ht="14.25" customHeight="1" x14ac:dyDescent="0.3">
      <c r="A51" s="44" t="s">
        <v>154</v>
      </c>
      <c r="B51" s="47">
        <v>0.02</v>
      </c>
      <c r="C51" s="49">
        <f>C44*B51</f>
        <v>700</v>
      </c>
    </row>
    <row r="52" spans="1:16" ht="14.25" customHeight="1" x14ac:dyDescent="0.3">
      <c r="A52" s="44" t="s">
        <v>155</v>
      </c>
      <c r="B52" s="47">
        <v>0.23519999999999999</v>
      </c>
      <c r="C52" s="49">
        <f>C44*B52</f>
        <v>8232</v>
      </c>
    </row>
    <row r="53" spans="1:16" ht="14.25" customHeight="1" x14ac:dyDescent="0.3">
      <c r="A53" s="35"/>
      <c r="B53" s="35"/>
      <c r="C53" s="49">
        <f>SUM(C45:C51)</f>
        <v>16086.537833333334</v>
      </c>
    </row>
    <row r="54" spans="1:16" ht="14.25" customHeight="1" x14ac:dyDescent="0.3">
      <c r="A54" s="35" t="s">
        <v>158</v>
      </c>
      <c r="B54" s="35"/>
      <c r="C54" s="49">
        <f>C44+C53</f>
        <v>51086.537833333336</v>
      </c>
    </row>
    <row r="55" spans="1:16" ht="14.25" customHeight="1" x14ac:dyDescent="0.3"/>
    <row r="56" spans="1:16" ht="14.25" customHeight="1" x14ac:dyDescent="0.3"/>
    <row r="57" spans="1:16" ht="14.25" customHeight="1" x14ac:dyDescent="0.3">
      <c r="A57" s="1" t="s">
        <v>254</v>
      </c>
    </row>
    <row r="58" spans="1:16" ht="14.25" customHeight="1" x14ac:dyDescent="0.3"/>
    <row r="59" spans="1:16" ht="14.25" customHeight="1" x14ac:dyDescent="0.3">
      <c r="A59" s="40" t="s">
        <v>179</v>
      </c>
      <c r="B59" s="40" t="s">
        <v>145</v>
      </c>
      <c r="C59" s="40" t="s">
        <v>147</v>
      </c>
      <c r="D59" s="41" t="s">
        <v>149</v>
      </c>
      <c r="E59" s="40" t="s">
        <v>181</v>
      </c>
      <c r="F59" s="40" t="s">
        <v>145</v>
      </c>
      <c r="G59" s="40" t="s">
        <v>147</v>
      </c>
      <c r="H59" s="41" t="s">
        <v>149</v>
      </c>
      <c r="I59" s="40" t="s">
        <v>184</v>
      </c>
      <c r="J59" s="40" t="s">
        <v>145</v>
      </c>
      <c r="K59" s="40" t="s">
        <v>147</v>
      </c>
      <c r="L59" s="41" t="s">
        <v>149</v>
      </c>
      <c r="M59" s="40" t="s">
        <v>185</v>
      </c>
      <c r="N59" s="40" t="s">
        <v>145</v>
      </c>
      <c r="O59" s="40" t="s">
        <v>147</v>
      </c>
      <c r="P59" s="41" t="s">
        <v>149</v>
      </c>
    </row>
    <row r="60" spans="1:16" ht="14.25" customHeight="1" x14ac:dyDescent="0.3">
      <c r="A60" s="44" t="s">
        <v>162</v>
      </c>
      <c r="B60" s="44"/>
      <c r="C60" s="45">
        <v>21000</v>
      </c>
      <c r="D60" s="46">
        <v>1</v>
      </c>
      <c r="E60" s="44" t="s">
        <v>162</v>
      </c>
      <c r="F60" s="44"/>
      <c r="G60" s="45">
        <v>25000</v>
      </c>
      <c r="H60" s="46">
        <v>1</v>
      </c>
      <c r="I60" s="44" t="s">
        <v>162</v>
      </c>
      <c r="J60" s="44"/>
      <c r="K60" s="45">
        <v>21000</v>
      </c>
      <c r="L60" s="46">
        <v>1</v>
      </c>
      <c r="M60" s="44" t="s">
        <v>162</v>
      </c>
      <c r="N60" s="44"/>
      <c r="O60" s="45">
        <v>21000</v>
      </c>
      <c r="P60" s="46">
        <v>1</v>
      </c>
    </row>
    <row r="61" spans="1:16" ht="14.25" customHeight="1" x14ac:dyDescent="0.3">
      <c r="A61" s="44" t="s">
        <v>144</v>
      </c>
      <c r="B61" s="47">
        <v>0.03</v>
      </c>
      <c r="C61" s="49">
        <f>C60*B61</f>
        <v>630</v>
      </c>
      <c r="E61" s="44" t="s">
        <v>144</v>
      </c>
      <c r="F61" s="47">
        <v>0.03</v>
      </c>
      <c r="G61" s="49">
        <f>G60*F61</f>
        <v>750</v>
      </c>
      <c r="I61" s="44" t="s">
        <v>144</v>
      </c>
      <c r="J61" s="47">
        <v>0.03</v>
      </c>
      <c r="K61" s="49">
        <f>K60*J61</f>
        <v>630</v>
      </c>
      <c r="M61" s="44" t="s">
        <v>144</v>
      </c>
      <c r="N61" s="47">
        <v>0.03</v>
      </c>
      <c r="O61" s="49">
        <f>O60*N61</f>
        <v>630</v>
      </c>
    </row>
    <row r="62" spans="1:16" ht="14.25" customHeight="1" x14ac:dyDescent="0.3">
      <c r="A62" s="44" t="s">
        <v>146</v>
      </c>
      <c r="B62" s="47">
        <v>0.2</v>
      </c>
      <c r="C62" s="49">
        <f>C60*B62</f>
        <v>4200</v>
      </c>
      <c r="E62" s="44" t="s">
        <v>146</v>
      </c>
      <c r="F62" s="47">
        <v>0.2</v>
      </c>
      <c r="G62" s="49">
        <f>G60*F62</f>
        <v>5000</v>
      </c>
      <c r="I62" s="44" t="s">
        <v>146</v>
      </c>
      <c r="J62" s="47">
        <v>0.2</v>
      </c>
      <c r="K62" s="49">
        <f>K60*J62</f>
        <v>4200</v>
      </c>
      <c r="M62" s="44" t="s">
        <v>146</v>
      </c>
      <c r="N62" s="47">
        <v>0.2</v>
      </c>
      <c r="O62" s="49">
        <f>O60*N62</f>
        <v>4200</v>
      </c>
    </row>
    <row r="63" spans="1:16" ht="14.25" customHeight="1" x14ac:dyDescent="0.3">
      <c r="A63" s="44" t="s">
        <v>166</v>
      </c>
      <c r="B63" s="47">
        <v>0.13</v>
      </c>
      <c r="C63" s="49">
        <f>C60*B63</f>
        <v>2730</v>
      </c>
      <c r="E63" s="44" t="s">
        <v>166</v>
      </c>
      <c r="F63" s="47">
        <v>0.13</v>
      </c>
      <c r="G63" s="49">
        <f>G60*F63</f>
        <v>3250</v>
      </c>
      <c r="I63" s="44" t="s">
        <v>166</v>
      </c>
      <c r="J63" s="47">
        <v>0.13</v>
      </c>
      <c r="K63" s="49">
        <f>K60*J63</f>
        <v>2730</v>
      </c>
      <c r="M63" s="44" t="s">
        <v>166</v>
      </c>
      <c r="N63" s="47">
        <v>0.13</v>
      </c>
      <c r="O63" s="49">
        <f>O60*N63</f>
        <v>2730</v>
      </c>
    </row>
    <row r="64" spans="1:16" ht="14.25" customHeight="1" x14ac:dyDescent="0.3">
      <c r="A64" s="44" t="s">
        <v>150</v>
      </c>
      <c r="B64" s="44"/>
      <c r="C64" s="49"/>
      <c r="E64" s="44" t="s">
        <v>150</v>
      </c>
      <c r="F64" s="44"/>
      <c r="G64" s="49"/>
      <c r="I64" s="44" t="s">
        <v>150</v>
      </c>
      <c r="J64" s="44"/>
      <c r="K64" s="49"/>
      <c r="M64" s="44" t="s">
        <v>150</v>
      </c>
      <c r="N64" s="44"/>
      <c r="O64" s="49"/>
    </row>
    <row r="65" spans="1:16" ht="14.25" customHeight="1" x14ac:dyDescent="0.3">
      <c r="A65" s="44" t="s">
        <v>151</v>
      </c>
      <c r="B65" s="44">
        <v>0.28846100000000002</v>
      </c>
      <c r="C65" s="49">
        <f>(C60/30)*B65</f>
        <v>201.92270000000002</v>
      </c>
      <c r="E65" s="44" t="s">
        <v>151</v>
      </c>
      <c r="F65" s="44">
        <v>0.28846100000000002</v>
      </c>
      <c r="G65" s="49">
        <f>(G60/30)*F65</f>
        <v>240.38416666666669</v>
      </c>
      <c r="I65" s="44" t="s">
        <v>151</v>
      </c>
      <c r="J65" s="44">
        <v>0.28846100000000002</v>
      </c>
      <c r="K65" s="49">
        <f>(K60/30)*J65</f>
        <v>201.92270000000002</v>
      </c>
      <c r="M65" s="44" t="s">
        <v>151</v>
      </c>
      <c r="N65" s="44">
        <v>0.28846100000000002</v>
      </c>
      <c r="O65" s="49">
        <f>(O60/30)*N65</f>
        <v>201.92270000000002</v>
      </c>
    </row>
    <row r="66" spans="1:16" ht="14.25" customHeight="1" x14ac:dyDescent="0.3">
      <c r="A66" s="44" t="s">
        <v>153</v>
      </c>
      <c r="B66" s="47">
        <v>7.0000000000000007E-2</v>
      </c>
      <c r="C66" s="49">
        <f>C60*B66</f>
        <v>1470.0000000000002</v>
      </c>
      <c r="E66" s="44" t="s">
        <v>153</v>
      </c>
      <c r="F66" s="47">
        <v>7.0000000000000007E-2</v>
      </c>
      <c r="G66" s="49">
        <f>G60*F66</f>
        <v>1750.0000000000002</v>
      </c>
      <c r="I66" s="44" t="s">
        <v>153</v>
      </c>
      <c r="J66" s="47">
        <v>7.0000000000000007E-2</v>
      </c>
      <c r="K66" s="49">
        <f>K60*J66</f>
        <v>1470.0000000000002</v>
      </c>
      <c r="M66" s="44" t="s">
        <v>153</v>
      </c>
      <c r="N66" s="47">
        <v>7.0000000000000007E-2</v>
      </c>
      <c r="O66" s="49">
        <f>O60*N66</f>
        <v>1470.0000000000002</v>
      </c>
    </row>
    <row r="67" spans="1:16" ht="14.25" customHeight="1" x14ac:dyDescent="0.3">
      <c r="A67" s="44" t="s">
        <v>154</v>
      </c>
      <c r="B67" s="47">
        <v>0.02</v>
      </c>
      <c r="C67" s="49">
        <f>C60*B67</f>
        <v>420</v>
      </c>
      <c r="E67" s="44" t="s">
        <v>154</v>
      </c>
      <c r="F67" s="47">
        <v>0.02</v>
      </c>
      <c r="G67" s="49">
        <f>G60*F67</f>
        <v>500</v>
      </c>
      <c r="I67" s="44" t="s">
        <v>154</v>
      </c>
      <c r="J67" s="47">
        <v>0.02</v>
      </c>
      <c r="K67" s="49">
        <f>K60*J67</f>
        <v>420</v>
      </c>
      <c r="M67" s="44" t="s">
        <v>154</v>
      </c>
      <c r="N67" s="47">
        <v>0.02</v>
      </c>
      <c r="O67" s="49">
        <f>O60*N67</f>
        <v>420</v>
      </c>
    </row>
    <row r="68" spans="1:16" ht="14.25" customHeight="1" x14ac:dyDescent="0.3">
      <c r="A68" s="44" t="s">
        <v>155</v>
      </c>
      <c r="B68" s="47">
        <v>0.21360000000000001</v>
      </c>
      <c r="C68" s="49">
        <f>B68*C60</f>
        <v>4485.6000000000004</v>
      </c>
      <c r="E68" s="44" t="s">
        <v>155</v>
      </c>
      <c r="F68" s="47">
        <v>0.21360000000000001</v>
      </c>
      <c r="G68" s="49">
        <f>F68*G60</f>
        <v>5340</v>
      </c>
      <c r="I68" s="44" t="s">
        <v>155</v>
      </c>
      <c r="J68" s="47">
        <v>0.21360000000000001</v>
      </c>
      <c r="K68" s="49">
        <f>J68*K60</f>
        <v>4485.6000000000004</v>
      </c>
      <c r="M68" s="44" t="s">
        <v>155</v>
      </c>
      <c r="N68" s="47">
        <v>0.21360000000000001</v>
      </c>
      <c r="O68" s="49">
        <f>N68*O60</f>
        <v>4485.6000000000004</v>
      </c>
    </row>
    <row r="69" spans="1:16" ht="14.25" customHeight="1" x14ac:dyDescent="0.3">
      <c r="A69" s="35"/>
      <c r="B69" s="35"/>
      <c r="C69" s="49">
        <f>SUM(C61:C67)</f>
        <v>9651.922700000001</v>
      </c>
      <c r="E69" s="35"/>
      <c r="F69" s="35"/>
      <c r="G69" s="49">
        <f>SUM(G61:G67)</f>
        <v>11490.384166666667</v>
      </c>
      <c r="I69" s="35"/>
      <c r="J69" s="35"/>
      <c r="K69" s="49">
        <f>SUM(K61:K67)</f>
        <v>9651.922700000001</v>
      </c>
      <c r="M69" s="35"/>
      <c r="N69" s="35"/>
      <c r="O69" s="49">
        <f>SUM(O61:O67)</f>
        <v>9651.922700000001</v>
      </c>
    </row>
    <row r="70" spans="1:16" ht="14.25" customHeight="1" x14ac:dyDescent="0.3">
      <c r="A70" s="35" t="s">
        <v>158</v>
      </c>
      <c r="B70" s="35"/>
      <c r="C70" s="49">
        <f>C60+C69</f>
        <v>30651.922700000003</v>
      </c>
      <c r="E70" s="35" t="s">
        <v>158</v>
      </c>
      <c r="F70" s="35"/>
      <c r="G70" s="49">
        <f>G60+G69</f>
        <v>36490.38416666667</v>
      </c>
      <c r="I70" s="35" t="s">
        <v>158</v>
      </c>
      <c r="J70" s="35"/>
      <c r="K70" s="49">
        <f>K60+K69</f>
        <v>30651.922700000003</v>
      </c>
      <c r="M70" s="35" t="s">
        <v>158</v>
      </c>
      <c r="N70" s="35"/>
      <c r="O70" s="49">
        <f>O60+O69</f>
        <v>30651.922700000003</v>
      </c>
    </row>
    <row r="71" spans="1:16" ht="14.25" customHeight="1" x14ac:dyDescent="0.3"/>
    <row r="72" spans="1:16" ht="14.25" customHeight="1" x14ac:dyDescent="0.3"/>
    <row r="73" spans="1:16" ht="14.25" customHeight="1" x14ac:dyDescent="0.3">
      <c r="A73" s="40" t="s">
        <v>186</v>
      </c>
      <c r="B73" s="40" t="s">
        <v>145</v>
      </c>
      <c r="C73" s="40" t="s">
        <v>147</v>
      </c>
      <c r="D73" s="41" t="s">
        <v>149</v>
      </c>
      <c r="E73" s="40" t="s">
        <v>255</v>
      </c>
      <c r="F73" s="40" t="s">
        <v>145</v>
      </c>
      <c r="G73" s="40" t="s">
        <v>147</v>
      </c>
      <c r="H73" s="41" t="s">
        <v>149</v>
      </c>
      <c r="I73" s="40" t="s">
        <v>256</v>
      </c>
      <c r="J73" s="40" t="s">
        <v>145</v>
      </c>
      <c r="K73" s="40" t="s">
        <v>147</v>
      </c>
      <c r="L73" s="41" t="s">
        <v>149</v>
      </c>
      <c r="M73" s="40" t="s">
        <v>189</v>
      </c>
      <c r="N73" s="40" t="s">
        <v>145</v>
      </c>
      <c r="O73" s="40" t="s">
        <v>147</v>
      </c>
      <c r="P73" s="41" t="s">
        <v>149</v>
      </c>
    </row>
    <row r="74" spans="1:16" ht="14.25" customHeight="1" x14ac:dyDescent="0.3">
      <c r="A74" s="44" t="s">
        <v>162</v>
      </c>
      <c r="B74" s="44"/>
      <c r="C74" s="45">
        <v>18000</v>
      </c>
      <c r="D74" s="46">
        <v>1</v>
      </c>
      <c r="E74" s="44" t="s">
        <v>162</v>
      </c>
      <c r="F74" s="44"/>
      <c r="G74" s="45">
        <v>25000</v>
      </c>
      <c r="H74" s="46">
        <v>1</v>
      </c>
      <c r="I74" s="44" t="s">
        <v>162</v>
      </c>
      <c r="J74" s="44"/>
      <c r="K74" s="45">
        <v>25000</v>
      </c>
      <c r="L74" s="46">
        <v>1</v>
      </c>
      <c r="M74" s="44" t="s">
        <v>162</v>
      </c>
      <c r="N74" s="44"/>
      <c r="O74" s="45">
        <v>35000</v>
      </c>
      <c r="P74" s="46">
        <v>1</v>
      </c>
    </row>
    <row r="75" spans="1:16" ht="14.25" customHeight="1" x14ac:dyDescent="0.3">
      <c r="A75" s="44" t="s">
        <v>144</v>
      </c>
      <c r="B75" s="47">
        <v>0.03</v>
      </c>
      <c r="C75" s="49">
        <f>C74*B75</f>
        <v>540</v>
      </c>
      <c r="E75" s="44" t="s">
        <v>144</v>
      </c>
      <c r="F75" s="47">
        <v>0.03</v>
      </c>
      <c r="G75" s="49">
        <f>G74*F75</f>
        <v>750</v>
      </c>
      <c r="I75" s="44" t="s">
        <v>144</v>
      </c>
      <c r="J75" s="47">
        <v>0.03</v>
      </c>
      <c r="K75" s="49">
        <f>K74*J75</f>
        <v>750</v>
      </c>
      <c r="M75" s="44" t="s">
        <v>144</v>
      </c>
      <c r="N75" s="47">
        <v>0.03</v>
      </c>
      <c r="O75" s="49">
        <f>O74*N75</f>
        <v>1050</v>
      </c>
    </row>
    <row r="76" spans="1:16" ht="14.25" customHeight="1" x14ac:dyDescent="0.3">
      <c r="A76" s="44" t="s">
        <v>146</v>
      </c>
      <c r="B76" s="47">
        <v>0.2</v>
      </c>
      <c r="C76" s="49">
        <f>C74*B76</f>
        <v>3600</v>
      </c>
      <c r="E76" s="44" t="s">
        <v>146</v>
      </c>
      <c r="F76" s="47">
        <v>0.2</v>
      </c>
      <c r="G76" s="49">
        <f>G74*F76</f>
        <v>5000</v>
      </c>
      <c r="I76" s="44" t="s">
        <v>146</v>
      </c>
      <c r="J76" s="47">
        <v>0.2</v>
      </c>
      <c r="K76" s="49">
        <f>K74*J76</f>
        <v>5000</v>
      </c>
      <c r="M76" s="44" t="s">
        <v>146</v>
      </c>
      <c r="N76" s="47">
        <v>0.2</v>
      </c>
      <c r="O76" s="49">
        <f>O74*N76</f>
        <v>7000</v>
      </c>
    </row>
    <row r="77" spans="1:16" ht="14.25" customHeight="1" x14ac:dyDescent="0.3">
      <c r="A77" s="44" t="s">
        <v>166</v>
      </c>
      <c r="B77" s="47">
        <v>0.13</v>
      </c>
      <c r="C77" s="49">
        <f>C74*B77</f>
        <v>2340</v>
      </c>
      <c r="E77" s="44" t="s">
        <v>166</v>
      </c>
      <c r="F77" s="47">
        <v>0.13</v>
      </c>
      <c r="G77" s="49">
        <f>G74*F77</f>
        <v>3250</v>
      </c>
      <c r="I77" s="44" t="s">
        <v>166</v>
      </c>
      <c r="J77" s="47">
        <v>0.13</v>
      </c>
      <c r="K77" s="49">
        <f>K74*J77</f>
        <v>3250</v>
      </c>
      <c r="M77" s="44" t="s">
        <v>166</v>
      </c>
      <c r="N77" s="47">
        <v>0.13</v>
      </c>
      <c r="O77" s="49">
        <f>O74*N77</f>
        <v>4550</v>
      </c>
    </row>
    <row r="78" spans="1:16" ht="14.25" customHeight="1" x14ac:dyDescent="0.3">
      <c r="A78" s="44" t="s">
        <v>150</v>
      </c>
      <c r="B78" s="44"/>
      <c r="C78" s="49"/>
      <c r="E78" s="44" t="s">
        <v>150</v>
      </c>
      <c r="F78" s="44"/>
      <c r="G78" s="49"/>
      <c r="I78" s="44" t="s">
        <v>150</v>
      </c>
      <c r="J78" s="44"/>
      <c r="K78" s="49"/>
      <c r="M78" s="44" t="s">
        <v>150</v>
      </c>
      <c r="N78" s="44"/>
      <c r="O78" s="49"/>
    </row>
    <row r="79" spans="1:16" ht="14.25" customHeight="1" x14ac:dyDescent="0.3">
      <c r="A79" s="44" t="s">
        <v>151</v>
      </c>
      <c r="B79" s="44">
        <v>0.28846100000000002</v>
      </c>
      <c r="C79" s="49">
        <f>(C74/30)*B79</f>
        <v>173.07660000000001</v>
      </c>
      <c r="E79" s="44" t="s">
        <v>151</v>
      </c>
      <c r="F79" s="44">
        <v>0.28846100000000002</v>
      </c>
      <c r="G79" s="49">
        <f>(G74/30)*F79</f>
        <v>240.38416666666669</v>
      </c>
      <c r="I79" s="44" t="s">
        <v>151</v>
      </c>
      <c r="J79" s="44">
        <v>0.28846100000000002</v>
      </c>
      <c r="K79" s="49">
        <f>(K74/30)*J79</f>
        <v>240.38416666666669</v>
      </c>
      <c r="M79" s="44" t="s">
        <v>151</v>
      </c>
      <c r="N79" s="44">
        <v>0.28846100000000002</v>
      </c>
      <c r="O79" s="49">
        <f>(O74/30)*N79</f>
        <v>336.53783333333337</v>
      </c>
    </row>
    <row r="80" spans="1:16" ht="14.25" customHeight="1" x14ac:dyDescent="0.3">
      <c r="A80" s="44" t="s">
        <v>153</v>
      </c>
      <c r="B80" s="47">
        <v>7.0000000000000007E-2</v>
      </c>
      <c r="C80" s="49">
        <f>C74*B80</f>
        <v>1260.0000000000002</v>
      </c>
      <c r="E80" s="44" t="s">
        <v>153</v>
      </c>
      <c r="F80" s="47">
        <v>7.0000000000000007E-2</v>
      </c>
      <c r="G80" s="49">
        <f>G74*F80</f>
        <v>1750.0000000000002</v>
      </c>
      <c r="I80" s="44" t="s">
        <v>153</v>
      </c>
      <c r="J80" s="47">
        <v>7.0000000000000007E-2</v>
      </c>
      <c r="K80" s="49">
        <f>K74*J80</f>
        <v>1750.0000000000002</v>
      </c>
      <c r="M80" s="44" t="s">
        <v>153</v>
      </c>
      <c r="N80" s="47">
        <v>7.0000000000000007E-2</v>
      </c>
      <c r="O80" s="49">
        <f>O74*N80</f>
        <v>2450.0000000000005</v>
      </c>
    </row>
    <row r="81" spans="1:15" ht="14.25" customHeight="1" x14ac:dyDescent="0.3">
      <c r="A81" s="44" t="s">
        <v>154</v>
      </c>
      <c r="B81" s="47">
        <v>0.02</v>
      </c>
      <c r="C81" s="49">
        <f>C74*B81</f>
        <v>360</v>
      </c>
      <c r="E81" s="44" t="s">
        <v>154</v>
      </c>
      <c r="F81" s="47">
        <v>0.02</v>
      </c>
      <c r="G81" s="49">
        <f>G74*F81</f>
        <v>500</v>
      </c>
      <c r="I81" s="44" t="s">
        <v>154</v>
      </c>
      <c r="J81" s="47">
        <v>0.02</v>
      </c>
      <c r="K81" s="49">
        <f>K74*J81</f>
        <v>500</v>
      </c>
      <c r="M81" s="44" t="s">
        <v>154</v>
      </c>
      <c r="N81" s="47">
        <v>0.02</v>
      </c>
      <c r="O81" s="49">
        <f>O74*N81</f>
        <v>700</v>
      </c>
    </row>
    <row r="82" spans="1:15" ht="14.25" customHeight="1" x14ac:dyDescent="0.3">
      <c r="A82" s="44" t="s">
        <v>155</v>
      </c>
      <c r="B82" s="47">
        <v>0.21360000000000001</v>
      </c>
      <c r="C82" s="49">
        <f>B82*C74</f>
        <v>3844.8</v>
      </c>
      <c r="E82" s="44" t="s">
        <v>155</v>
      </c>
      <c r="F82" s="47">
        <v>0.21360000000000001</v>
      </c>
      <c r="G82" s="49">
        <f>F82*G74</f>
        <v>5340</v>
      </c>
      <c r="I82" s="44" t="s">
        <v>155</v>
      </c>
      <c r="J82" s="47">
        <v>0.21360000000000001</v>
      </c>
      <c r="K82" s="49">
        <f>J82*K74</f>
        <v>5340</v>
      </c>
      <c r="M82" s="44" t="s">
        <v>155</v>
      </c>
      <c r="N82" s="47">
        <v>0.23519999999999999</v>
      </c>
      <c r="O82" s="49">
        <f>N82*O74</f>
        <v>8232</v>
      </c>
    </row>
    <row r="83" spans="1:15" ht="14.25" customHeight="1" x14ac:dyDescent="0.3">
      <c r="A83" s="35"/>
      <c r="B83" s="35"/>
      <c r="C83" s="49">
        <f>SUM(C75:C81)</f>
        <v>8273.0766000000003</v>
      </c>
      <c r="E83" s="35"/>
      <c r="F83" s="35"/>
      <c r="G83" s="49">
        <f>SUM(G75:G81)</f>
        <v>11490.384166666667</v>
      </c>
      <c r="I83" s="35"/>
      <c r="J83" s="35"/>
      <c r="K83" s="49">
        <f>SUM(K75:K81)</f>
        <v>11490.384166666667</v>
      </c>
      <c r="M83" s="35"/>
      <c r="N83" s="35"/>
      <c r="O83" s="49">
        <f>SUM(O75:O81)</f>
        <v>16086.537833333334</v>
      </c>
    </row>
    <row r="84" spans="1:15" ht="14.25" customHeight="1" x14ac:dyDescent="0.3">
      <c r="A84" s="35" t="s">
        <v>158</v>
      </c>
      <c r="B84" s="35"/>
      <c r="C84" s="49">
        <f>C74+C83</f>
        <v>26273.0766</v>
      </c>
      <c r="E84" s="35" t="s">
        <v>158</v>
      </c>
      <c r="F84" s="35"/>
      <c r="G84" s="49">
        <f>G74+G83</f>
        <v>36490.38416666667</v>
      </c>
      <c r="I84" s="35" t="s">
        <v>158</v>
      </c>
      <c r="J84" s="35"/>
      <c r="K84" s="49">
        <f>K74+K83</f>
        <v>36490.38416666667</v>
      </c>
      <c r="M84" s="35" t="s">
        <v>158</v>
      </c>
      <c r="N84" s="35"/>
      <c r="O84" s="49">
        <f>O74+O83</f>
        <v>51086.537833333336</v>
      </c>
    </row>
    <row r="85" spans="1:15" ht="14.25" customHeight="1" x14ac:dyDescent="0.3"/>
    <row r="86" spans="1:15" ht="14.25" customHeight="1" x14ac:dyDescent="0.3"/>
    <row r="87" spans="1:15" ht="14.25" customHeight="1" x14ac:dyDescent="0.3">
      <c r="A87" s="40" t="s">
        <v>190</v>
      </c>
      <c r="B87" s="40" t="s">
        <v>145</v>
      </c>
      <c r="C87" s="40" t="s">
        <v>147</v>
      </c>
      <c r="D87" s="41" t="s">
        <v>149</v>
      </c>
    </row>
    <row r="88" spans="1:15" ht="14.25" customHeight="1" x14ac:dyDescent="0.3">
      <c r="A88" s="44" t="s">
        <v>162</v>
      </c>
      <c r="B88" s="44"/>
      <c r="C88" s="45">
        <v>50000</v>
      </c>
      <c r="D88" s="46">
        <v>1</v>
      </c>
    </row>
    <row r="89" spans="1:15" ht="14.25" customHeight="1" x14ac:dyDescent="0.3">
      <c r="A89" s="44" t="s">
        <v>144</v>
      </c>
      <c r="B89" s="47">
        <v>0.03</v>
      </c>
      <c r="C89" s="49">
        <f>C88*B89</f>
        <v>1500</v>
      </c>
    </row>
    <row r="90" spans="1:15" ht="14.25" customHeight="1" x14ac:dyDescent="0.3">
      <c r="A90" s="44" t="s">
        <v>146</v>
      </c>
      <c r="B90" s="47">
        <v>0.2</v>
      </c>
      <c r="C90" s="49">
        <f>C88*B90</f>
        <v>10000</v>
      </c>
    </row>
    <row r="91" spans="1:15" ht="14.25" customHeight="1" x14ac:dyDescent="0.3">
      <c r="A91" s="44" t="s">
        <v>166</v>
      </c>
      <c r="B91" s="47">
        <v>0.13</v>
      </c>
      <c r="C91" s="49">
        <f>C88*B91</f>
        <v>6500</v>
      </c>
    </row>
    <row r="92" spans="1:15" ht="14.25" customHeight="1" x14ac:dyDescent="0.3">
      <c r="A92" s="44" t="s">
        <v>150</v>
      </c>
      <c r="B92" s="44"/>
      <c r="C92" s="49"/>
    </row>
    <row r="93" spans="1:15" ht="14.25" customHeight="1" x14ac:dyDescent="0.3">
      <c r="A93" s="44" t="s">
        <v>151</v>
      </c>
      <c r="B93" s="44">
        <v>0.28846100000000002</v>
      </c>
      <c r="C93" s="49">
        <f>(C88/30)*B93</f>
        <v>480.76833333333337</v>
      </c>
    </row>
    <row r="94" spans="1:15" ht="14.25" customHeight="1" x14ac:dyDescent="0.3">
      <c r="A94" s="44" t="s">
        <v>153</v>
      </c>
      <c r="B94" s="47">
        <v>7.0000000000000007E-2</v>
      </c>
      <c r="C94" s="49">
        <f>C88*B94</f>
        <v>3500.0000000000005</v>
      </c>
    </row>
    <row r="95" spans="1:15" ht="14.25" customHeight="1" x14ac:dyDescent="0.3">
      <c r="A95" s="44" t="s">
        <v>154</v>
      </c>
      <c r="B95" s="47">
        <v>0.02</v>
      </c>
      <c r="C95" s="49">
        <f>C88*B95</f>
        <v>1000</v>
      </c>
    </row>
    <row r="96" spans="1:15" ht="14.25" customHeight="1" x14ac:dyDescent="0.3">
      <c r="A96" s="44" t="s">
        <v>155</v>
      </c>
      <c r="B96" s="47">
        <v>0.3</v>
      </c>
      <c r="C96" s="49">
        <f>B96*C88</f>
        <v>15000</v>
      </c>
    </row>
    <row r="97" spans="1:12" ht="14.25" customHeight="1" x14ac:dyDescent="0.3">
      <c r="A97" s="35"/>
      <c r="B97" s="35"/>
      <c r="C97" s="49">
        <f>SUM(C89:C95)</f>
        <v>22980.768333333333</v>
      </c>
    </row>
    <row r="98" spans="1:12" ht="14.25" customHeight="1" x14ac:dyDescent="0.3">
      <c r="A98" s="35" t="s">
        <v>158</v>
      </c>
      <c r="B98" s="35"/>
      <c r="C98" s="49">
        <f>C88+C97</f>
        <v>72980.768333333341</v>
      </c>
    </row>
    <row r="99" spans="1:12" ht="14.25" customHeight="1" x14ac:dyDescent="0.3"/>
    <row r="100" spans="1:12" ht="14.25" customHeight="1" x14ac:dyDescent="0.3"/>
    <row r="101" spans="1:12" ht="14.25" customHeight="1" x14ac:dyDescent="0.3">
      <c r="A101" s="40" t="s">
        <v>191</v>
      </c>
      <c r="B101" s="40" t="s">
        <v>145</v>
      </c>
      <c r="C101" s="40" t="s">
        <v>147</v>
      </c>
      <c r="D101" s="41" t="s">
        <v>149</v>
      </c>
      <c r="E101" s="40" t="s">
        <v>192</v>
      </c>
      <c r="F101" s="40" t="s">
        <v>145</v>
      </c>
      <c r="G101" s="40" t="s">
        <v>147</v>
      </c>
      <c r="H101" s="41" t="s">
        <v>149</v>
      </c>
      <c r="I101" s="40" t="s">
        <v>193</v>
      </c>
      <c r="J101" s="40" t="s">
        <v>145</v>
      </c>
      <c r="K101" s="40" t="s">
        <v>147</v>
      </c>
      <c r="L101" s="41" t="s">
        <v>149</v>
      </c>
    </row>
    <row r="102" spans="1:12" ht="14.25" customHeight="1" x14ac:dyDescent="0.3">
      <c r="A102" s="44" t="s">
        <v>162</v>
      </c>
      <c r="B102" s="44"/>
      <c r="C102" s="45">
        <v>10000</v>
      </c>
      <c r="D102" s="46">
        <v>1</v>
      </c>
      <c r="E102" s="44" t="s">
        <v>162</v>
      </c>
      <c r="F102" s="44"/>
      <c r="G102" s="45">
        <v>10000</v>
      </c>
      <c r="H102" s="46">
        <v>1</v>
      </c>
      <c r="I102" s="44" t="s">
        <v>162</v>
      </c>
      <c r="J102" s="44"/>
      <c r="K102" s="45">
        <v>15000</v>
      </c>
      <c r="L102" s="46">
        <v>1</v>
      </c>
    </row>
    <row r="103" spans="1:12" ht="14.25" customHeight="1" x14ac:dyDescent="0.3">
      <c r="A103" s="44" t="s">
        <v>144</v>
      </c>
      <c r="B103" s="47">
        <v>0.03</v>
      </c>
      <c r="C103" s="49">
        <f>C102*B103</f>
        <v>300</v>
      </c>
      <c r="E103" s="44" t="s">
        <v>144</v>
      </c>
      <c r="F103" s="47">
        <v>0.03</v>
      </c>
      <c r="G103" s="49">
        <f>G102*F103</f>
        <v>300</v>
      </c>
      <c r="I103" s="44" t="s">
        <v>144</v>
      </c>
      <c r="J103" s="47">
        <v>0.03</v>
      </c>
      <c r="K103" s="49">
        <f>K102*J103</f>
        <v>450</v>
      </c>
    </row>
    <row r="104" spans="1:12" ht="14.25" customHeight="1" x14ac:dyDescent="0.3">
      <c r="A104" s="44" t="s">
        <v>146</v>
      </c>
      <c r="B104" s="47">
        <v>0.2</v>
      </c>
      <c r="C104" s="49">
        <f>C102*B104</f>
        <v>2000</v>
      </c>
      <c r="E104" s="44" t="s">
        <v>146</v>
      </c>
      <c r="F104" s="47">
        <v>0.2</v>
      </c>
      <c r="G104" s="49">
        <f>G102*F104</f>
        <v>2000</v>
      </c>
      <c r="I104" s="44" t="s">
        <v>146</v>
      </c>
      <c r="J104" s="47">
        <v>0.2</v>
      </c>
      <c r="K104" s="49">
        <f>K102*J104</f>
        <v>3000</v>
      </c>
    </row>
    <row r="105" spans="1:12" ht="14.25" customHeight="1" x14ac:dyDescent="0.3">
      <c r="A105" s="44" t="s">
        <v>166</v>
      </c>
      <c r="B105" s="47">
        <v>0.13</v>
      </c>
      <c r="C105" s="49">
        <f>C102*B105</f>
        <v>1300</v>
      </c>
      <c r="E105" s="44" t="s">
        <v>166</v>
      </c>
      <c r="F105" s="47">
        <v>0.13</v>
      </c>
      <c r="G105" s="49">
        <f>G102*F105</f>
        <v>1300</v>
      </c>
      <c r="I105" s="44" t="s">
        <v>166</v>
      </c>
      <c r="J105" s="47">
        <v>0.13</v>
      </c>
      <c r="K105" s="49">
        <f>K102*J105</f>
        <v>1950</v>
      </c>
    </row>
    <row r="106" spans="1:12" ht="14.25" customHeight="1" x14ac:dyDescent="0.3">
      <c r="A106" s="44" t="s">
        <v>150</v>
      </c>
      <c r="B106" s="44"/>
      <c r="C106" s="49"/>
      <c r="E106" s="44" t="s">
        <v>150</v>
      </c>
      <c r="F106" s="44"/>
      <c r="G106" s="49"/>
      <c r="I106" s="44" t="s">
        <v>150</v>
      </c>
      <c r="J106" s="44"/>
      <c r="K106" s="49"/>
    </row>
    <row r="107" spans="1:12" ht="14.25" customHeight="1" x14ac:dyDescent="0.3">
      <c r="A107" s="44" t="s">
        <v>151</v>
      </c>
      <c r="B107" s="44">
        <v>0.28846100000000002</v>
      </c>
      <c r="C107" s="49">
        <f>(C102/30)*B107</f>
        <v>96.153666666666666</v>
      </c>
      <c r="E107" s="44" t="s">
        <v>151</v>
      </c>
      <c r="F107" s="44">
        <v>0.28846100000000002</v>
      </c>
      <c r="G107" s="49">
        <f>(G102/30)*F107</f>
        <v>96.153666666666666</v>
      </c>
      <c r="I107" s="44" t="s">
        <v>151</v>
      </c>
      <c r="J107" s="44">
        <v>0.28846100000000002</v>
      </c>
      <c r="K107" s="49">
        <f>(K102/30)*J107</f>
        <v>144.23050000000001</v>
      </c>
    </row>
    <row r="108" spans="1:12" ht="14.25" customHeight="1" x14ac:dyDescent="0.3">
      <c r="A108" s="44" t="s">
        <v>153</v>
      </c>
      <c r="B108" s="47">
        <v>7.0000000000000007E-2</v>
      </c>
      <c r="C108" s="49">
        <f>C102*B108</f>
        <v>700.00000000000011</v>
      </c>
      <c r="E108" s="44" t="s">
        <v>153</v>
      </c>
      <c r="F108" s="47">
        <v>7.0000000000000007E-2</v>
      </c>
      <c r="G108" s="49">
        <f>G102*F108</f>
        <v>700.00000000000011</v>
      </c>
      <c r="I108" s="44" t="s">
        <v>153</v>
      </c>
      <c r="J108" s="47">
        <v>7.0000000000000007E-2</v>
      </c>
      <c r="K108" s="49">
        <f>K102*J108</f>
        <v>1050</v>
      </c>
    </row>
    <row r="109" spans="1:12" ht="14.25" customHeight="1" x14ac:dyDescent="0.3">
      <c r="A109" s="44" t="s">
        <v>154</v>
      </c>
      <c r="B109" s="47">
        <v>0.02</v>
      </c>
      <c r="C109" s="49">
        <f>C102*B109</f>
        <v>200</v>
      </c>
      <c r="E109" s="44" t="s">
        <v>154</v>
      </c>
      <c r="F109" s="47">
        <v>0.02</v>
      </c>
      <c r="G109" s="49">
        <f>G102*F109</f>
        <v>200</v>
      </c>
      <c r="I109" s="44" t="s">
        <v>154</v>
      </c>
      <c r="J109" s="47">
        <v>0.02</v>
      </c>
      <c r="K109" s="49">
        <f>K102*J109</f>
        <v>300</v>
      </c>
    </row>
    <row r="110" spans="1:12" ht="14.25" customHeight="1" x14ac:dyDescent="0.3">
      <c r="A110" s="44" t="s">
        <v>155</v>
      </c>
      <c r="B110" s="47">
        <v>0.10879999999999999</v>
      </c>
      <c r="C110" s="49">
        <f>C102*B110</f>
        <v>1088</v>
      </c>
      <c r="E110" s="44" t="s">
        <v>155</v>
      </c>
      <c r="F110" s="47">
        <v>0.10879999999999999</v>
      </c>
      <c r="G110" s="49">
        <f>G102*F110</f>
        <v>1088</v>
      </c>
      <c r="I110" s="44" t="s">
        <v>155</v>
      </c>
      <c r="J110" s="47">
        <v>0.13</v>
      </c>
      <c r="K110" s="49">
        <f>K102*J110</f>
        <v>1950</v>
      </c>
    </row>
    <row r="111" spans="1:12" ht="14.25" customHeight="1" x14ac:dyDescent="0.3">
      <c r="A111" s="35"/>
      <c r="B111" s="35"/>
      <c r="C111" s="49">
        <f>SUM(C103:C109)</f>
        <v>4596.153666666667</v>
      </c>
      <c r="E111" s="35"/>
      <c r="F111" s="35"/>
      <c r="G111" s="49">
        <f>SUM(G103:G109)</f>
        <v>4596.153666666667</v>
      </c>
      <c r="I111" s="35"/>
      <c r="J111" s="35"/>
      <c r="K111" s="49">
        <f>SUM(K103:K109)</f>
        <v>6894.2304999999997</v>
      </c>
    </row>
    <row r="112" spans="1:12" ht="14.25" customHeight="1" x14ac:dyDescent="0.3">
      <c r="A112" s="35" t="s">
        <v>158</v>
      </c>
      <c r="B112" s="35"/>
      <c r="C112" s="49">
        <f>C102+C111</f>
        <v>14596.153666666667</v>
      </c>
      <c r="E112" s="35" t="s">
        <v>158</v>
      </c>
      <c r="F112" s="35"/>
      <c r="G112" s="49">
        <f>G102+G111</f>
        <v>14596.153666666667</v>
      </c>
      <c r="I112" s="35" t="s">
        <v>158</v>
      </c>
      <c r="J112" s="35"/>
      <c r="K112" s="49">
        <f>K102+K111</f>
        <v>21894.230499999998</v>
      </c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tabSelected="1" workbookViewId="0"/>
  </sheetViews>
  <sheetFormatPr baseColWidth="10" defaultColWidth="12.6640625" defaultRowHeight="15" customHeight="1" x14ac:dyDescent="0.3"/>
  <cols>
    <col min="1" max="1" width="19.44140625" customWidth="1"/>
    <col min="2" max="2" width="36" customWidth="1"/>
    <col min="3" max="3" width="24.33203125" customWidth="1"/>
    <col min="4" max="4" width="26.44140625" customWidth="1"/>
    <col min="5" max="5" width="32.33203125" customWidth="1"/>
    <col min="6" max="26" width="10.6640625" customWidth="1"/>
  </cols>
  <sheetData>
    <row r="1" spans="1:5" ht="14.25" customHeight="1" x14ac:dyDescent="0.3">
      <c r="A1" s="55" t="s">
        <v>194</v>
      </c>
      <c r="B1" s="55" t="s">
        <v>195</v>
      </c>
      <c r="C1" s="55" t="s">
        <v>12</v>
      </c>
      <c r="D1" s="55" t="s">
        <v>196</v>
      </c>
      <c r="E1" s="55" t="s">
        <v>197</v>
      </c>
    </row>
    <row r="2" spans="1:5" ht="14.25" customHeight="1" x14ac:dyDescent="0.3">
      <c r="A2" s="44" t="s">
        <v>198</v>
      </c>
      <c r="B2" s="44" t="s">
        <v>199</v>
      </c>
      <c r="C2" s="56" t="s">
        <v>200</v>
      </c>
      <c r="D2" s="57">
        <v>60000</v>
      </c>
      <c r="E2" s="56" t="s">
        <v>201</v>
      </c>
    </row>
    <row r="3" spans="1:5" ht="14.25" customHeight="1" x14ac:dyDescent="0.3">
      <c r="A3" s="44"/>
      <c r="B3" s="44" t="s">
        <v>202</v>
      </c>
      <c r="C3" s="56" t="s">
        <v>203</v>
      </c>
      <c r="D3" s="57">
        <v>8000</v>
      </c>
      <c r="E3" s="56" t="s">
        <v>204</v>
      </c>
    </row>
    <row r="4" spans="1:5" ht="14.25" customHeight="1" x14ac:dyDescent="0.3">
      <c r="A4" s="44"/>
      <c r="B4" s="44" t="s">
        <v>205</v>
      </c>
      <c r="C4" s="56" t="s">
        <v>206</v>
      </c>
      <c r="D4" s="57">
        <v>5000</v>
      </c>
      <c r="E4" s="56" t="s">
        <v>207</v>
      </c>
    </row>
    <row r="5" spans="1:5" ht="14.25" customHeight="1" x14ac:dyDescent="0.3">
      <c r="A5" s="44"/>
      <c r="B5" s="44" t="s">
        <v>208</v>
      </c>
      <c r="C5" s="56" t="s">
        <v>209</v>
      </c>
      <c r="D5" s="57">
        <v>8000</v>
      </c>
      <c r="E5" s="56" t="s">
        <v>210</v>
      </c>
    </row>
    <row r="6" spans="1:5" ht="14.25" customHeight="1" x14ac:dyDescent="0.3">
      <c r="A6" s="44" t="s">
        <v>211</v>
      </c>
      <c r="B6" s="44" t="s">
        <v>212</v>
      </c>
      <c r="C6" s="56" t="s">
        <v>213</v>
      </c>
      <c r="D6" s="57">
        <v>30000</v>
      </c>
      <c r="E6" s="56" t="s">
        <v>214</v>
      </c>
    </row>
    <row r="7" spans="1:5" ht="14.25" customHeight="1" x14ac:dyDescent="0.3">
      <c r="A7" s="44"/>
      <c r="B7" s="44" t="s">
        <v>192</v>
      </c>
      <c r="C7" s="56" t="s">
        <v>215</v>
      </c>
      <c r="D7" s="57">
        <v>25000</v>
      </c>
      <c r="E7" s="56" t="s">
        <v>216</v>
      </c>
    </row>
    <row r="8" spans="1:5" ht="14.25" customHeight="1" x14ac:dyDescent="0.3">
      <c r="A8" s="44"/>
      <c r="B8" s="44" t="s">
        <v>217</v>
      </c>
      <c r="C8" s="56" t="s">
        <v>218</v>
      </c>
      <c r="D8" s="57">
        <v>15000</v>
      </c>
      <c r="E8" s="56" t="s">
        <v>219</v>
      </c>
    </row>
    <row r="9" spans="1:5" ht="14.25" customHeight="1" x14ac:dyDescent="0.3">
      <c r="A9" s="44" t="s">
        <v>220</v>
      </c>
      <c r="B9" s="44" t="s">
        <v>221</v>
      </c>
      <c r="C9" s="56" t="s">
        <v>222</v>
      </c>
      <c r="D9" s="57">
        <v>0</v>
      </c>
      <c r="E9" s="56" t="s">
        <v>223</v>
      </c>
    </row>
    <row r="10" spans="1:5" ht="14.25" customHeight="1" x14ac:dyDescent="0.3">
      <c r="A10" s="44"/>
      <c r="B10" s="44" t="s">
        <v>224</v>
      </c>
      <c r="C10" s="56" t="s">
        <v>225</v>
      </c>
      <c r="D10" s="57">
        <v>200000</v>
      </c>
      <c r="E10" s="56" t="s">
        <v>226</v>
      </c>
    </row>
    <row r="11" spans="1:5" ht="14.25" customHeight="1" x14ac:dyDescent="0.3">
      <c r="A11" s="44"/>
      <c r="B11" s="44" t="s">
        <v>227</v>
      </c>
      <c r="C11" s="56" t="s">
        <v>228</v>
      </c>
      <c r="D11" s="57">
        <v>8000</v>
      </c>
      <c r="E11" s="56" t="s">
        <v>229</v>
      </c>
    </row>
    <row r="12" spans="1:5" ht="14.25" customHeight="1" x14ac:dyDescent="0.3">
      <c r="A12" s="44"/>
      <c r="B12" s="44" t="s">
        <v>230</v>
      </c>
      <c r="C12" s="56" t="s">
        <v>231</v>
      </c>
      <c r="D12" s="57">
        <v>15000</v>
      </c>
      <c r="E12" s="56" t="s">
        <v>232</v>
      </c>
    </row>
    <row r="13" spans="1:5" ht="14.25" customHeight="1" x14ac:dyDescent="0.3">
      <c r="A13" s="44"/>
      <c r="B13" s="44" t="s">
        <v>233</v>
      </c>
      <c r="C13" s="56" t="s">
        <v>234</v>
      </c>
      <c r="D13" s="57">
        <v>20000</v>
      </c>
      <c r="E13" s="56" t="s">
        <v>235</v>
      </c>
    </row>
    <row r="14" spans="1:5" ht="14.25" customHeight="1" x14ac:dyDescent="0.3">
      <c r="A14" s="44"/>
      <c r="B14" s="44" t="s">
        <v>236</v>
      </c>
      <c r="C14" s="56" t="s">
        <v>237</v>
      </c>
      <c r="D14" s="57">
        <v>15000</v>
      </c>
      <c r="E14" s="56" t="s">
        <v>238</v>
      </c>
    </row>
    <row r="15" spans="1:5" ht="14.25" customHeight="1" x14ac:dyDescent="0.3">
      <c r="A15" s="44"/>
      <c r="B15" s="44" t="s">
        <v>239</v>
      </c>
      <c r="C15" s="56" t="s">
        <v>240</v>
      </c>
      <c r="D15" s="57">
        <v>5000</v>
      </c>
      <c r="E15" s="56" t="s">
        <v>241</v>
      </c>
    </row>
    <row r="16" spans="1:5" ht="14.25" customHeight="1" x14ac:dyDescent="0.3">
      <c r="A16" s="44"/>
      <c r="B16" s="44" t="s">
        <v>242</v>
      </c>
      <c r="C16" s="56" t="s">
        <v>243</v>
      </c>
      <c r="D16" s="57">
        <v>10000</v>
      </c>
      <c r="E16" s="56" t="s">
        <v>244</v>
      </c>
    </row>
    <row r="17" spans="1:5" ht="14.25" customHeight="1" x14ac:dyDescent="0.3">
      <c r="A17" s="44"/>
      <c r="B17" s="44" t="s">
        <v>245</v>
      </c>
      <c r="C17" s="56" t="s">
        <v>246</v>
      </c>
      <c r="D17" s="57">
        <v>10000</v>
      </c>
      <c r="E17" s="56" t="s">
        <v>247</v>
      </c>
    </row>
    <row r="18" spans="1:5" ht="14.25" customHeight="1" x14ac:dyDescent="0.3">
      <c r="A18" s="44"/>
      <c r="B18" s="44" t="s">
        <v>248</v>
      </c>
      <c r="C18" s="56" t="s">
        <v>249</v>
      </c>
      <c r="D18" s="57">
        <v>5000</v>
      </c>
      <c r="E18" s="56" t="s">
        <v>250</v>
      </c>
    </row>
    <row r="19" spans="1:5" ht="14.25" customHeight="1" x14ac:dyDescent="0.3">
      <c r="A19" s="58"/>
      <c r="B19" s="58" t="s">
        <v>251</v>
      </c>
      <c r="C19" s="59" t="s">
        <v>252</v>
      </c>
      <c r="D19" s="60">
        <v>4000</v>
      </c>
      <c r="E19" s="59" t="s">
        <v>253</v>
      </c>
    </row>
    <row r="20" spans="1:5" ht="14.25" customHeight="1" x14ac:dyDescent="0.3"/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Premisas</vt:lpstr>
      <vt:lpstr>COs</vt:lpstr>
      <vt:lpstr>Capacidad</vt:lpstr>
      <vt:lpstr>BOM</vt:lpstr>
      <vt:lpstr>Inversion</vt:lpstr>
      <vt:lpstr>Empleados_2</vt:lpstr>
      <vt:lpstr>Empleados</vt:lpstr>
      <vt:lpstr>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 Alducin</dc:creator>
  <cp:lastModifiedBy>Santi Alducin</cp:lastModifiedBy>
  <dcterms:created xsi:type="dcterms:W3CDTF">2026-08-20T02:00:13Z</dcterms:created>
  <dcterms:modified xsi:type="dcterms:W3CDTF">2026-09-29T23:06:05Z</dcterms:modified>
</cp:coreProperties>
</file>