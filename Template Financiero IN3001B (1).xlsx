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\Documents\Personal\Novus\tecbooks\"/>
    </mc:Choice>
  </mc:AlternateContent>
  <xr:revisionPtr revIDLastSave="0" documentId="13_ncr:1_{E300C93A-73C8-4F69-A9EB-423753C14329}" xr6:coauthVersionLast="47" xr6:coauthVersionMax="47" xr10:uidLastSave="{00000000-0000-0000-0000-000000000000}"/>
  <bookViews>
    <workbookView xWindow="-108" yWindow="-108" windowWidth="23256" windowHeight="12456" tabRatio="651" activeTab="3" xr2:uid="{4E254C54-9BE2-42C1-A0A8-9417C5E2CF9F}"/>
  </bookViews>
  <sheets>
    <sheet name="Premisas" sheetId="5" r:id="rId1"/>
    <sheet name="COs" sheetId="1" r:id="rId2"/>
    <sheet name="Capacidad" sheetId="2" r:id="rId3"/>
    <sheet name="BOM" sheetId="3" r:id="rId4"/>
    <sheet name="Depreciación." sheetId="4" r:id="rId5"/>
    <sheet name="Financiamiento" sheetId="7" r:id="rId6"/>
    <sheet name="Egresos" sheetId="6" r:id="rId7"/>
    <sheet name="Ingresos" sheetId="9" r:id="rId8"/>
    <sheet name="Estado R" sheetId="8" r:id="rId9"/>
    <sheet name="Flujo" sheetId="10" r:id="rId10"/>
    <sheet name="Balance" sheetId="11" r:id="rId11"/>
    <sheet name="Razones" sheetId="12" r:id="rId12"/>
    <sheet name="Graficos" sheetId="13" r:id="rId13"/>
  </sheets>
  <externalReferences>
    <externalReference r:id="rId14"/>
    <externalReference r:id="rId15"/>
  </externalReferences>
  <definedNames>
    <definedName name="_xlchart.v1.0" hidden="1">BOM!$B$9:$B$25</definedName>
    <definedName name="_xlchart.v1.1" hidden="1">BOM!$F$9:$F$25</definedName>
    <definedName name="_xlnm.Extract">[1]capacidad!#REF!</definedName>
    <definedName name="_xlnm.Criteria">[1]capacidad!#REF!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8" l="1"/>
  <c r="C15" i="10" s="1"/>
  <c r="B19" i="10"/>
  <c r="B13" i="8"/>
  <c r="C129" i="6"/>
  <c r="B153" i="6"/>
  <c r="C9" i="6"/>
  <c r="C13" i="6"/>
  <c r="G9" i="6"/>
  <c r="B38" i="10"/>
  <c r="B40" i="10"/>
  <c r="F16" i="2"/>
  <c r="B27" i="9"/>
  <c r="B29" i="9" s="1"/>
  <c r="B4" i="8" s="1"/>
  <c r="G17" i="2"/>
  <c r="F17" i="2"/>
  <c r="C177" i="6" s="1"/>
  <c r="E17" i="2"/>
  <c r="E16" i="2"/>
  <c r="B176" i="6"/>
  <c r="B58" i="8" s="1"/>
  <c r="B206" i="6"/>
  <c r="B10" i="9"/>
  <c r="C136" i="6"/>
  <c r="G17" i="11"/>
  <c r="H17" i="11" s="1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65" i="8"/>
  <c r="E50" i="8"/>
  <c r="B52" i="8"/>
  <c r="M38" i="8"/>
  <c r="C2" i="12"/>
  <c r="D2" i="12" s="1"/>
  <c r="E2" i="12" s="1"/>
  <c r="F2" i="12" s="1"/>
  <c r="G2" i="12" s="1"/>
  <c r="H2" i="12" s="1"/>
  <c r="I2" i="12" s="1"/>
  <c r="J2" i="12" s="1"/>
  <c r="K2" i="12" s="1"/>
  <c r="L2" i="12" s="1"/>
  <c r="D29" i="11"/>
  <c r="E29" i="11"/>
  <c r="F29" i="11"/>
  <c r="G29" i="11"/>
  <c r="H29" i="11"/>
  <c r="I29" i="11"/>
  <c r="J29" i="11"/>
  <c r="K29" i="11"/>
  <c r="L29" i="11"/>
  <c r="M29" i="11"/>
  <c r="D37" i="11"/>
  <c r="E37" i="11"/>
  <c r="F37" i="11"/>
  <c r="G37" i="11"/>
  <c r="H37" i="11"/>
  <c r="H45" i="11" s="1"/>
  <c r="I37" i="11"/>
  <c r="I45" i="11" s="1"/>
  <c r="J37" i="11"/>
  <c r="K37" i="11"/>
  <c r="K45" i="11" s="1"/>
  <c r="L37" i="11"/>
  <c r="L45" i="11" s="1"/>
  <c r="M37" i="11"/>
  <c r="M45" i="11" s="1"/>
  <c r="J45" i="11"/>
  <c r="H43" i="11"/>
  <c r="I43" i="11"/>
  <c r="J43" i="11"/>
  <c r="K43" i="11"/>
  <c r="L43" i="11"/>
  <c r="M43" i="11"/>
  <c r="N43" i="11"/>
  <c r="C37" i="11"/>
  <c r="C29" i="11"/>
  <c r="D20" i="11"/>
  <c r="E20" i="11"/>
  <c r="F20" i="11"/>
  <c r="G20" i="11"/>
  <c r="H20" i="11"/>
  <c r="I20" i="11"/>
  <c r="J20" i="11"/>
  <c r="K20" i="11"/>
  <c r="L20" i="11"/>
  <c r="M20" i="11"/>
  <c r="C21" i="11"/>
  <c r="D21" i="11" s="1"/>
  <c r="E21" i="11" s="1"/>
  <c r="F21" i="11" s="1"/>
  <c r="G21" i="11" s="1"/>
  <c r="H21" i="11" s="1"/>
  <c r="I21" i="11" s="1"/>
  <c r="J21" i="11" s="1"/>
  <c r="K21" i="11" s="1"/>
  <c r="L21" i="11" s="1"/>
  <c r="M21" i="11" s="1"/>
  <c r="C20" i="11"/>
  <c r="E19" i="11"/>
  <c r="F19" i="11" s="1"/>
  <c r="G19" i="11" s="1"/>
  <c r="H19" i="11" s="1"/>
  <c r="I19" i="11" s="1"/>
  <c r="J19" i="11" s="1"/>
  <c r="K19" i="11" s="1"/>
  <c r="L19" i="11" s="1"/>
  <c r="M19" i="11" s="1"/>
  <c r="D19" i="11"/>
  <c r="C19" i="11"/>
  <c r="D18" i="11"/>
  <c r="E18" i="11"/>
  <c r="F18" i="11"/>
  <c r="G18" i="11"/>
  <c r="H18" i="11"/>
  <c r="I18" i="11"/>
  <c r="J18" i="11"/>
  <c r="K18" i="11"/>
  <c r="L18" i="11"/>
  <c r="M18" i="11"/>
  <c r="C18" i="11"/>
  <c r="D14" i="11"/>
  <c r="D16" i="11"/>
  <c r="E16" i="11"/>
  <c r="F16" i="11"/>
  <c r="G16" i="11"/>
  <c r="H16" i="11"/>
  <c r="I16" i="11"/>
  <c r="J16" i="11"/>
  <c r="K16" i="11"/>
  <c r="L16" i="11"/>
  <c r="M16" i="11"/>
  <c r="C17" i="11"/>
  <c r="D17" i="11" s="1"/>
  <c r="C16" i="11"/>
  <c r="C23" i="11" s="1"/>
  <c r="E15" i="11"/>
  <c r="F15" i="11" s="1"/>
  <c r="G15" i="11" s="1"/>
  <c r="H15" i="11" s="1"/>
  <c r="I15" i="11" s="1"/>
  <c r="J15" i="11" s="1"/>
  <c r="K15" i="11" s="1"/>
  <c r="D15" i="11"/>
  <c r="J14" i="11"/>
  <c r="K14" i="11"/>
  <c r="L14" i="11"/>
  <c r="M14" i="11"/>
  <c r="E14" i="11"/>
  <c r="F14" i="11"/>
  <c r="G14" i="11"/>
  <c r="H14" i="11"/>
  <c r="I14" i="11"/>
  <c r="C15" i="11"/>
  <c r="C14" i="11"/>
  <c r="D3" i="11"/>
  <c r="E3" i="11" s="1"/>
  <c r="F3" i="11" s="1"/>
  <c r="G3" i="11" s="1"/>
  <c r="H3" i="11" s="1"/>
  <c r="I3" i="11" s="1"/>
  <c r="J3" i="11" s="1"/>
  <c r="K3" i="11" s="1"/>
  <c r="L3" i="11" s="1"/>
  <c r="M3" i="11" s="1"/>
  <c r="I26" i="10"/>
  <c r="J26" i="10"/>
  <c r="L26" i="10"/>
  <c r="G27" i="10"/>
  <c r="K27" i="10"/>
  <c r="L27" i="10"/>
  <c r="B23" i="10"/>
  <c r="B24" i="10"/>
  <c r="B25" i="10"/>
  <c r="C19" i="10"/>
  <c r="D19" i="10"/>
  <c r="E19" i="10"/>
  <c r="F19" i="10"/>
  <c r="G19" i="10"/>
  <c r="H19" i="10"/>
  <c r="I19" i="10"/>
  <c r="J19" i="10"/>
  <c r="K19" i="10"/>
  <c r="L19" i="10"/>
  <c r="C18" i="10"/>
  <c r="D18" i="10"/>
  <c r="E18" i="10"/>
  <c r="F18" i="10"/>
  <c r="G18" i="10"/>
  <c r="H18" i="10"/>
  <c r="I18" i="10"/>
  <c r="J18" i="10"/>
  <c r="K18" i="10"/>
  <c r="L18" i="10"/>
  <c r="B18" i="10"/>
  <c r="G15" i="10"/>
  <c r="H15" i="10"/>
  <c r="G5" i="10"/>
  <c r="H5" i="10"/>
  <c r="J5" i="10"/>
  <c r="K5" i="10"/>
  <c r="B21" i="10"/>
  <c r="B22" i="10"/>
  <c r="B21" i="8"/>
  <c r="C2" i="10"/>
  <c r="D2" i="10" s="1"/>
  <c r="E2" i="10" s="1"/>
  <c r="F2" i="10" s="1"/>
  <c r="G2" i="10" s="1"/>
  <c r="H2" i="10" s="1"/>
  <c r="I2" i="10" s="1"/>
  <c r="J2" i="10" s="1"/>
  <c r="K2" i="10" s="1"/>
  <c r="L2" i="10" s="1"/>
  <c r="E6" i="8"/>
  <c r="E13" i="8" s="1"/>
  <c r="E17" i="10" s="1"/>
  <c r="F6" i="8"/>
  <c r="F13" i="8" s="1"/>
  <c r="F17" i="10" s="1"/>
  <c r="G6" i="8"/>
  <c r="G13" i="8" s="1"/>
  <c r="G17" i="10" s="1"/>
  <c r="D4" i="8"/>
  <c r="D5" i="10" s="1"/>
  <c r="E4" i="8"/>
  <c r="E5" i="10" s="1"/>
  <c r="F4" i="8"/>
  <c r="F5" i="10" s="1"/>
  <c r="G4" i="8"/>
  <c r="H4" i="8"/>
  <c r="H6" i="8" s="1"/>
  <c r="H13" i="8" s="1"/>
  <c r="H17" i="10" s="1"/>
  <c r="I4" i="8"/>
  <c r="I6" i="8" s="1"/>
  <c r="I13" i="8" s="1"/>
  <c r="I17" i="10" s="1"/>
  <c r="J4" i="8"/>
  <c r="J6" i="8" s="1"/>
  <c r="J13" i="8" s="1"/>
  <c r="J17" i="10" s="1"/>
  <c r="K4" i="8"/>
  <c r="K6" i="8" s="1"/>
  <c r="K13" i="8" s="1"/>
  <c r="K17" i="10" s="1"/>
  <c r="L4" i="8"/>
  <c r="L5" i="10" s="1"/>
  <c r="D29" i="9"/>
  <c r="E29" i="9"/>
  <c r="F29" i="9"/>
  <c r="G29" i="9"/>
  <c r="H29" i="9"/>
  <c r="I29" i="9"/>
  <c r="J29" i="9"/>
  <c r="K29" i="9"/>
  <c r="L29" i="9"/>
  <c r="C28" i="9"/>
  <c r="D28" i="9"/>
  <c r="E28" i="9"/>
  <c r="F28" i="9"/>
  <c r="G28" i="9"/>
  <c r="H28" i="9"/>
  <c r="I28" i="9"/>
  <c r="J28" i="9"/>
  <c r="K28" i="9"/>
  <c r="L28" i="9"/>
  <c r="B28" i="9"/>
  <c r="D27" i="9"/>
  <c r="E27" i="9"/>
  <c r="F27" i="9"/>
  <c r="G27" i="9"/>
  <c r="H27" i="9"/>
  <c r="I27" i="9"/>
  <c r="J27" i="9"/>
  <c r="K27" i="9"/>
  <c r="L27" i="9"/>
  <c r="E26" i="9"/>
  <c r="F26" i="9" s="1"/>
  <c r="G26" i="9" s="1"/>
  <c r="H26" i="9" s="1"/>
  <c r="I26" i="9" s="1"/>
  <c r="J26" i="9" s="1"/>
  <c r="K26" i="9" s="1"/>
  <c r="L26" i="9" s="1"/>
  <c r="D26" i="9"/>
  <c r="C26" i="9"/>
  <c r="D23" i="9"/>
  <c r="E23" i="9"/>
  <c r="F23" i="9" s="1"/>
  <c r="G23" i="9" s="1"/>
  <c r="H23" i="9" s="1"/>
  <c r="I23" i="9" s="1"/>
  <c r="J23" i="9" s="1"/>
  <c r="K23" i="9" s="1"/>
  <c r="L23" i="9" s="1"/>
  <c r="C23" i="9"/>
  <c r="G13" i="9"/>
  <c r="H13" i="9"/>
  <c r="I13" i="9"/>
  <c r="J13" i="9"/>
  <c r="K13" i="9"/>
  <c r="L13" i="9"/>
  <c r="C10" i="9"/>
  <c r="D10" i="9"/>
  <c r="E10" i="9"/>
  <c r="F10" i="9"/>
  <c r="G10" i="9"/>
  <c r="H10" i="9"/>
  <c r="I10" i="9"/>
  <c r="J10" i="9"/>
  <c r="K10" i="9"/>
  <c r="L10" i="9"/>
  <c r="D9" i="9"/>
  <c r="E9" i="9"/>
  <c r="F9" i="9"/>
  <c r="G9" i="9"/>
  <c r="H9" i="9"/>
  <c r="I9" i="9"/>
  <c r="J9" i="9"/>
  <c r="K9" i="9"/>
  <c r="L9" i="9"/>
  <c r="B9" i="9"/>
  <c r="B8" i="9"/>
  <c r="C7" i="9"/>
  <c r="D7" i="9"/>
  <c r="E7" i="9"/>
  <c r="F7" i="9"/>
  <c r="G7" i="9"/>
  <c r="H7" i="9"/>
  <c r="I7" i="9"/>
  <c r="J7" i="9"/>
  <c r="K7" i="9"/>
  <c r="L7" i="9"/>
  <c r="B7" i="9"/>
  <c r="C4" i="9"/>
  <c r="D4" i="9" s="1"/>
  <c r="E4" i="9" s="1"/>
  <c r="F4" i="9" s="1"/>
  <c r="G4" i="9" s="1"/>
  <c r="H4" i="9" s="1"/>
  <c r="I4" i="9" s="1"/>
  <c r="J4" i="9" s="1"/>
  <c r="K4" i="9" s="1"/>
  <c r="L4" i="9" s="1"/>
  <c r="G32" i="8"/>
  <c r="H32" i="8"/>
  <c r="H27" i="10" s="1"/>
  <c r="I32" i="8"/>
  <c r="I27" i="10" s="1"/>
  <c r="J32" i="8"/>
  <c r="J27" i="10" s="1"/>
  <c r="K32" i="8"/>
  <c r="L32" i="8"/>
  <c r="G33" i="8"/>
  <c r="G26" i="10" s="1"/>
  <c r="H33" i="8"/>
  <c r="H26" i="10" s="1"/>
  <c r="I33" i="8"/>
  <c r="J33" i="8"/>
  <c r="K33" i="8"/>
  <c r="K26" i="10" s="1"/>
  <c r="L33" i="8"/>
  <c r="I28" i="8"/>
  <c r="C25" i="8"/>
  <c r="D25" i="8"/>
  <c r="E25" i="8"/>
  <c r="F25" i="8"/>
  <c r="F28" i="8" s="1"/>
  <c r="G25" i="8"/>
  <c r="H25" i="8"/>
  <c r="I25" i="8"/>
  <c r="J25" i="8"/>
  <c r="K25" i="8"/>
  <c r="L25" i="8"/>
  <c r="B25" i="8"/>
  <c r="C24" i="8"/>
  <c r="D24" i="8"/>
  <c r="E24" i="8"/>
  <c r="F24" i="8"/>
  <c r="G24" i="8"/>
  <c r="H24" i="8"/>
  <c r="I24" i="8"/>
  <c r="J24" i="8"/>
  <c r="K24" i="8"/>
  <c r="L24" i="8"/>
  <c r="B24" i="8"/>
  <c r="C23" i="8"/>
  <c r="D23" i="8"/>
  <c r="E23" i="8"/>
  <c r="F23" i="8"/>
  <c r="G23" i="8"/>
  <c r="H23" i="8"/>
  <c r="H28" i="8" s="1"/>
  <c r="I23" i="8"/>
  <c r="J23" i="8"/>
  <c r="K23" i="8"/>
  <c r="L23" i="8"/>
  <c r="B23" i="8"/>
  <c r="C22" i="8"/>
  <c r="D22" i="8"/>
  <c r="E22" i="8"/>
  <c r="E28" i="8" s="1"/>
  <c r="F22" i="8"/>
  <c r="G22" i="8"/>
  <c r="H22" i="8"/>
  <c r="I22" i="8"/>
  <c r="J22" i="8"/>
  <c r="K22" i="8"/>
  <c r="L22" i="8"/>
  <c r="B22" i="8"/>
  <c r="B28" i="8" s="1"/>
  <c r="C21" i="8"/>
  <c r="C28" i="8" s="1"/>
  <c r="D21" i="8"/>
  <c r="D28" i="8" s="1"/>
  <c r="E21" i="8"/>
  <c r="F21" i="8"/>
  <c r="G21" i="8"/>
  <c r="G28" i="8" s="1"/>
  <c r="H21" i="8"/>
  <c r="I21" i="8"/>
  <c r="J21" i="8"/>
  <c r="J28" i="8" s="1"/>
  <c r="K21" i="8"/>
  <c r="K28" i="8" s="1"/>
  <c r="L21" i="8"/>
  <c r="L28" i="8" s="1"/>
  <c r="B12" i="8"/>
  <c r="B16" i="10" s="1"/>
  <c r="D11" i="8"/>
  <c r="D15" i="10" s="1"/>
  <c r="E11" i="8"/>
  <c r="E15" i="10" s="1"/>
  <c r="F11" i="8"/>
  <c r="F15" i="10" s="1"/>
  <c r="G11" i="8"/>
  <c r="H11" i="8"/>
  <c r="I11" i="8"/>
  <c r="I15" i="10" s="1"/>
  <c r="J11" i="8"/>
  <c r="J15" i="10" s="1"/>
  <c r="K11" i="8"/>
  <c r="K15" i="10" s="1"/>
  <c r="L11" i="8"/>
  <c r="L15" i="10" s="1"/>
  <c r="B11" i="8"/>
  <c r="B15" i="10" s="1"/>
  <c r="C2" i="8"/>
  <c r="D2" i="8" s="1"/>
  <c r="E2" i="8" s="1"/>
  <c r="F2" i="8" s="1"/>
  <c r="G2" i="8" s="1"/>
  <c r="H2" i="8" s="1"/>
  <c r="I2" i="8" s="1"/>
  <c r="J2" i="8" s="1"/>
  <c r="K2" i="8" s="1"/>
  <c r="L2" i="8" s="1"/>
  <c r="D177" i="6"/>
  <c r="E177" i="6"/>
  <c r="F177" i="6"/>
  <c r="G177" i="6"/>
  <c r="H177" i="6"/>
  <c r="I177" i="6"/>
  <c r="J177" i="6"/>
  <c r="K177" i="6"/>
  <c r="L177" i="6"/>
  <c r="C176" i="6"/>
  <c r="C175" i="6"/>
  <c r="D175" i="6" s="1"/>
  <c r="E175" i="6" s="1"/>
  <c r="F175" i="6" s="1"/>
  <c r="G175" i="6" s="1"/>
  <c r="H175" i="6" s="1"/>
  <c r="I175" i="6" s="1"/>
  <c r="J175" i="6" s="1"/>
  <c r="K175" i="6" s="1"/>
  <c r="L175" i="6" s="1"/>
  <c r="B212" i="6"/>
  <c r="B211" i="6"/>
  <c r="B210" i="6"/>
  <c r="B214" i="6" s="1"/>
  <c r="B209" i="6"/>
  <c r="B10" i="7"/>
  <c r="C10" i="7" s="1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B16" i="7" s="1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B22" i="7" s="1"/>
  <c r="C22" i="7" s="1"/>
  <c r="D22" i="7" s="1"/>
  <c r="E22" i="7" s="1"/>
  <c r="F22" i="7" s="1"/>
  <c r="G22" i="7" s="1"/>
  <c r="H22" i="7" s="1"/>
  <c r="I22" i="7" s="1"/>
  <c r="J22" i="7" s="1"/>
  <c r="K22" i="7" s="1"/>
  <c r="L22" i="7" s="1"/>
  <c r="M22" i="7" s="1"/>
  <c r="B28" i="7" s="1"/>
  <c r="C28" i="7" s="1"/>
  <c r="D28" i="7" s="1"/>
  <c r="E28" i="7" s="1"/>
  <c r="F28" i="7" s="1"/>
  <c r="G28" i="7" s="1"/>
  <c r="H28" i="7" s="1"/>
  <c r="I28" i="7" s="1"/>
  <c r="J28" i="7" s="1"/>
  <c r="K28" i="7" s="1"/>
  <c r="L28" i="7" s="1"/>
  <c r="M28" i="7" s="1"/>
  <c r="A10" i="7"/>
  <c r="A16" i="7" s="1"/>
  <c r="A22" i="7" s="1"/>
  <c r="A28" i="7" s="1"/>
  <c r="A34" i="7" s="1"/>
  <c r="A40" i="7" s="1"/>
  <c r="A46" i="7" s="1"/>
  <c r="B2" i="7"/>
  <c r="C218" i="6"/>
  <c r="D218" i="6" s="1"/>
  <c r="E218" i="6" s="1"/>
  <c r="F218" i="6" s="1"/>
  <c r="G218" i="6" s="1"/>
  <c r="H218" i="6" s="1"/>
  <c r="I218" i="6" s="1"/>
  <c r="J218" i="6" s="1"/>
  <c r="K218" i="6" s="1"/>
  <c r="L218" i="6" s="1"/>
  <c r="B121" i="6"/>
  <c r="C205" i="6"/>
  <c r="D205" i="6" s="1"/>
  <c r="E205" i="6" s="1"/>
  <c r="F205" i="6" s="1"/>
  <c r="G205" i="6" s="1"/>
  <c r="H205" i="6" s="1"/>
  <c r="I205" i="6" s="1"/>
  <c r="J205" i="6" s="1"/>
  <c r="K205" i="6" s="1"/>
  <c r="L205" i="6" s="1"/>
  <c r="D202" i="6"/>
  <c r="C206" i="6" s="1"/>
  <c r="D206" i="6" s="1"/>
  <c r="E206" i="6" s="1"/>
  <c r="F206" i="6" s="1"/>
  <c r="G206" i="6" s="1"/>
  <c r="H206" i="6" s="1"/>
  <c r="I206" i="6" s="1"/>
  <c r="J206" i="6" s="1"/>
  <c r="K206" i="6" s="1"/>
  <c r="L206" i="6" s="1"/>
  <c r="A128" i="6"/>
  <c r="A132" i="6"/>
  <c r="A131" i="6"/>
  <c r="A130" i="6"/>
  <c r="C150" i="6"/>
  <c r="D150" i="6" s="1"/>
  <c r="E150" i="6" s="1"/>
  <c r="F150" i="6" s="1"/>
  <c r="G150" i="6" s="1"/>
  <c r="H150" i="6" s="1"/>
  <c r="I150" i="6" s="1"/>
  <c r="J150" i="6" s="1"/>
  <c r="K150" i="6" s="1"/>
  <c r="L150" i="6" s="1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29" i="6"/>
  <c r="A127" i="6"/>
  <c r="A126" i="6"/>
  <c r="A125" i="6"/>
  <c r="A124" i="6"/>
  <c r="A123" i="6"/>
  <c r="A122" i="6"/>
  <c r="K112" i="6"/>
  <c r="G112" i="6"/>
  <c r="C112" i="6"/>
  <c r="K111" i="6"/>
  <c r="G111" i="6"/>
  <c r="C111" i="6"/>
  <c r="K110" i="6"/>
  <c r="G110" i="6"/>
  <c r="C110" i="6"/>
  <c r="K109" i="6"/>
  <c r="G109" i="6"/>
  <c r="C109" i="6"/>
  <c r="K107" i="6"/>
  <c r="G107" i="6"/>
  <c r="C107" i="6"/>
  <c r="K106" i="6"/>
  <c r="G106" i="6"/>
  <c r="C106" i="6"/>
  <c r="K105" i="6"/>
  <c r="G105" i="6"/>
  <c r="C105" i="6"/>
  <c r="C98" i="6"/>
  <c r="C97" i="6"/>
  <c r="C96" i="6"/>
  <c r="C95" i="6"/>
  <c r="C93" i="6"/>
  <c r="C92" i="6"/>
  <c r="C91" i="6"/>
  <c r="O84" i="6"/>
  <c r="K84" i="6"/>
  <c r="G84" i="6"/>
  <c r="C84" i="6"/>
  <c r="O83" i="6"/>
  <c r="K83" i="6"/>
  <c r="G83" i="6"/>
  <c r="C83" i="6"/>
  <c r="O82" i="6"/>
  <c r="K82" i="6"/>
  <c r="G82" i="6"/>
  <c r="C82" i="6"/>
  <c r="O81" i="6"/>
  <c r="K81" i="6"/>
  <c r="G81" i="6"/>
  <c r="C81" i="6"/>
  <c r="O79" i="6"/>
  <c r="K79" i="6"/>
  <c r="G79" i="6"/>
  <c r="C79" i="6"/>
  <c r="O78" i="6"/>
  <c r="K78" i="6"/>
  <c r="G78" i="6"/>
  <c r="C78" i="6"/>
  <c r="O77" i="6"/>
  <c r="K77" i="6"/>
  <c r="G77" i="6"/>
  <c r="C77" i="6"/>
  <c r="O70" i="6"/>
  <c r="K70" i="6"/>
  <c r="G70" i="6"/>
  <c r="C70" i="6"/>
  <c r="O69" i="6"/>
  <c r="K69" i="6"/>
  <c r="G69" i="6"/>
  <c r="C69" i="6"/>
  <c r="O68" i="6"/>
  <c r="K68" i="6"/>
  <c r="G68" i="6"/>
  <c r="C68" i="6"/>
  <c r="O67" i="6"/>
  <c r="K67" i="6"/>
  <c r="G67" i="6"/>
  <c r="C67" i="6"/>
  <c r="O65" i="6"/>
  <c r="K65" i="6"/>
  <c r="G65" i="6"/>
  <c r="C65" i="6"/>
  <c r="O64" i="6"/>
  <c r="K64" i="6"/>
  <c r="G64" i="6"/>
  <c r="C64" i="6"/>
  <c r="O63" i="6"/>
  <c r="K63" i="6"/>
  <c r="G63" i="6"/>
  <c r="C63" i="6"/>
  <c r="C54" i="6"/>
  <c r="C53" i="6"/>
  <c r="C52" i="6"/>
  <c r="C51" i="6"/>
  <c r="C49" i="6"/>
  <c r="C48" i="6"/>
  <c r="C47" i="6"/>
  <c r="O40" i="6"/>
  <c r="K40" i="6"/>
  <c r="G40" i="6"/>
  <c r="C40" i="6"/>
  <c r="O39" i="6"/>
  <c r="K39" i="6"/>
  <c r="G39" i="6"/>
  <c r="C39" i="6"/>
  <c r="O38" i="6"/>
  <c r="K38" i="6"/>
  <c r="G38" i="6"/>
  <c r="C38" i="6"/>
  <c r="O37" i="6"/>
  <c r="K37" i="6"/>
  <c r="G37" i="6"/>
  <c r="C37" i="6"/>
  <c r="O35" i="6"/>
  <c r="K35" i="6"/>
  <c r="G35" i="6"/>
  <c r="C35" i="6"/>
  <c r="O34" i="6"/>
  <c r="K34" i="6"/>
  <c r="G34" i="6"/>
  <c r="C34" i="6"/>
  <c r="O33" i="6"/>
  <c r="K33" i="6"/>
  <c r="G33" i="6"/>
  <c r="C33" i="6"/>
  <c r="O26" i="6"/>
  <c r="K26" i="6"/>
  <c r="G26" i="6"/>
  <c r="O25" i="6"/>
  <c r="K25" i="6"/>
  <c r="G25" i="6"/>
  <c r="C25" i="6"/>
  <c r="O24" i="6"/>
  <c r="K24" i="6"/>
  <c r="G24" i="6"/>
  <c r="C24" i="6"/>
  <c r="O23" i="6"/>
  <c r="K23" i="6"/>
  <c r="G23" i="6"/>
  <c r="C23" i="6"/>
  <c r="O21" i="6"/>
  <c r="K21" i="6"/>
  <c r="G21" i="6"/>
  <c r="C21" i="6"/>
  <c r="O20" i="6"/>
  <c r="K20" i="6"/>
  <c r="G20" i="6"/>
  <c r="C20" i="6"/>
  <c r="O19" i="6"/>
  <c r="K19" i="6"/>
  <c r="G19" i="6"/>
  <c r="C19" i="6"/>
  <c r="O12" i="6"/>
  <c r="K12" i="6"/>
  <c r="G12" i="6"/>
  <c r="C12" i="6"/>
  <c r="O11" i="6"/>
  <c r="K11" i="6"/>
  <c r="G11" i="6"/>
  <c r="C11" i="6"/>
  <c r="O10" i="6"/>
  <c r="K10" i="6"/>
  <c r="G10" i="6"/>
  <c r="C10" i="6"/>
  <c r="O9" i="6"/>
  <c r="K9" i="6"/>
  <c r="O7" i="6"/>
  <c r="K7" i="6"/>
  <c r="G7" i="6"/>
  <c r="C7" i="6"/>
  <c r="O6" i="6"/>
  <c r="K6" i="6"/>
  <c r="G6" i="6"/>
  <c r="C6" i="6"/>
  <c r="O5" i="6"/>
  <c r="K5" i="6"/>
  <c r="G5" i="6"/>
  <c r="C5" i="6"/>
  <c r="L73" i="4"/>
  <c r="M73" i="4" s="1"/>
  <c r="L54" i="4"/>
  <c r="M54" i="4" s="1"/>
  <c r="K2" i="5"/>
  <c r="L2" i="5"/>
  <c r="C25" i="4"/>
  <c r="C26" i="4" s="1"/>
  <c r="C19" i="5"/>
  <c r="D19" i="5" s="1"/>
  <c r="E19" i="5" s="1"/>
  <c r="F19" i="5" s="1"/>
  <c r="G19" i="5" s="1"/>
  <c r="H19" i="5" s="1"/>
  <c r="I19" i="5" s="1"/>
  <c r="J19" i="5" s="1"/>
  <c r="K19" i="5" s="1"/>
  <c r="L19" i="5" s="1"/>
  <c r="C11" i="5"/>
  <c r="D11" i="5" s="1"/>
  <c r="E11" i="5" s="1"/>
  <c r="F11" i="5" s="1"/>
  <c r="G11" i="5" s="1"/>
  <c r="H11" i="5" s="1"/>
  <c r="I11" i="5" s="1"/>
  <c r="J11" i="5" s="1"/>
  <c r="K11" i="5" s="1"/>
  <c r="L11" i="5" s="1"/>
  <c r="C2" i="5"/>
  <c r="D2" i="5" s="1"/>
  <c r="E2" i="5" s="1"/>
  <c r="F2" i="5" s="1"/>
  <c r="G2" i="5" s="1"/>
  <c r="H2" i="5" s="1"/>
  <c r="I2" i="5" s="1"/>
  <c r="J2" i="5" s="1"/>
  <c r="D10" i="4"/>
  <c r="E10" i="4" s="1"/>
  <c r="F10" i="4" s="1"/>
  <c r="G10" i="4" s="1"/>
  <c r="H10" i="4" s="1"/>
  <c r="I10" i="4" s="1"/>
  <c r="J10" i="4" s="1"/>
  <c r="K10" i="4" s="1"/>
  <c r="L10" i="4" s="1"/>
  <c r="M10" i="4" s="1"/>
  <c r="C84" i="4"/>
  <c r="C85" i="4" s="1"/>
  <c r="D82" i="4"/>
  <c r="E82" i="4" s="1"/>
  <c r="F82" i="4" s="1"/>
  <c r="G82" i="4" s="1"/>
  <c r="H82" i="4" s="1"/>
  <c r="I82" i="4" s="1"/>
  <c r="J82" i="4" s="1"/>
  <c r="K82" i="4" s="1"/>
  <c r="L82" i="4" s="1"/>
  <c r="M82" i="4" s="1"/>
  <c r="D81" i="4"/>
  <c r="E81" i="4" s="1"/>
  <c r="F81" i="4" s="1"/>
  <c r="G81" i="4" s="1"/>
  <c r="H81" i="4" s="1"/>
  <c r="I81" i="4" s="1"/>
  <c r="J81" i="4" s="1"/>
  <c r="K81" i="4" s="1"/>
  <c r="L81" i="4" s="1"/>
  <c r="M81" i="4" s="1"/>
  <c r="D80" i="4"/>
  <c r="E80" i="4" s="1"/>
  <c r="F80" i="4" s="1"/>
  <c r="G80" i="4" s="1"/>
  <c r="H80" i="4" s="1"/>
  <c r="I80" i="4" s="1"/>
  <c r="J80" i="4" s="1"/>
  <c r="K80" i="4" s="1"/>
  <c r="L80" i="4" s="1"/>
  <c r="M80" i="4" s="1"/>
  <c r="D79" i="4"/>
  <c r="E79" i="4" s="1"/>
  <c r="F79" i="4" s="1"/>
  <c r="G79" i="4" s="1"/>
  <c r="H79" i="4" s="1"/>
  <c r="I79" i="4" s="1"/>
  <c r="J79" i="4" s="1"/>
  <c r="K79" i="4" s="1"/>
  <c r="L79" i="4" s="1"/>
  <c r="M79" i="4" s="1"/>
  <c r="D78" i="4"/>
  <c r="D77" i="4"/>
  <c r="E77" i="4" s="1"/>
  <c r="F77" i="4" s="1"/>
  <c r="G77" i="4" s="1"/>
  <c r="H77" i="4" s="1"/>
  <c r="I77" i="4" s="1"/>
  <c r="J77" i="4" s="1"/>
  <c r="K77" i="4" s="1"/>
  <c r="L77" i="4" s="1"/>
  <c r="M77" i="4" s="1"/>
  <c r="D76" i="4"/>
  <c r="E76" i="4" s="1"/>
  <c r="F76" i="4" s="1"/>
  <c r="G76" i="4" s="1"/>
  <c r="H76" i="4" s="1"/>
  <c r="I76" i="4" s="1"/>
  <c r="J76" i="4" s="1"/>
  <c r="K76" i="4" s="1"/>
  <c r="L76" i="4" s="1"/>
  <c r="M76" i="4" s="1"/>
  <c r="D75" i="4"/>
  <c r="E75" i="4" s="1"/>
  <c r="F75" i="4" s="1"/>
  <c r="G75" i="4" s="1"/>
  <c r="H75" i="4" s="1"/>
  <c r="I75" i="4" s="1"/>
  <c r="J75" i="4" s="1"/>
  <c r="K75" i="4" s="1"/>
  <c r="L75" i="4" s="1"/>
  <c r="M75" i="4" s="1"/>
  <c r="D74" i="4"/>
  <c r="E74" i="4" s="1"/>
  <c r="F74" i="4" s="1"/>
  <c r="G74" i="4" s="1"/>
  <c r="H74" i="4" s="1"/>
  <c r="I74" i="4" s="1"/>
  <c r="J74" i="4" s="1"/>
  <c r="K74" i="4" s="1"/>
  <c r="L74" i="4" s="1"/>
  <c r="M74" i="4" s="1"/>
  <c r="D73" i="4"/>
  <c r="E73" i="4" s="1"/>
  <c r="F73" i="4" s="1"/>
  <c r="G73" i="4" s="1"/>
  <c r="H73" i="4" s="1"/>
  <c r="I73" i="4" s="1"/>
  <c r="J73" i="4" s="1"/>
  <c r="K73" i="4" s="1"/>
  <c r="D72" i="4"/>
  <c r="E72" i="4" s="1"/>
  <c r="F72" i="4" s="1"/>
  <c r="G72" i="4" s="1"/>
  <c r="H72" i="4" s="1"/>
  <c r="I72" i="4" s="1"/>
  <c r="J72" i="4" s="1"/>
  <c r="K72" i="4" s="1"/>
  <c r="L72" i="4" s="1"/>
  <c r="M72" i="4" s="1"/>
  <c r="D71" i="4"/>
  <c r="E71" i="4" s="1"/>
  <c r="C64" i="4"/>
  <c r="C65" i="4" s="1"/>
  <c r="D62" i="4"/>
  <c r="E62" i="4" s="1"/>
  <c r="F62" i="4" s="1"/>
  <c r="G62" i="4" s="1"/>
  <c r="H62" i="4" s="1"/>
  <c r="I62" i="4" s="1"/>
  <c r="J62" i="4" s="1"/>
  <c r="K62" i="4" s="1"/>
  <c r="L62" i="4" s="1"/>
  <c r="M62" i="4" s="1"/>
  <c r="D61" i="4"/>
  <c r="E61" i="4" s="1"/>
  <c r="F61" i="4" s="1"/>
  <c r="G61" i="4" s="1"/>
  <c r="H61" i="4" s="1"/>
  <c r="I61" i="4" s="1"/>
  <c r="J61" i="4" s="1"/>
  <c r="K61" i="4" s="1"/>
  <c r="L61" i="4" s="1"/>
  <c r="M61" i="4" s="1"/>
  <c r="D60" i="4"/>
  <c r="E60" i="4" s="1"/>
  <c r="F60" i="4" s="1"/>
  <c r="G60" i="4" s="1"/>
  <c r="H60" i="4" s="1"/>
  <c r="I60" i="4" s="1"/>
  <c r="J60" i="4" s="1"/>
  <c r="K60" i="4" s="1"/>
  <c r="L60" i="4" s="1"/>
  <c r="M60" i="4" s="1"/>
  <c r="F59" i="4"/>
  <c r="G59" i="4" s="1"/>
  <c r="H59" i="4" s="1"/>
  <c r="I59" i="4" s="1"/>
  <c r="J59" i="4" s="1"/>
  <c r="K59" i="4" s="1"/>
  <c r="L59" i="4" s="1"/>
  <c r="M59" i="4" s="1"/>
  <c r="D59" i="4"/>
  <c r="D58" i="4"/>
  <c r="E58" i="4" s="1"/>
  <c r="F58" i="4" s="1"/>
  <c r="G58" i="4" s="1"/>
  <c r="H58" i="4" s="1"/>
  <c r="I58" i="4" s="1"/>
  <c r="J58" i="4" s="1"/>
  <c r="K58" i="4" s="1"/>
  <c r="L58" i="4" s="1"/>
  <c r="M58" i="4" s="1"/>
  <c r="D57" i="4"/>
  <c r="E57" i="4" s="1"/>
  <c r="F57" i="4" s="1"/>
  <c r="G57" i="4" s="1"/>
  <c r="H57" i="4" s="1"/>
  <c r="I57" i="4" s="1"/>
  <c r="J57" i="4" s="1"/>
  <c r="K57" i="4" s="1"/>
  <c r="L57" i="4" s="1"/>
  <c r="M57" i="4" s="1"/>
  <c r="D56" i="4"/>
  <c r="E56" i="4" s="1"/>
  <c r="F56" i="4" s="1"/>
  <c r="G56" i="4" s="1"/>
  <c r="H56" i="4" s="1"/>
  <c r="I56" i="4" s="1"/>
  <c r="J56" i="4" s="1"/>
  <c r="K56" i="4" s="1"/>
  <c r="L56" i="4" s="1"/>
  <c r="M56" i="4" s="1"/>
  <c r="D55" i="4"/>
  <c r="E55" i="4" s="1"/>
  <c r="F55" i="4" s="1"/>
  <c r="G55" i="4" s="1"/>
  <c r="H55" i="4" s="1"/>
  <c r="I55" i="4" s="1"/>
  <c r="J55" i="4" s="1"/>
  <c r="K55" i="4" s="1"/>
  <c r="L55" i="4" s="1"/>
  <c r="M55" i="4" s="1"/>
  <c r="D54" i="4"/>
  <c r="E54" i="4" s="1"/>
  <c r="F54" i="4" s="1"/>
  <c r="G54" i="4" s="1"/>
  <c r="H54" i="4" s="1"/>
  <c r="I54" i="4" s="1"/>
  <c r="J54" i="4" s="1"/>
  <c r="K54" i="4" s="1"/>
  <c r="D53" i="4"/>
  <c r="C46" i="4"/>
  <c r="C47" i="4" s="1"/>
  <c r="D44" i="4"/>
  <c r="E44" i="4" s="1"/>
  <c r="F44" i="4" s="1"/>
  <c r="G44" i="4" s="1"/>
  <c r="H44" i="4" s="1"/>
  <c r="I44" i="4" s="1"/>
  <c r="J44" i="4" s="1"/>
  <c r="K44" i="4" s="1"/>
  <c r="L44" i="4" s="1"/>
  <c r="M44" i="4" s="1"/>
  <c r="D43" i="4"/>
  <c r="E43" i="4" s="1"/>
  <c r="F43" i="4" s="1"/>
  <c r="G43" i="4" s="1"/>
  <c r="H43" i="4" s="1"/>
  <c r="I43" i="4" s="1"/>
  <c r="J43" i="4" s="1"/>
  <c r="K43" i="4" s="1"/>
  <c r="L43" i="4" s="1"/>
  <c r="M43" i="4" s="1"/>
  <c r="D42" i="4"/>
  <c r="E42" i="4" s="1"/>
  <c r="F42" i="4" s="1"/>
  <c r="G42" i="4" s="1"/>
  <c r="H42" i="4" s="1"/>
  <c r="I42" i="4" s="1"/>
  <c r="J42" i="4" s="1"/>
  <c r="K42" i="4" s="1"/>
  <c r="L42" i="4" s="1"/>
  <c r="M42" i="4" s="1"/>
  <c r="D41" i="4"/>
  <c r="E41" i="4" s="1"/>
  <c r="F41" i="4" s="1"/>
  <c r="G41" i="4" s="1"/>
  <c r="H41" i="4" s="1"/>
  <c r="I41" i="4" s="1"/>
  <c r="J41" i="4" s="1"/>
  <c r="K41" i="4" s="1"/>
  <c r="L41" i="4" s="1"/>
  <c r="M41" i="4" s="1"/>
  <c r="D40" i="4"/>
  <c r="E40" i="4" s="1"/>
  <c r="F40" i="4" s="1"/>
  <c r="G40" i="4" s="1"/>
  <c r="H40" i="4" s="1"/>
  <c r="I40" i="4" s="1"/>
  <c r="J40" i="4" s="1"/>
  <c r="K40" i="4" s="1"/>
  <c r="L40" i="4" s="1"/>
  <c r="M40" i="4" s="1"/>
  <c r="D39" i="4"/>
  <c r="E39" i="4" s="1"/>
  <c r="F39" i="4" s="1"/>
  <c r="G39" i="4" s="1"/>
  <c r="H39" i="4" s="1"/>
  <c r="I39" i="4" s="1"/>
  <c r="J39" i="4" s="1"/>
  <c r="K39" i="4" s="1"/>
  <c r="L39" i="4" s="1"/>
  <c r="M39" i="4" s="1"/>
  <c r="D38" i="4"/>
  <c r="E38" i="4" s="1"/>
  <c r="F38" i="4" s="1"/>
  <c r="G38" i="4" s="1"/>
  <c r="H38" i="4" s="1"/>
  <c r="I38" i="4" s="1"/>
  <c r="J38" i="4" s="1"/>
  <c r="K38" i="4" s="1"/>
  <c r="L38" i="4" s="1"/>
  <c r="M38" i="4" s="1"/>
  <c r="D37" i="4"/>
  <c r="E37" i="4" s="1"/>
  <c r="F37" i="4" s="1"/>
  <c r="G37" i="4" s="1"/>
  <c r="H37" i="4" s="1"/>
  <c r="I37" i="4" s="1"/>
  <c r="J37" i="4" s="1"/>
  <c r="K37" i="4" s="1"/>
  <c r="L37" i="4" s="1"/>
  <c r="M37" i="4" s="1"/>
  <c r="D36" i="4"/>
  <c r="E36" i="4" s="1"/>
  <c r="F36" i="4" s="1"/>
  <c r="G36" i="4" s="1"/>
  <c r="H36" i="4" s="1"/>
  <c r="I36" i="4" s="1"/>
  <c r="J36" i="4" s="1"/>
  <c r="K36" i="4" s="1"/>
  <c r="L36" i="4" s="1"/>
  <c r="M36" i="4" s="1"/>
  <c r="D35" i="4"/>
  <c r="E35" i="4" s="1"/>
  <c r="F35" i="4" s="1"/>
  <c r="G35" i="4" s="1"/>
  <c r="H35" i="4" s="1"/>
  <c r="I35" i="4" s="1"/>
  <c r="J35" i="4" s="1"/>
  <c r="K35" i="4" s="1"/>
  <c r="L35" i="4" s="1"/>
  <c r="M35" i="4" s="1"/>
  <c r="D34" i="4"/>
  <c r="E34" i="4" s="1"/>
  <c r="F34" i="4" s="1"/>
  <c r="G34" i="4" s="1"/>
  <c r="H34" i="4" s="1"/>
  <c r="I34" i="4" s="1"/>
  <c r="J34" i="4" s="1"/>
  <c r="K34" i="4" s="1"/>
  <c r="L34" i="4" s="1"/>
  <c r="M34" i="4" s="1"/>
  <c r="D33" i="4"/>
  <c r="E33" i="4" s="1"/>
  <c r="F33" i="4" s="1"/>
  <c r="G33" i="4" s="1"/>
  <c r="H33" i="4" s="1"/>
  <c r="I33" i="4" s="1"/>
  <c r="J33" i="4" s="1"/>
  <c r="K33" i="4" s="1"/>
  <c r="L33" i="4" s="1"/>
  <c r="M33" i="4" s="1"/>
  <c r="D32" i="4"/>
  <c r="E32" i="4" s="1"/>
  <c r="F32" i="4" s="1"/>
  <c r="G32" i="4" s="1"/>
  <c r="H32" i="4" s="1"/>
  <c r="I32" i="4" s="1"/>
  <c r="J32" i="4" s="1"/>
  <c r="K32" i="4" s="1"/>
  <c r="L32" i="4" s="1"/>
  <c r="M32" i="4" s="1"/>
  <c r="D31" i="4"/>
  <c r="E31" i="4" s="1"/>
  <c r="F31" i="4" s="1"/>
  <c r="G31" i="4" s="1"/>
  <c r="H31" i="4" s="1"/>
  <c r="I31" i="4" s="1"/>
  <c r="J31" i="4" s="1"/>
  <c r="K31" i="4" s="1"/>
  <c r="L31" i="4" s="1"/>
  <c r="M31" i="4" s="1"/>
  <c r="D30" i="4"/>
  <c r="E30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D22" i="4"/>
  <c r="E22" i="4" s="1"/>
  <c r="F22" i="4" s="1"/>
  <c r="G22" i="4" s="1"/>
  <c r="H22" i="4" s="1"/>
  <c r="I22" i="4" s="1"/>
  <c r="J22" i="4" s="1"/>
  <c r="K22" i="4" s="1"/>
  <c r="L22" i="4" s="1"/>
  <c r="M22" i="4" s="1"/>
  <c r="D21" i="4"/>
  <c r="E21" i="4" s="1"/>
  <c r="F21" i="4" s="1"/>
  <c r="F20" i="4"/>
  <c r="G20" i="4" s="1"/>
  <c r="H20" i="4" s="1"/>
  <c r="I20" i="4" s="1"/>
  <c r="J20" i="4" s="1"/>
  <c r="K20" i="4" s="1"/>
  <c r="L20" i="4" s="1"/>
  <c r="M20" i="4" s="1"/>
  <c r="D20" i="4"/>
  <c r="D19" i="4"/>
  <c r="E19" i="4" s="1"/>
  <c r="F19" i="4" s="1"/>
  <c r="G19" i="4" s="1"/>
  <c r="H19" i="4" s="1"/>
  <c r="I19" i="4" s="1"/>
  <c r="J19" i="4" s="1"/>
  <c r="K19" i="4" s="1"/>
  <c r="L19" i="4" s="1"/>
  <c r="M19" i="4" s="1"/>
  <c r="D18" i="4"/>
  <c r="E18" i="4" s="1"/>
  <c r="F18" i="4" s="1"/>
  <c r="G18" i="4" s="1"/>
  <c r="H18" i="4" s="1"/>
  <c r="I18" i="4" s="1"/>
  <c r="J18" i="4" s="1"/>
  <c r="K18" i="4" s="1"/>
  <c r="L18" i="4" s="1"/>
  <c r="M18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D16" i="4"/>
  <c r="E16" i="4" s="1"/>
  <c r="F16" i="4" s="1"/>
  <c r="G16" i="4" s="1"/>
  <c r="H16" i="4" s="1"/>
  <c r="I16" i="4" s="1"/>
  <c r="J16" i="4" s="1"/>
  <c r="K16" i="4" s="1"/>
  <c r="L16" i="4" s="1"/>
  <c r="M16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D12" i="4"/>
  <c r="E12" i="4" s="1"/>
  <c r="F12" i="4" s="1"/>
  <c r="G12" i="4" s="1"/>
  <c r="H12" i="4" s="1"/>
  <c r="I12" i="4" s="1"/>
  <c r="J12" i="4" s="1"/>
  <c r="K12" i="4" s="1"/>
  <c r="L12" i="4" s="1"/>
  <c r="M12" i="4" s="1"/>
  <c r="D11" i="4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26" i="3" s="1"/>
  <c r="D4" i="3" s="1"/>
  <c r="F9" i="3"/>
  <c r="G2" i="2"/>
  <c r="J2" i="2"/>
  <c r="M2" i="2"/>
  <c r="N2" i="2"/>
  <c r="O2" i="2"/>
  <c r="E15" i="2"/>
  <c r="F15" i="2" s="1"/>
  <c r="G15" i="2" s="1"/>
  <c r="H15" i="2" s="1"/>
  <c r="I15" i="2" s="1"/>
  <c r="J15" i="2" s="1"/>
  <c r="K15" i="2" s="1"/>
  <c r="L15" i="2" s="1"/>
  <c r="M15" i="2" s="1"/>
  <c r="N15" i="2" s="1"/>
  <c r="O15" i="2" s="1"/>
  <c r="P16" i="2"/>
  <c r="O16" i="2"/>
  <c r="O17" i="2" s="1"/>
  <c r="N16" i="2"/>
  <c r="N17" i="2" s="1"/>
  <c r="G16" i="2"/>
  <c r="H16" i="2"/>
  <c r="H17" i="2" s="1"/>
  <c r="I16" i="2"/>
  <c r="J16" i="2"/>
  <c r="K16" i="2"/>
  <c r="K17" i="2" s="1"/>
  <c r="L16" i="2"/>
  <c r="L17" i="2" s="1"/>
  <c r="M16" i="2"/>
  <c r="M17" i="2" s="1"/>
  <c r="B177" i="6"/>
  <c r="B178" i="6" s="1"/>
  <c r="B5" i="9" s="1"/>
  <c r="D37" i="2"/>
  <c r="C41" i="2" s="1"/>
  <c r="B120" i="6" s="1"/>
  <c r="E36" i="2"/>
  <c r="F36" i="2" s="1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J17" i="2"/>
  <c r="I17" i="2"/>
  <c r="E18" i="1"/>
  <c r="O7" i="1"/>
  <c r="O8" i="1"/>
  <c r="O9" i="1"/>
  <c r="O10" i="1"/>
  <c r="O11" i="1"/>
  <c r="O12" i="1"/>
  <c r="O13" i="1"/>
  <c r="O14" i="1"/>
  <c r="O15" i="1"/>
  <c r="O16" i="1"/>
  <c r="O17" i="1"/>
  <c r="O6" i="1"/>
  <c r="N7" i="1"/>
  <c r="N8" i="1"/>
  <c r="N9" i="1"/>
  <c r="N10" i="1"/>
  <c r="N11" i="1"/>
  <c r="N12" i="1"/>
  <c r="N13" i="1"/>
  <c r="N14" i="1"/>
  <c r="N15" i="1"/>
  <c r="N16" i="1"/>
  <c r="N17" i="1"/>
  <c r="N6" i="1"/>
  <c r="M7" i="1"/>
  <c r="M8" i="1"/>
  <c r="M9" i="1"/>
  <c r="M10" i="1"/>
  <c r="M11" i="1"/>
  <c r="M12" i="1"/>
  <c r="M13" i="1"/>
  <c r="M14" i="1"/>
  <c r="M15" i="1"/>
  <c r="M16" i="1"/>
  <c r="M17" i="1"/>
  <c r="M6" i="1"/>
  <c r="L7" i="1"/>
  <c r="L8" i="1"/>
  <c r="L9" i="1"/>
  <c r="L10" i="1"/>
  <c r="L11" i="1"/>
  <c r="L12" i="1"/>
  <c r="L13" i="1"/>
  <c r="L14" i="1"/>
  <c r="L15" i="1"/>
  <c r="L16" i="1"/>
  <c r="L17" i="1"/>
  <c r="L6" i="1"/>
  <c r="K7" i="1"/>
  <c r="K8" i="1"/>
  <c r="K9" i="1"/>
  <c r="K10" i="1"/>
  <c r="K11" i="1"/>
  <c r="K12" i="1"/>
  <c r="K13" i="1"/>
  <c r="K14" i="1"/>
  <c r="K15" i="1"/>
  <c r="K16" i="1"/>
  <c r="K17" i="1"/>
  <c r="K6" i="1"/>
  <c r="J7" i="1"/>
  <c r="J8" i="1"/>
  <c r="J9" i="1"/>
  <c r="J10" i="1"/>
  <c r="J11" i="1"/>
  <c r="J12" i="1"/>
  <c r="J13" i="1"/>
  <c r="J14" i="1"/>
  <c r="J15" i="1"/>
  <c r="J16" i="1"/>
  <c r="J17" i="1"/>
  <c r="J6" i="1"/>
  <c r="I7" i="1"/>
  <c r="I8" i="1"/>
  <c r="I9" i="1"/>
  <c r="I10" i="1"/>
  <c r="I11" i="1"/>
  <c r="I12" i="1"/>
  <c r="I13" i="1"/>
  <c r="I14" i="1"/>
  <c r="I15" i="1"/>
  <c r="I16" i="1"/>
  <c r="I17" i="1"/>
  <c r="I6" i="1"/>
  <c r="H7" i="1"/>
  <c r="H8" i="1"/>
  <c r="H9" i="1"/>
  <c r="H10" i="1"/>
  <c r="H11" i="1"/>
  <c r="H12" i="1"/>
  <c r="H13" i="1"/>
  <c r="H14" i="1"/>
  <c r="H15" i="1"/>
  <c r="H16" i="1"/>
  <c r="H17" i="1"/>
  <c r="H6" i="1"/>
  <c r="G7" i="1"/>
  <c r="G8" i="1"/>
  <c r="G9" i="1"/>
  <c r="G10" i="1"/>
  <c r="G11" i="1"/>
  <c r="G12" i="1"/>
  <c r="G13" i="1"/>
  <c r="G14" i="1"/>
  <c r="G15" i="1"/>
  <c r="G16" i="1"/>
  <c r="G17" i="1"/>
  <c r="G6" i="1"/>
  <c r="F7" i="1"/>
  <c r="F8" i="1"/>
  <c r="F9" i="1"/>
  <c r="F10" i="1"/>
  <c r="F11" i="1"/>
  <c r="F12" i="1"/>
  <c r="F13" i="1"/>
  <c r="F14" i="1"/>
  <c r="F15" i="1"/>
  <c r="F16" i="1"/>
  <c r="F17" i="1"/>
  <c r="F6" i="1"/>
  <c r="D7" i="1"/>
  <c r="D8" i="1"/>
  <c r="D9" i="1"/>
  <c r="D10" i="1"/>
  <c r="D11" i="1"/>
  <c r="D12" i="1"/>
  <c r="D13" i="1"/>
  <c r="D14" i="1"/>
  <c r="D15" i="1"/>
  <c r="D16" i="1"/>
  <c r="D17" i="1"/>
  <c r="D6" i="1"/>
  <c r="C7" i="1"/>
  <c r="C8" i="1"/>
  <c r="C9" i="1"/>
  <c r="C10" i="1"/>
  <c r="C11" i="1"/>
  <c r="C12" i="1"/>
  <c r="C13" i="1"/>
  <c r="C14" i="1"/>
  <c r="C15" i="1"/>
  <c r="C16" i="1"/>
  <c r="C17" i="1"/>
  <c r="C6" i="1"/>
  <c r="B18" i="1"/>
  <c r="F5" i="1"/>
  <c r="G5" i="1" s="1"/>
  <c r="H5" i="1" s="1"/>
  <c r="I5" i="1" s="1"/>
  <c r="J5" i="1" s="1"/>
  <c r="K5" i="1" s="1"/>
  <c r="L5" i="1" s="1"/>
  <c r="M5" i="1" s="1"/>
  <c r="N5" i="1" s="1"/>
  <c r="O5" i="1" s="1"/>
  <c r="D5" i="1"/>
  <c r="C5" i="1" s="1"/>
  <c r="C27" i="9" l="1"/>
  <c r="C29" i="9" s="1"/>
  <c r="C4" i="8" s="1"/>
  <c r="C9" i="9"/>
  <c r="C5" i="10"/>
  <c r="C13" i="8"/>
  <c r="C17" i="10" s="1"/>
  <c r="B6" i="8"/>
  <c r="B17" i="10" s="1"/>
  <c r="B5" i="10"/>
  <c r="C178" i="6"/>
  <c r="D176" i="6"/>
  <c r="I5" i="10"/>
  <c r="L6" i="8"/>
  <c r="L13" i="8" s="1"/>
  <c r="L17" i="10" s="1"/>
  <c r="D6" i="8"/>
  <c r="D13" i="8" s="1"/>
  <c r="D17" i="10" s="1"/>
  <c r="B9" i="8"/>
  <c r="B13" i="10" s="1"/>
  <c r="L15" i="11"/>
  <c r="E23" i="11"/>
  <c r="D23" i="11"/>
  <c r="E17" i="11"/>
  <c r="F17" i="11" s="1"/>
  <c r="I17" i="11" s="1"/>
  <c r="J17" i="11" s="1"/>
  <c r="K17" i="11" s="1"/>
  <c r="L17" i="11" s="1"/>
  <c r="M17" i="11" s="1"/>
  <c r="F23" i="11"/>
  <c r="G13" i="6"/>
  <c r="G14" i="6" s="1"/>
  <c r="C122" i="6" s="1"/>
  <c r="O41" i="6"/>
  <c r="O42" i="6" s="1"/>
  <c r="G71" i="6"/>
  <c r="G72" i="6" s="1"/>
  <c r="C135" i="6" s="1"/>
  <c r="G85" i="6"/>
  <c r="G86" i="6" s="1"/>
  <c r="C139" i="6" s="1"/>
  <c r="K71" i="6"/>
  <c r="K72" i="6" s="1"/>
  <c r="K85" i="6"/>
  <c r="K86" i="6" s="1"/>
  <c r="C140" i="6" s="1"/>
  <c r="C27" i="6"/>
  <c r="C28" i="6" s="1"/>
  <c r="C121" i="6" s="1"/>
  <c r="K41" i="6"/>
  <c r="K42" i="6" s="1"/>
  <c r="C132" i="6" s="1"/>
  <c r="K27" i="6"/>
  <c r="K28" i="6" s="1"/>
  <c r="C127" i="6" s="1"/>
  <c r="C99" i="6"/>
  <c r="C100" i="6" s="1"/>
  <c r="C142" i="6" s="1"/>
  <c r="K13" i="6"/>
  <c r="K14" i="6" s="1"/>
  <c r="C124" i="6" s="1"/>
  <c r="G41" i="6"/>
  <c r="G42" i="6" s="1"/>
  <c r="C131" i="6" s="1"/>
  <c r="C113" i="6"/>
  <c r="C114" i="6" s="1"/>
  <c r="C143" i="6" s="1"/>
  <c r="K113" i="6"/>
  <c r="K114" i="6" s="1"/>
  <c r="C145" i="6" s="1"/>
  <c r="G27" i="6"/>
  <c r="G28" i="6" s="1"/>
  <c r="C123" i="6" s="1"/>
  <c r="O13" i="6"/>
  <c r="O14" i="6" s="1"/>
  <c r="C125" i="6" s="1"/>
  <c r="C55" i="6"/>
  <c r="C56" i="6" s="1"/>
  <c r="C133" i="6" s="1"/>
  <c r="O71" i="6"/>
  <c r="O72" i="6" s="1"/>
  <c r="C137" i="6" s="1"/>
  <c r="O85" i="6"/>
  <c r="O86" i="6" s="1"/>
  <c r="C141" i="6" s="1"/>
  <c r="G113" i="6"/>
  <c r="G114" i="6" s="1"/>
  <c r="C144" i="6" s="1"/>
  <c r="C14" i="6"/>
  <c r="C120" i="6" s="1"/>
  <c r="B151" i="6" s="1"/>
  <c r="B59" i="8" s="1"/>
  <c r="B60" i="8" s="1"/>
  <c r="O27" i="6"/>
  <c r="O28" i="6" s="1"/>
  <c r="C71" i="6"/>
  <c r="C72" i="6" s="1"/>
  <c r="C134" i="6" s="1"/>
  <c r="C85" i="6"/>
  <c r="C86" i="6" s="1"/>
  <c r="C138" i="6" s="1"/>
  <c r="C41" i="6"/>
  <c r="C42" i="6" s="1"/>
  <c r="C130" i="6" s="1"/>
  <c r="D84" i="4"/>
  <c r="D85" i="4" s="1"/>
  <c r="D25" i="4"/>
  <c r="D26" i="4" s="1"/>
  <c r="D64" i="4"/>
  <c r="D65" i="4" s="1"/>
  <c r="F71" i="4"/>
  <c r="G71" i="4" s="1"/>
  <c r="E46" i="4"/>
  <c r="E47" i="4" s="1"/>
  <c r="F30" i="4"/>
  <c r="F46" i="4" s="1"/>
  <c r="F47" i="4" s="1"/>
  <c r="E11" i="4"/>
  <c r="E53" i="4"/>
  <c r="E78" i="4"/>
  <c r="F78" i="4" s="1"/>
  <c r="G78" i="4" s="1"/>
  <c r="H78" i="4" s="1"/>
  <c r="I78" i="4" s="1"/>
  <c r="J78" i="4" s="1"/>
  <c r="K78" i="4" s="1"/>
  <c r="L78" i="4" s="1"/>
  <c r="M78" i="4" s="1"/>
  <c r="D46" i="4"/>
  <c r="D47" i="4" s="1"/>
  <c r="G21" i="4"/>
  <c r="H21" i="4" s="1"/>
  <c r="I21" i="4" s="1"/>
  <c r="J21" i="4" s="1"/>
  <c r="K21" i="4" s="1"/>
  <c r="L21" i="4" s="1"/>
  <c r="M21" i="4" s="1"/>
  <c r="L2" i="2"/>
  <c r="K2" i="2"/>
  <c r="E2" i="2"/>
  <c r="I2" i="2"/>
  <c r="F2" i="2"/>
  <c r="H2" i="2"/>
  <c r="E37" i="2"/>
  <c r="G36" i="2"/>
  <c r="F4" i="2"/>
  <c r="F5" i="2" s="1"/>
  <c r="F12" i="2" s="1"/>
  <c r="F13" i="2" s="1"/>
  <c r="F18" i="2" s="1"/>
  <c r="E5" i="2"/>
  <c r="E12" i="2" s="1"/>
  <c r="E13" i="2" s="1"/>
  <c r="E18" i="2" s="1"/>
  <c r="C9" i="8" l="1"/>
  <c r="C13" i="10" s="1"/>
  <c r="C5" i="9"/>
  <c r="E176" i="6"/>
  <c r="D178" i="6"/>
  <c r="J23" i="11"/>
  <c r="K23" i="11"/>
  <c r="G23" i="11"/>
  <c r="M15" i="11"/>
  <c r="M23" i="11" s="1"/>
  <c r="L23" i="11"/>
  <c r="H23" i="11"/>
  <c r="I23" i="11"/>
  <c r="B154" i="6"/>
  <c r="C154" i="6" s="1"/>
  <c r="D154" i="6" s="1"/>
  <c r="E154" i="6" s="1"/>
  <c r="F154" i="6" s="1"/>
  <c r="G154" i="6" s="1"/>
  <c r="H154" i="6" s="1"/>
  <c r="I154" i="6" s="1"/>
  <c r="J154" i="6" s="1"/>
  <c r="K154" i="6" s="1"/>
  <c r="L154" i="6" s="1"/>
  <c r="C153" i="6"/>
  <c r="C128" i="6"/>
  <c r="C126" i="6"/>
  <c r="B152" i="6" s="1"/>
  <c r="C152" i="6" s="1"/>
  <c r="D152" i="6" s="1"/>
  <c r="E152" i="6" s="1"/>
  <c r="F152" i="6" s="1"/>
  <c r="G152" i="6" s="1"/>
  <c r="H152" i="6" s="1"/>
  <c r="I152" i="6" s="1"/>
  <c r="J152" i="6" s="1"/>
  <c r="K152" i="6" s="1"/>
  <c r="L152" i="6" s="1"/>
  <c r="G30" i="4"/>
  <c r="F53" i="4"/>
  <c r="E64" i="4"/>
  <c r="E65" i="4" s="1"/>
  <c r="E25" i="4"/>
  <c r="F11" i="4"/>
  <c r="E84" i="4"/>
  <c r="E85" i="4" s="1"/>
  <c r="F84" i="4"/>
  <c r="F85" i="4" s="1"/>
  <c r="G46" i="4"/>
  <c r="G47" i="4" s="1"/>
  <c r="H30" i="4"/>
  <c r="G84" i="4"/>
  <c r="G85" i="4" s="1"/>
  <c r="H71" i="4"/>
  <c r="G4" i="2"/>
  <c r="G5" i="2" s="1"/>
  <c r="G12" i="2" s="1"/>
  <c r="G13" i="2" s="1"/>
  <c r="G18" i="2" s="1"/>
  <c r="H36" i="2"/>
  <c r="D153" i="6" l="1"/>
  <c r="C12" i="8"/>
  <c r="C16" i="10" s="1"/>
  <c r="C8" i="9"/>
  <c r="E178" i="6"/>
  <c r="F176" i="6"/>
  <c r="D9" i="8"/>
  <c r="D13" i="10" s="1"/>
  <c r="D5" i="9"/>
  <c r="C151" i="6"/>
  <c r="B10" i="8"/>
  <c r="B6" i="9"/>
  <c r="B11" i="9" s="1"/>
  <c r="C146" i="6"/>
  <c r="B213" i="6" s="1"/>
  <c r="B215" i="6" s="1"/>
  <c r="B1" i="7" s="1"/>
  <c r="B6" i="10" s="1"/>
  <c r="B10" i="10" s="1"/>
  <c r="G11" i="4"/>
  <c r="F25" i="4"/>
  <c r="E26" i="4"/>
  <c r="F64" i="4"/>
  <c r="F65" i="4" s="1"/>
  <c r="G53" i="4"/>
  <c r="H84" i="4"/>
  <c r="H85" i="4" s="1"/>
  <c r="I71" i="4"/>
  <c r="H46" i="4"/>
  <c r="H47" i="4" s="1"/>
  <c r="I30" i="4"/>
  <c r="H4" i="2"/>
  <c r="H5" i="2" s="1"/>
  <c r="H12" i="2" s="1"/>
  <c r="H13" i="2" s="1"/>
  <c r="H18" i="2" s="1"/>
  <c r="I36" i="2"/>
  <c r="D12" i="8" l="1"/>
  <c r="D16" i="10" s="1"/>
  <c r="D8" i="9"/>
  <c r="E153" i="6"/>
  <c r="E9" i="8"/>
  <c r="E13" i="10" s="1"/>
  <c r="E5" i="9"/>
  <c r="F178" i="6"/>
  <c r="G176" i="6"/>
  <c r="B20" i="9"/>
  <c r="B19" i="9"/>
  <c r="B21" i="9"/>
  <c r="B14" i="10"/>
  <c r="B17" i="8"/>
  <c r="B19" i="8" s="1"/>
  <c r="B30" i="8" s="1"/>
  <c r="D151" i="6"/>
  <c r="C6" i="9"/>
  <c r="C11" i="9" s="1"/>
  <c r="C10" i="8"/>
  <c r="B7" i="7"/>
  <c r="B6" i="7"/>
  <c r="B5" i="7" s="1"/>
  <c r="G64" i="4"/>
  <c r="G65" i="4" s="1"/>
  <c r="H53" i="4"/>
  <c r="F26" i="4"/>
  <c r="H11" i="4"/>
  <c r="G25" i="4"/>
  <c r="I46" i="4"/>
  <c r="I47" i="4" s="1"/>
  <c r="J30" i="4"/>
  <c r="I84" i="4"/>
  <c r="I85" i="4" s="1"/>
  <c r="J71" i="4"/>
  <c r="I4" i="2"/>
  <c r="I5" i="2" s="1"/>
  <c r="I12" i="2" s="1"/>
  <c r="I13" i="2" s="1"/>
  <c r="I18" i="2" s="1"/>
  <c r="J36" i="2"/>
  <c r="E8" i="9" l="1"/>
  <c r="E12" i="8"/>
  <c r="E16" i="10" s="1"/>
  <c r="F153" i="6"/>
  <c r="F5" i="9"/>
  <c r="F9" i="8"/>
  <c r="F13" i="10" s="1"/>
  <c r="G178" i="6"/>
  <c r="H176" i="6"/>
  <c r="E151" i="6"/>
  <c r="D10" i="8"/>
  <c r="D6" i="9"/>
  <c r="D11" i="9" s="1"/>
  <c r="C14" i="10"/>
  <c r="C17" i="8"/>
  <c r="C19" i="8" s="1"/>
  <c r="C30" i="8" s="1"/>
  <c r="C19" i="9"/>
  <c r="C21" i="9"/>
  <c r="C20" i="9"/>
  <c r="C6" i="7"/>
  <c r="B8" i="7"/>
  <c r="C5" i="7"/>
  <c r="C7" i="7"/>
  <c r="I11" i="4"/>
  <c r="H25" i="4"/>
  <c r="I53" i="4"/>
  <c r="H64" i="4"/>
  <c r="H65" i="4" s="1"/>
  <c r="G26" i="4"/>
  <c r="J46" i="4"/>
  <c r="J47" i="4" s="1"/>
  <c r="K30" i="4"/>
  <c r="J84" i="4"/>
  <c r="J85" i="4" s="1"/>
  <c r="K71" i="4"/>
  <c r="J4" i="2"/>
  <c r="J5" i="2" s="1"/>
  <c r="J12" i="2" s="1"/>
  <c r="J13" i="2" s="1"/>
  <c r="J18" i="2" s="1"/>
  <c r="K36" i="2"/>
  <c r="F8" i="9" l="1"/>
  <c r="F12" i="8"/>
  <c r="F16" i="10" s="1"/>
  <c r="G153" i="6"/>
  <c r="G9" i="8"/>
  <c r="G13" i="10" s="1"/>
  <c r="G5" i="9"/>
  <c r="H178" i="6"/>
  <c r="I176" i="6"/>
  <c r="F151" i="6"/>
  <c r="E10" i="8"/>
  <c r="E6" i="9"/>
  <c r="E11" i="9" s="1"/>
  <c r="D14" i="10"/>
  <c r="D17" i="8"/>
  <c r="D19" i="8" s="1"/>
  <c r="D30" i="8" s="1"/>
  <c r="D19" i="9"/>
  <c r="D21" i="9"/>
  <c r="D20" i="9"/>
  <c r="D7" i="7"/>
  <c r="D5" i="7"/>
  <c r="D6" i="7"/>
  <c r="C8" i="7"/>
  <c r="K84" i="4"/>
  <c r="K85" i="4" s="1"/>
  <c r="L71" i="4"/>
  <c r="K46" i="4"/>
  <c r="K47" i="4" s="1"/>
  <c r="L30" i="4"/>
  <c r="I25" i="4"/>
  <c r="J11" i="4"/>
  <c r="H26" i="4"/>
  <c r="J53" i="4"/>
  <c r="I64" i="4"/>
  <c r="I65" i="4" s="1"/>
  <c r="K4" i="2"/>
  <c r="K5" i="2" s="1"/>
  <c r="K12" i="2" s="1"/>
  <c r="K13" i="2" s="1"/>
  <c r="K18" i="2" s="1"/>
  <c r="L36" i="2"/>
  <c r="G8" i="9" l="1"/>
  <c r="G12" i="8"/>
  <c r="G16" i="10" s="1"/>
  <c r="H153" i="6"/>
  <c r="H5" i="9"/>
  <c r="H9" i="8"/>
  <c r="H13" i="10" s="1"/>
  <c r="I178" i="6"/>
  <c r="J176" i="6"/>
  <c r="G151" i="6"/>
  <c r="F10" i="8"/>
  <c r="F6" i="9"/>
  <c r="F11" i="9" s="1"/>
  <c r="E20" i="9"/>
  <c r="E19" i="9"/>
  <c r="E21" i="9"/>
  <c r="E14" i="10"/>
  <c r="E17" i="8"/>
  <c r="E19" i="8" s="1"/>
  <c r="E30" i="8" s="1"/>
  <c r="E6" i="7"/>
  <c r="F6" i="7" s="1"/>
  <c r="G6" i="7" s="1"/>
  <c r="D8" i="7"/>
  <c r="E5" i="7"/>
  <c r="E7" i="7"/>
  <c r="M71" i="4"/>
  <c r="M84" i="4" s="1"/>
  <c r="M85" i="4" s="1"/>
  <c r="L84" i="4"/>
  <c r="L85" i="4" s="1"/>
  <c r="L46" i="4"/>
  <c r="L47" i="4" s="1"/>
  <c r="M30" i="4"/>
  <c r="M46" i="4" s="1"/>
  <c r="M47" i="4" s="1"/>
  <c r="I26" i="4"/>
  <c r="K11" i="4"/>
  <c r="J25" i="4"/>
  <c r="K53" i="4"/>
  <c r="J64" i="4"/>
  <c r="J65" i="4" s="1"/>
  <c r="L4" i="2"/>
  <c r="L5" i="2" s="1"/>
  <c r="L12" i="2" s="1"/>
  <c r="L13" i="2" s="1"/>
  <c r="L18" i="2" s="1"/>
  <c r="M36" i="2"/>
  <c r="H8" i="9" l="1"/>
  <c r="H12" i="8"/>
  <c r="H16" i="10" s="1"/>
  <c r="I153" i="6"/>
  <c r="I5" i="9"/>
  <c r="I9" i="8"/>
  <c r="I13" i="10" s="1"/>
  <c r="J178" i="6"/>
  <c r="K176" i="6"/>
  <c r="F20" i="9"/>
  <c r="F19" i="9"/>
  <c r="F21" i="9"/>
  <c r="F14" i="10"/>
  <c r="F17" i="8"/>
  <c r="F19" i="8" s="1"/>
  <c r="F30" i="8" s="1"/>
  <c r="H151" i="6"/>
  <c r="G10" i="8"/>
  <c r="G6" i="9"/>
  <c r="G11" i="9" s="1"/>
  <c r="F7" i="7"/>
  <c r="F8" i="7" s="1"/>
  <c r="F5" i="7"/>
  <c r="E8" i="7"/>
  <c r="H6" i="7"/>
  <c r="K64" i="4"/>
  <c r="K65" i="4" s="1"/>
  <c r="L53" i="4"/>
  <c r="J26" i="4"/>
  <c r="L11" i="4"/>
  <c r="K25" i="4"/>
  <c r="K26" i="4" s="1"/>
  <c r="M4" i="2"/>
  <c r="M5" i="2" s="1"/>
  <c r="M12" i="2" s="1"/>
  <c r="M13" i="2" s="1"/>
  <c r="M18" i="2" s="1"/>
  <c r="N36" i="2"/>
  <c r="I8" i="9" l="1"/>
  <c r="I12" i="8"/>
  <c r="I16" i="10" s="1"/>
  <c r="J153" i="6"/>
  <c r="J5" i="9"/>
  <c r="J9" i="8"/>
  <c r="J13" i="10" s="1"/>
  <c r="K178" i="6"/>
  <c r="L176" i="6"/>
  <c r="L178" i="6" s="1"/>
  <c r="I151" i="6"/>
  <c r="H10" i="8"/>
  <c r="H6" i="9"/>
  <c r="H11" i="9" s="1"/>
  <c r="G14" i="10"/>
  <c r="G17" i="8"/>
  <c r="G19" i="8" s="1"/>
  <c r="G30" i="8" s="1"/>
  <c r="G36" i="8" s="1"/>
  <c r="G38" i="8" s="1"/>
  <c r="G16" i="9"/>
  <c r="G21" i="9"/>
  <c r="G20" i="9"/>
  <c r="G19" i="9"/>
  <c r="I6" i="7"/>
  <c r="J6" i="7" s="1"/>
  <c r="K6" i="7" s="1"/>
  <c r="G7" i="7"/>
  <c r="G8" i="7" s="1"/>
  <c r="G5" i="7"/>
  <c r="L64" i="4"/>
  <c r="L65" i="4" s="1"/>
  <c r="M53" i="4"/>
  <c r="M64" i="4" s="1"/>
  <c r="M65" i="4" s="1"/>
  <c r="M11" i="4"/>
  <c r="M25" i="4" s="1"/>
  <c r="M26" i="4" s="1"/>
  <c r="L25" i="4"/>
  <c r="L26" i="4" s="1"/>
  <c r="O36" i="2"/>
  <c r="O4" i="2" s="1"/>
  <c r="O5" i="2" s="1"/>
  <c r="O12" i="2" s="1"/>
  <c r="O13" i="2" s="1"/>
  <c r="O18" i="2" s="1"/>
  <c r="N4" i="2"/>
  <c r="N5" i="2" s="1"/>
  <c r="N12" i="2" s="1"/>
  <c r="N13" i="2" s="1"/>
  <c r="N18" i="2" s="1"/>
  <c r="J8" i="9" l="1"/>
  <c r="J12" i="8"/>
  <c r="J16" i="10" s="1"/>
  <c r="K153" i="6"/>
  <c r="K5" i="9"/>
  <c r="K9" i="8"/>
  <c r="K13" i="10" s="1"/>
  <c r="L9" i="8"/>
  <c r="L13" i="10" s="1"/>
  <c r="L5" i="9"/>
  <c r="G28" i="10"/>
  <c r="G32" i="10" s="1"/>
  <c r="H16" i="9"/>
  <c r="H21" i="9"/>
  <c r="H20" i="9"/>
  <c r="H19" i="9"/>
  <c r="H14" i="10"/>
  <c r="H17" i="8"/>
  <c r="H19" i="8" s="1"/>
  <c r="H30" i="8" s="1"/>
  <c r="H36" i="8" s="1"/>
  <c r="H38" i="8" s="1"/>
  <c r="J151" i="6"/>
  <c r="I6" i="9"/>
  <c r="I11" i="9" s="1"/>
  <c r="I10" i="8"/>
  <c r="H7" i="7"/>
  <c r="H8" i="7" s="1"/>
  <c r="H5" i="7"/>
  <c r="L6" i="7"/>
  <c r="K12" i="8" l="1"/>
  <c r="K16" i="10" s="1"/>
  <c r="K8" i="9"/>
  <c r="L153" i="6"/>
  <c r="G40" i="8"/>
  <c r="H49" i="11" s="1"/>
  <c r="H40" i="8"/>
  <c r="H28" i="10"/>
  <c r="H32" i="10" s="1"/>
  <c r="I14" i="10"/>
  <c r="I17" i="8"/>
  <c r="I19" i="8" s="1"/>
  <c r="I30" i="8" s="1"/>
  <c r="I36" i="8" s="1"/>
  <c r="I38" i="8" s="1"/>
  <c r="K151" i="6"/>
  <c r="J6" i="9"/>
  <c r="J11" i="9" s="1"/>
  <c r="J10" i="8"/>
  <c r="I16" i="9"/>
  <c r="I21" i="9"/>
  <c r="I19" i="9"/>
  <c r="I20" i="9"/>
  <c r="I7" i="7"/>
  <c r="I8" i="7" s="1"/>
  <c r="I5" i="7"/>
  <c r="M6" i="7"/>
  <c r="L12" i="8" l="1"/>
  <c r="L16" i="10" s="1"/>
  <c r="L8" i="9"/>
  <c r="G26" i="12"/>
  <c r="I28" i="10"/>
  <c r="I32" i="10" s="1"/>
  <c r="J16" i="9"/>
  <c r="J19" i="9"/>
  <c r="J21" i="9"/>
  <c r="J20" i="9"/>
  <c r="L151" i="6"/>
  <c r="K6" i="9"/>
  <c r="K11" i="9" s="1"/>
  <c r="K10" i="8"/>
  <c r="I49" i="11"/>
  <c r="I50" i="11" s="1"/>
  <c r="H26" i="12"/>
  <c r="J14" i="10"/>
  <c r="J17" i="8"/>
  <c r="J19" i="8" s="1"/>
  <c r="J30" i="8" s="1"/>
  <c r="J36" i="8" s="1"/>
  <c r="J38" i="8" s="1"/>
  <c r="J5" i="7"/>
  <c r="J7" i="7"/>
  <c r="J8" i="7" s="1"/>
  <c r="B12" i="7"/>
  <c r="N6" i="7"/>
  <c r="B219" i="6" s="1"/>
  <c r="I40" i="8" l="1"/>
  <c r="J49" i="11" s="1"/>
  <c r="J40" i="8"/>
  <c r="J28" i="10"/>
  <c r="J32" i="10" s="1"/>
  <c r="B13" i="9"/>
  <c r="B33" i="8"/>
  <c r="B26" i="10" s="1"/>
  <c r="K14" i="10"/>
  <c r="K17" i="8"/>
  <c r="K19" i="8" s="1"/>
  <c r="K30" i="8" s="1"/>
  <c r="K36" i="8" s="1"/>
  <c r="K38" i="8" s="1"/>
  <c r="K16" i="9"/>
  <c r="K19" i="9"/>
  <c r="K21" i="9"/>
  <c r="K20" i="9"/>
  <c r="L6" i="9"/>
  <c r="L11" i="9" s="1"/>
  <c r="L10" i="8"/>
  <c r="K5" i="7"/>
  <c r="K7" i="7"/>
  <c r="K8" i="7" s="1"/>
  <c r="B18" i="7"/>
  <c r="C12" i="7"/>
  <c r="I26" i="12" l="1"/>
  <c r="L16" i="9"/>
  <c r="L19" i="9"/>
  <c r="L20" i="9"/>
  <c r="L21" i="9"/>
  <c r="K40" i="8"/>
  <c r="K28" i="10"/>
  <c r="K32" i="10" s="1"/>
  <c r="J50" i="11"/>
  <c r="L14" i="10"/>
  <c r="L17" i="8"/>
  <c r="L19" i="8" s="1"/>
  <c r="L30" i="8" s="1"/>
  <c r="L36" i="8" s="1"/>
  <c r="L38" i="8" s="1"/>
  <c r="J26" i="12"/>
  <c r="K49" i="11"/>
  <c r="L7" i="7"/>
  <c r="L8" i="7" s="1"/>
  <c r="L5" i="7"/>
  <c r="D12" i="7"/>
  <c r="C18" i="7"/>
  <c r="B30" i="7"/>
  <c r="B24" i="7"/>
  <c r="K50" i="11" l="1"/>
  <c r="L28" i="10"/>
  <c r="L32" i="10" s="1"/>
  <c r="K26" i="12"/>
  <c r="L49" i="11"/>
  <c r="L50" i="11" s="1"/>
  <c r="M5" i="7"/>
  <c r="M7" i="7"/>
  <c r="C24" i="7"/>
  <c r="D18" i="7"/>
  <c r="E12" i="7"/>
  <c r="L40" i="8" l="1"/>
  <c r="N7" i="7"/>
  <c r="M8" i="7"/>
  <c r="N8" i="7" s="1"/>
  <c r="N5" i="7"/>
  <c r="B11" i="7"/>
  <c r="B13" i="7"/>
  <c r="B14" i="7" s="1"/>
  <c r="F12" i="7"/>
  <c r="C30" i="7"/>
  <c r="D24" i="7"/>
  <c r="E18" i="7"/>
  <c r="O6" i="7" l="1"/>
  <c r="C40" i="11"/>
  <c r="B220" i="6"/>
  <c r="C41" i="11"/>
  <c r="L26" i="12"/>
  <c r="M49" i="11"/>
  <c r="M50" i="11" s="1"/>
  <c r="C13" i="7"/>
  <c r="C14" i="7" s="1"/>
  <c r="C11" i="7"/>
  <c r="D30" i="7"/>
  <c r="F18" i="7"/>
  <c r="E24" i="7"/>
  <c r="G12" i="7"/>
  <c r="B53" i="8" l="1"/>
  <c r="B51" i="8"/>
  <c r="B14" i="9"/>
  <c r="B16" i="9" s="1"/>
  <c r="B32" i="8"/>
  <c r="C43" i="11"/>
  <c r="C45" i="11" s="1"/>
  <c r="D11" i="7"/>
  <c r="D13" i="7"/>
  <c r="D14" i="7" s="1"/>
  <c r="H12" i="7"/>
  <c r="G18" i="7"/>
  <c r="F24" i="7"/>
  <c r="E30" i="7"/>
  <c r="B54" i="8" l="1"/>
  <c r="B116" i="8" s="1"/>
  <c r="D116" i="8" s="1"/>
  <c r="B27" i="10"/>
  <c r="B36" i="8"/>
  <c r="B38" i="8" s="1"/>
  <c r="E13" i="7"/>
  <c r="E14" i="7" s="1"/>
  <c r="E11" i="7"/>
  <c r="G24" i="7"/>
  <c r="H18" i="7"/>
  <c r="F30" i="7"/>
  <c r="I12" i="7"/>
  <c r="B127" i="8" l="1"/>
  <c r="D127" i="8" s="1"/>
  <c r="B131" i="8"/>
  <c r="D131" i="8" s="1"/>
  <c r="B135" i="8"/>
  <c r="D135" i="8" s="1"/>
  <c r="B139" i="8"/>
  <c r="D139" i="8" s="1"/>
  <c r="B143" i="8"/>
  <c r="D143" i="8" s="1"/>
  <c r="B230" i="8"/>
  <c r="D230" i="8" s="1"/>
  <c r="B238" i="8"/>
  <c r="D238" i="8" s="1"/>
  <c r="B503" i="8"/>
  <c r="D503" i="8" s="1"/>
  <c r="B534" i="8"/>
  <c r="D534" i="8" s="1"/>
  <c r="B112" i="8"/>
  <c r="D112" i="8" s="1"/>
  <c r="B147" i="8"/>
  <c r="D147" i="8" s="1"/>
  <c r="B214" i="8"/>
  <c r="D214" i="8" s="1"/>
  <c r="B218" i="8"/>
  <c r="D218" i="8" s="1"/>
  <c r="B222" i="8"/>
  <c r="D222" i="8" s="1"/>
  <c r="B226" i="8"/>
  <c r="D226" i="8" s="1"/>
  <c r="B234" i="8"/>
  <c r="D234" i="8" s="1"/>
  <c r="B242" i="8"/>
  <c r="D242" i="8" s="1"/>
  <c r="B246" i="8"/>
  <c r="D246" i="8" s="1"/>
  <c r="B507" i="8"/>
  <c r="D507" i="8" s="1"/>
  <c r="B104" i="8"/>
  <c r="D104" i="8" s="1"/>
  <c r="B313" i="8"/>
  <c r="D313" i="8" s="1"/>
  <c r="B317" i="8"/>
  <c r="D317" i="8" s="1"/>
  <c r="B321" i="8"/>
  <c r="D321" i="8" s="1"/>
  <c r="B325" i="8"/>
  <c r="D325" i="8" s="1"/>
  <c r="B329" i="8"/>
  <c r="D329" i="8" s="1"/>
  <c r="B333" i="8"/>
  <c r="D333" i="8" s="1"/>
  <c r="B373" i="8"/>
  <c r="D373" i="8" s="1"/>
  <c r="B495" i="8"/>
  <c r="D495" i="8" s="1"/>
  <c r="B337" i="8"/>
  <c r="D337" i="8" s="1"/>
  <c r="B341" i="8"/>
  <c r="D341" i="8" s="1"/>
  <c r="B345" i="8"/>
  <c r="D345" i="8" s="1"/>
  <c r="B349" i="8"/>
  <c r="D349" i="8" s="1"/>
  <c r="B353" i="8"/>
  <c r="D353" i="8" s="1"/>
  <c r="B357" i="8"/>
  <c r="D357" i="8" s="1"/>
  <c r="B361" i="8"/>
  <c r="D361" i="8" s="1"/>
  <c r="B365" i="8"/>
  <c r="D365" i="8" s="1"/>
  <c r="B369" i="8"/>
  <c r="D369" i="8" s="1"/>
  <c r="B428" i="8"/>
  <c r="D428" i="8" s="1"/>
  <c r="B499" i="8"/>
  <c r="D499" i="8" s="1"/>
  <c r="B100" i="8"/>
  <c r="D100" i="8" s="1"/>
  <c r="B377" i="8"/>
  <c r="D377" i="8" s="1"/>
  <c r="B381" i="8"/>
  <c r="D381" i="8" s="1"/>
  <c r="B385" i="8"/>
  <c r="D385" i="8" s="1"/>
  <c r="B389" i="8"/>
  <c r="D389" i="8" s="1"/>
  <c r="B396" i="8"/>
  <c r="D396" i="8" s="1"/>
  <c r="B412" i="8"/>
  <c r="D412" i="8" s="1"/>
  <c r="B420" i="8"/>
  <c r="D420" i="8" s="1"/>
  <c r="B432" i="8"/>
  <c r="D432" i="8" s="1"/>
  <c r="B530" i="8"/>
  <c r="D530" i="8" s="1"/>
  <c r="B108" i="8"/>
  <c r="D108" i="8" s="1"/>
  <c r="B400" i="8"/>
  <c r="D400" i="8" s="1"/>
  <c r="B404" i="8"/>
  <c r="D404" i="8" s="1"/>
  <c r="B408" i="8"/>
  <c r="D408" i="8" s="1"/>
  <c r="B416" i="8"/>
  <c r="D416" i="8" s="1"/>
  <c r="B424" i="8"/>
  <c r="D424" i="8" s="1"/>
  <c r="B436" i="8"/>
  <c r="D436" i="8" s="1"/>
  <c r="B538" i="8"/>
  <c r="D538" i="8" s="1"/>
  <c r="B542" i="8"/>
  <c r="D542" i="8" s="1"/>
  <c r="B546" i="8"/>
  <c r="D546" i="8" s="1"/>
  <c r="B550" i="8"/>
  <c r="D550" i="8" s="1"/>
  <c r="B554" i="8"/>
  <c r="D554" i="8" s="1"/>
  <c r="B558" i="8"/>
  <c r="D558" i="8" s="1"/>
  <c r="B562" i="8"/>
  <c r="D562" i="8" s="1"/>
  <c r="B566" i="8"/>
  <c r="D566" i="8" s="1"/>
  <c r="B570" i="8"/>
  <c r="D570" i="8" s="1"/>
  <c r="B574" i="8"/>
  <c r="D574" i="8" s="1"/>
  <c r="B69" i="8"/>
  <c r="D69" i="8" s="1"/>
  <c r="B73" i="8"/>
  <c r="D73" i="8" s="1"/>
  <c r="B77" i="8"/>
  <c r="D77" i="8" s="1"/>
  <c r="B81" i="8"/>
  <c r="D81" i="8" s="1"/>
  <c r="B85" i="8"/>
  <c r="D85" i="8" s="1"/>
  <c r="B89" i="8"/>
  <c r="D89" i="8" s="1"/>
  <c r="B93" i="8"/>
  <c r="D93" i="8" s="1"/>
  <c r="B120" i="8"/>
  <c r="D120" i="8" s="1"/>
  <c r="B124" i="8"/>
  <c r="D124" i="8" s="1"/>
  <c r="B429" i="8"/>
  <c r="D429" i="8" s="1"/>
  <c r="B125" i="8"/>
  <c r="D125" i="8" s="1"/>
  <c r="B196" i="8"/>
  <c r="D196" i="8" s="1"/>
  <c r="B258" i="8"/>
  <c r="D258" i="8" s="1"/>
  <c r="B270" i="8"/>
  <c r="D270" i="8" s="1"/>
  <c r="B286" i="8"/>
  <c r="D286" i="8" s="1"/>
  <c r="B298" i="8"/>
  <c r="D298" i="8" s="1"/>
  <c r="B310" i="8"/>
  <c r="D310" i="8" s="1"/>
  <c r="B443" i="8"/>
  <c r="D443" i="8" s="1"/>
  <c r="B151" i="8"/>
  <c r="D151" i="8" s="1"/>
  <c r="B155" i="8"/>
  <c r="D155" i="8" s="1"/>
  <c r="B159" i="8"/>
  <c r="D159" i="8" s="1"/>
  <c r="B163" i="8"/>
  <c r="D163" i="8" s="1"/>
  <c r="B167" i="8"/>
  <c r="D167" i="8" s="1"/>
  <c r="B171" i="8"/>
  <c r="D171" i="8" s="1"/>
  <c r="B175" i="8"/>
  <c r="D175" i="8" s="1"/>
  <c r="B179" i="8"/>
  <c r="D179" i="8" s="1"/>
  <c r="B183" i="8"/>
  <c r="D183" i="8" s="1"/>
  <c r="B187" i="8"/>
  <c r="D187" i="8" s="1"/>
  <c r="B191" i="8"/>
  <c r="D191" i="8" s="1"/>
  <c r="B195" i="8"/>
  <c r="D195" i="8" s="1"/>
  <c r="B199" i="8"/>
  <c r="D199" i="8" s="1"/>
  <c r="B203" i="8"/>
  <c r="D203" i="8" s="1"/>
  <c r="B207" i="8"/>
  <c r="D207" i="8" s="1"/>
  <c r="B211" i="8"/>
  <c r="D211" i="8" s="1"/>
  <c r="B97" i="8"/>
  <c r="D97" i="8" s="1"/>
  <c r="B101" i="8"/>
  <c r="D101" i="8" s="1"/>
  <c r="B105" i="8"/>
  <c r="D105" i="8" s="1"/>
  <c r="B322" i="8"/>
  <c r="D322" i="8" s="1"/>
  <c r="B425" i="8"/>
  <c r="D425" i="8" s="1"/>
  <c r="B437" i="8"/>
  <c r="D437" i="8" s="1"/>
  <c r="B86" i="8"/>
  <c r="D86" i="8" s="1"/>
  <c r="B164" i="8"/>
  <c r="D164" i="8" s="1"/>
  <c r="B182" i="8"/>
  <c r="D182" i="8" s="1"/>
  <c r="B250" i="8"/>
  <c r="D250" i="8" s="1"/>
  <c r="B266" i="8"/>
  <c r="D266" i="8" s="1"/>
  <c r="B282" i="8"/>
  <c r="D282" i="8" s="1"/>
  <c r="B302" i="8"/>
  <c r="D302" i="8" s="1"/>
  <c r="B447" i="8"/>
  <c r="D447" i="8" s="1"/>
  <c r="B109" i="8"/>
  <c r="D109" i="8" s="1"/>
  <c r="B113" i="8"/>
  <c r="D113" i="8" s="1"/>
  <c r="B117" i="8"/>
  <c r="D117" i="8" s="1"/>
  <c r="B128" i="8"/>
  <c r="D128" i="8" s="1"/>
  <c r="B132" i="8"/>
  <c r="D132" i="8" s="1"/>
  <c r="B136" i="8"/>
  <c r="D136" i="8" s="1"/>
  <c r="B140" i="8"/>
  <c r="D140" i="8" s="1"/>
  <c r="B144" i="8"/>
  <c r="D144" i="8" s="1"/>
  <c r="B148" i="8"/>
  <c r="D148" i="8" s="1"/>
  <c r="B215" i="8"/>
  <c r="D215" i="8" s="1"/>
  <c r="B219" i="8"/>
  <c r="D219" i="8" s="1"/>
  <c r="B223" i="8"/>
  <c r="D223" i="8" s="1"/>
  <c r="B227" i="8"/>
  <c r="D227" i="8" s="1"/>
  <c r="B231" i="8"/>
  <c r="D231" i="8" s="1"/>
  <c r="B235" i="8"/>
  <c r="D235" i="8" s="1"/>
  <c r="B239" i="8"/>
  <c r="D239" i="8" s="1"/>
  <c r="B243" i="8"/>
  <c r="D243" i="8" s="1"/>
  <c r="B314" i="8"/>
  <c r="D314" i="8" s="1"/>
  <c r="B318" i="8"/>
  <c r="D318" i="8" s="1"/>
  <c r="B417" i="8"/>
  <c r="D417" i="8" s="1"/>
  <c r="B72" i="8"/>
  <c r="D72" i="8" s="1"/>
  <c r="B150" i="8"/>
  <c r="D150" i="8" s="1"/>
  <c r="B205" i="8"/>
  <c r="D205" i="8" s="1"/>
  <c r="B274" i="8"/>
  <c r="D274" i="8" s="1"/>
  <c r="B290" i="8"/>
  <c r="D290" i="8" s="1"/>
  <c r="B393" i="8"/>
  <c r="D393" i="8" s="1"/>
  <c r="B451" i="8"/>
  <c r="D451" i="8" s="1"/>
  <c r="B96" i="8"/>
  <c r="D96" i="8" s="1"/>
  <c r="B326" i="8"/>
  <c r="D326" i="8" s="1"/>
  <c r="B330" i="8"/>
  <c r="D330" i="8" s="1"/>
  <c r="B334" i="8"/>
  <c r="D334" i="8" s="1"/>
  <c r="B338" i="8"/>
  <c r="D338" i="8" s="1"/>
  <c r="B342" i="8"/>
  <c r="D342" i="8" s="1"/>
  <c r="B346" i="8"/>
  <c r="D346" i="8" s="1"/>
  <c r="B350" i="8"/>
  <c r="D350" i="8" s="1"/>
  <c r="B354" i="8"/>
  <c r="D354" i="8" s="1"/>
  <c r="B358" i="8"/>
  <c r="D358" i="8" s="1"/>
  <c r="B362" i="8"/>
  <c r="D362" i="8" s="1"/>
  <c r="B366" i="8"/>
  <c r="D366" i="8" s="1"/>
  <c r="B370" i="8"/>
  <c r="D370" i="8" s="1"/>
  <c r="B374" i="8"/>
  <c r="D374" i="8" s="1"/>
  <c r="B378" i="8"/>
  <c r="D378" i="8" s="1"/>
  <c r="B382" i="8"/>
  <c r="D382" i="8" s="1"/>
  <c r="B386" i="8"/>
  <c r="D386" i="8" s="1"/>
  <c r="B390" i="8"/>
  <c r="D390" i="8" s="1"/>
  <c r="B397" i="8"/>
  <c r="D397" i="8" s="1"/>
  <c r="B401" i="8"/>
  <c r="D401" i="8" s="1"/>
  <c r="B405" i="8"/>
  <c r="D405" i="8" s="1"/>
  <c r="B409" i="8"/>
  <c r="D409" i="8" s="1"/>
  <c r="B413" i="8"/>
  <c r="D413" i="8" s="1"/>
  <c r="B421" i="8"/>
  <c r="D421" i="8" s="1"/>
  <c r="B433" i="8"/>
  <c r="D433" i="8" s="1"/>
  <c r="B173" i="8"/>
  <c r="D173" i="8" s="1"/>
  <c r="B254" i="8"/>
  <c r="D254" i="8" s="1"/>
  <c r="B262" i="8"/>
  <c r="D262" i="8" s="1"/>
  <c r="B278" i="8"/>
  <c r="D278" i="8" s="1"/>
  <c r="B294" i="8"/>
  <c r="D294" i="8" s="1"/>
  <c r="B306" i="8"/>
  <c r="D306" i="8" s="1"/>
  <c r="B439" i="8"/>
  <c r="D439" i="8" s="1"/>
  <c r="B455" i="8"/>
  <c r="D455" i="8" s="1"/>
  <c r="B459" i="8"/>
  <c r="D459" i="8" s="1"/>
  <c r="B463" i="8"/>
  <c r="D463" i="8" s="1"/>
  <c r="B467" i="8"/>
  <c r="D467" i="8" s="1"/>
  <c r="B471" i="8"/>
  <c r="D471" i="8" s="1"/>
  <c r="B82" i="8"/>
  <c r="D82" i="8" s="1"/>
  <c r="B91" i="8"/>
  <c r="D91" i="8" s="1"/>
  <c r="B95" i="8"/>
  <c r="D95" i="8" s="1"/>
  <c r="B106" i="8"/>
  <c r="D106" i="8" s="1"/>
  <c r="B111" i="8"/>
  <c r="D111" i="8" s="1"/>
  <c r="B121" i="8"/>
  <c r="D121" i="8" s="1"/>
  <c r="B130" i="8"/>
  <c r="D130" i="8" s="1"/>
  <c r="B141" i="8"/>
  <c r="D141" i="8" s="1"/>
  <c r="B146" i="8"/>
  <c r="D146" i="8" s="1"/>
  <c r="B160" i="8"/>
  <c r="D160" i="8" s="1"/>
  <c r="B169" i="8"/>
  <c r="D169" i="8" s="1"/>
  <c r="B178" i="8"/>
  <c r="D178" i="8" s="1"/>
  <c r="B192" i="8"/>
  <c r="D192" i="8" s="1"/>
  <c r="B201" i="8"/>
  <c r="D201" i="8" s="1"/>
  <c r="B78" i="8"/>
  <c r="D78" i="8" s="1"/>
  <c r="B87" i="8"/>
  <c r="D87" i="8" s="1"/>
  <c r="B156" i="8"/>
  <c r="D156" i="8" s="1"/>
  <c r="B165" i="8"/>
  <c r="D165" i="8" s="1"/>
  <c r="B74" i="8"/>
  <c r="D74" i="8" s="1"/>
  <c r="B83" i="8"/>
  <c r="D83" i="8" s="1"/>
  <c r="B92" i="8"/>
  <c r="D92" i="8" s="1"/>
  <c r="B102" i="8"/>
  <c r="D102" i="8" s="1"/>
  <c r="B107" i="8"/>
  <c r="D107" i="8" s="1"/>
  <c r="B118" i="8"/>
  <c r="D118" i="8" s="1"/>
  <c r="B122" i="8"/>
  <c r="D122" i="8" s="1"/>
  <c r="B126" i="8"/>
  <c r="D126" i="8" s="1"/>
  <c r="B137" i="8"/>
  <c r="D137" i="8" s="1"/>
  <c r="B142" i="8"/>
  <c r="D142" i="8" s="1"/>
  <c r="B152" i="8"/>
  <c r="D152" i="8" s="1"/>
  <c r="B161" i="8"/>
  <c r="D161" i="8" s="1"/>
  <c r="B170" i="8"/>
  <c r="D170" i="8" s="1"/>
  <c r="B184" i="8"/>
  <c r="D184" i="8" s="1"/>
  <c r="B193" i="8"/>
  <c r="D193" i="8" s="1"/>
  <c r="B70" i="8"/>
  <c r="D70" i="8" s="1"/>
  <c r="B79" i="8"/>
  <c r="D79" i="8" s="1"/>
  <c r="B88" i="8"/>
  <c r="D88" i="8" s="1"/>
  <c r="B157" i="8"/>
  <c r="D157" i="8" s="1"/>
  <c r="B166" i="8"/>
  <c r="D166" i="8" s="1"/>
  <c r="B75" i="8"/>
  <c r="D75" i="8" s="1"/>
  <c r="B84" i="8"/>
  <c r="D84" i="8" s="1"/>
  <c r="B98" i="8"/>
  <c r="D98" i="8" s="1"/>
  <c r="B103" i="8"/>
  <c r="D103" i="8" s="1"/>
  <c r="B114" i="8"/>
  <c r="D114" i="8" s="1"/>
  <c r="B123" i="8"/>
  <c r="D123" i="8" s="1"/>
  <c r="B133" i="8"/>
  <c r="D133" i="8" s="1"/>
  <c r="B138" i="8"/>
  <c r="D138" i="8" s="1"/>
  <c r="B149" i="8"/>
  <c r="D149" i="8" s="1"/>
  <c r="B153" i="8"/>
  <c r="D153" i="8" s="1"/>
  <c r="B162" i="8"/>
  <c r="D162" i="8" s="1"/>
  <c r="B176" i="8"/>
  <c r="D176" i="8" s="1"/>
  <c r="B185" i="8"/>
  <c r="D185" i="8" s="1"/>
  <c r="B194" i="8"/>
  <c r="D194" i="8" s="1"/>
  <c r="B208" i="8"/>
  <c r="D208" i="8" s="1"/>
  <c r="B217" i="8"/>
  <c r="D217" i="8" s="1"/>
  <c r="B228" i="8"/>
  <c r="D228" i="8" s="1"/>
  <c r="B233" i="8"/>
  <c r="D233" i="8" s="1"/>
  <c r="B244" i="8"/>
  <c r="D244" i="8" s="1"/>
  <c r="B312" i="8"/>
  <c r="D312" i="8" s="1"/>
  <c r="B323" i="8"/>
  <c r="D323" i="8" s="1"/>
  <c r="B328" i="8"/>
  <c r="D328" i="8" s="1"/>
  <c r="B339" i="8"/>
  <c r="D339" i="8" s="1"/>
  <c r="B344" i="8"/>
  <c r="D344" i="8" s="1"/>
  <c r="B355" i="8"/>
  <c r="D355" i="8" s="1"/>
  <c r="B360" i="8"/>
  <c r="D360" i="8" s="1"/>
  <c r="B371" i="8"/>
  <c r="D371" i="8" s="1"/>
  <c r="B376" i="8"/>
  <c r="D376" i="8" s="1"/>
  <c r="B387" i="8"/>
  <c r="D387" i="8" s="1"/>
  <c r="B395" i="8"/>
  <c r="D395" i="8" s="1"/>
  <c r="B406" i="8"/>
  <c r="D406" i="8" s="1"/>
  <c r="B411" i="8"/>
  <c r="D411" i="8" s="1"/>
  <c r="B422" i="8"/>
  <c r="D422" i="8" s="1"/>
  <c r="B427" i="8"/>
  <c r="D427" i="8" s="1"/>
  <c r="B438" i="8"/>
  <c r="D438" i="8" s="1"/>
  <c r="B502" i="8"/>
  <c r="D502" i="8" s="1"/>
  <c r="B511" i="8"/>
  <c r="D511" i="8" s="1"/>
  <c r="B515" i="8"/>
  <c r="D515" i="8" s="1"/>
  <c r="B519" i="8"/>
  <c r="D519" i="8" s="1"/>
  <c r="B523" i="8"/>
  <c r="D523" i="8" s="1"/>
  <c r="B531" i="8"/>
  <c r="D531" i="8" s="1"/>
  <c r="B540" i="8"/>
  <c r="D540" i="8" s="1"/>
  <c r="B549" i="8"/>
  <c r="D549" i="8" s="1"/>
  <c r="B563" i="8"/>
  <c r="D563" i="8" s="1"/>
  <c r="B572" i="8"/>
  <c r="D572" i="8" s="1"/>
  <c r="B616" i="8"/>
  <c r="D616" i="8" s="1"/>
  <c r="B620" i="8"/>
  <c r="D620" i="8" s="1"/>
  <c r="B624" i="8"/>
  <c r="D624" i="8" s="1"/>
  <c r="B628" i="8"/>
  <c r="D628" i="8" s="1"/>
  <c r="B632" i="8"/>
  <c r="D632" i="8" s="1"/>
  <c r="B636" i="8"/>
  <c r="D636" i="8" s="1"/>
  <c r="B691" i="8"/>
  <c r="D691" i="8" s="1"/>
  <c r="B695" i="8"/>
  <c r="D695" i="8" s="1"/>
  <c r="B699" i="8"/>
  <c r="D699" i="8" s="1"/>
  <c r="B718" i="8"/>
  <c r="D718" i="8" s="1"/>
  <c r="B722" i="8"/>
  <c r="D722" i="8" s="1"/>
  <c r="B726" i="8"/>
  <c r="D726" i="8" s="1"/>
  <c r="B730" i="8"/>
  <c r="D730" i="8" s="1"/>
  <c r="B734" i="8"/>
  <c r="D734" i="8" s="1"/>
  <c r="B738" i="8"/>
  <c r="D738" i="8" s="1"/>
  <c r="B742" i="8"/>
  <c r="D742" i="8" s="1"/>
  <c r="B825" i="8"/>
  <c r="D825" i="8" s="1"/>
  <c r="B829" i="8"/>
  <c r="D829" i="8" s="1"/>
  <c r="B833" i="8"/>
  <c r="D833" i="8" s="1"/>
  <c r="B837" i="8"/>
  <c r="D837" i="8" s="1"/>
  <c r="B841" i="8"/>
  <c r="D841" i="8" s="1"/>
  <c r="B845" i="8"/>
  <c r="D845" i="8" s="1"/>
  <c r="B71" i="8"/>
  <c r="D71" i="8" s="1"/>
  <c r="B80" i="8"/>
  <c r="D80" i="8" s="1"/>
  <c r="B119" i="8"/>
  <c r="D119" i="8" s="1"/>
  <c r="B158" i="8"/>
  <c r="D158" i="8" s="1"/>
  <c r="B172" i="8"/>
  <c r="D172" i="8" s="1"/>
  <c r="B181" i="8"/>
  <c r="D181" i="8" s="1"/>
  <c r="B190" i="8"/>
  <c r="D190" i="8" s="1"/>
  <c r="B204" i="8"/>
  <c r="D204" i="8" s="1"/>
  <c r="B213" i="8"/>
  <c r="D213" i="8" s="1"/>
  <c r="B249" i="8"/>
  <c r="D249" i="8" s="1"/>
  <c r="B253" i="8"/>
  <c r="D253" i="8" s="1"/>
  <c r="B257" i="8"/>
  <c r="D257" i="8" s="1"/>
  <c r="B261" i="8"/>
  <c r="D261" i="8" s="1"/>
  <c r="B265" i="8"/>
  <c r="D265" i="8" s="1"/>
  <c r="B269" i="8"/>
  <c r="D269" i="8" s="1"/>
  <c r="B273" i="8"/>
  <c r="D273" i="8" s="1"/>
  <c r="B277" i="8"/>
  <c r="D277" i="8" s="1"/>
  <c r="B281" i="8"/>
  <c r="D281" i="8" s="1"/>
  <c r="B285" i="8"/>
  <c r="D285" i="8" s="1"/>
  <c r="B289" i="8"/>
  <c r="D289" i="8" s="1"/>
  <c r="B293" i="8"/>
  <c r="D293" i="8" s="1"/>
  <c r="B297" i="8"/>
  <c r="D297" i="8" s="1"/>
  <c r="B301" i="8"/>
  <c r="D301" i="8" s="1"/>
  <c r="B305" i="8"/>
  <c r="D305" i="8" s="1"/>
  <c r="B309" i="8"/>
  <c r="D309" i="8" s="1"/>
  <c r="B392" i="8"/>
  <c r="D392" i="8" s="1"/>
  <c r="B442" i="8"/>
  <c r="D442" i="8" s="1"/>
  <c r="B446" i="8"/>
  <c r="D446" i="8" s="1"/>
  <c r="B450" i="8"/>
  <c r="D450" i="8" s="1"/>
  <c r="B454" i="8"/>
  <c r="D454" i="8" s="1"/>
  <c r="B458" i="8"/>
  <c r="D458" i="8" s="1"/>
  <c r="B462" i="8"/>
  <c r="D462" i="8" s="1"/>
  <c r="B466" i="8"/>
  <c r="D466" i="8" s="1"/>
  <c r="B470" i="8"/>
  <c r="D470" i="8" s="1"/>
  <c r="B474" i="8"/>
  <c r="D474" i="8" s="1"/>
  <c r="B478" i="8"/>
  <c r="D478" i="8" s="1"/>
  <c r="B482" i="8"/>
  <c r="D482" i="8" s="1"/>
  <c r="B486" i="8"/>
  <c r="D486" i="8" s="1"/>
  <c r="B490" i="8"/>
  <c r="D490" i="8" s="1"/>
  <c r="B494" i="8"/>
  <c r="D494" i="8" s="1"/>
  <c r="B498" i="8"/>
  <c r="D498" i="8" s="1"/>
  <c r="B527" i="8"/>
  <c r="D527" i="8" s="1"/>
  <c r="B536" i="8"/>
  <c r="D536" i="8" s="1"/>
  <c r="B76" i="8"/>
  <c r="D76" i="8" s="1"/>
  <c r="B90" i="8"/>
  <c r="D90" i="8" s="1"/>
  <c r="B94" i="8"/>
  <c r="D94" i="8" s="1"/>
  <c r="B99" i="8"/>
  <c r="D99" i="8" s="1"/>
  <c r="B110" i="8"/>
  <c r="D110" i="8" s="1"/>
  <c r="B115" i="8"/>
  <c r="D115" i="8" s="1"/>
  <c r="B129" i="8"/>
  <c r="D129" i="8" s="1"/>
  <c r="B134" i="8"/>
  <c r="D134" i="8" s="1"/>
  <c r="B145" i="8"/>
  <c r="D145" i="8" s="1"/>
  <c r="B154" i="8"/>
  <c r="D154" i="8" s="1"/>
  <c r="B168" i="8"/>
  <c r="D168" i="8" s="1"/>
  <c r="B177" i="8"/>
  <c r="D177" i="8" s="1"/>
  <c r="B186" i="8"/>
  <c r="D186" i="8" s="1"/>
  <c r="B200" i="8"/>
  <c r="D200" i="8" s="1"/>
  <c r="B209" i="8"/>
  <c r="D209" i="8" s="1"/>
  <c r="B651" i="8"/>
  <c r="D651" i="8" s="1"/>
  <c r="B468" i="8"/>
  <c r="D468" i="8" s="1"/>
  <c r="B484" i="8"/>
  <c r="D484" i="8" s="1"/>
  <c r="B529" i="8"/>
  <c r="D529" i="8" s="1"/>
  <c r="B535" i="8"/>
  <c r="D535" i="8" s="1"/>
  <c r="B575" i="8"/>
  <c r="D575" i="8" s="1"/>
  <c r="B593" i="8"/>
  <c r="D593" i="8" s="1"/>
  <c r="B622" i="8"/>
  <c r="D622" i="8" s="1"/>
  <c r="B648" i="8"/>
  <c r="D648" i="8" s="1"/>
  <c r="B1198" i="8"/>
  <c r="D1198" i="8" s="1"/>
  <c r="B1231" i="8"/>
  <c r="D1231" i="8" s="1"/>
  <c r="B1262" i="8"/>
  <c r="D1262" i="8" s="1"/>
  <c r="B1285" i="8"/>
  <c r="D1285" i="8" s="1"/>
  <c r="B1312" i="8"/>
  <c r="D1312" i="8" s="1"/>
  <c r="B1762" i="8"/>
  <c r="D1762" i="8" s="1"/>
  <c r="B1793" i="8"/>
  <c r="D1793" i="8" s="1"/>
  <c r="B1813" i="8"/>
  <c r="D1813" i="8" s="1"/>
  <c r="B1821" i="8"/>
  <c r="D1821" i="8" s="1"/>
  <c r="B1833" i="8"/>
  <c r="D1833" i="8" s="1"/>
  <c r="B1871" i="8"/>
  <c r="D1871" i="8" s="1"/>
  <c r="B1883" i="8"/>
  <c r="D1883" i="8" s="1"/>
  <c r="B1899" i="8"/>
  <c r="D1899" i="8" s="1"/>
  <c r="B1915" i="8"/>
  <c r="D1915" i="8" s="1"/>
  <c r="B1934" i="8"/>
  <c r="D1934" i="8" s="1"/>
  <c r="B1985" i="8"/>
  <c r="D1985" i="8" s="1"/>
  <c r="B1989" i="8"/>
  <c r="D1989" i="8" s="1"/>
  <c r="B2008" i="8"/>
  <c r="D2008" i="8" s="1"/>
  <c r="B2016" i="8"/>
  <c r="D2016" i="8" s="1"/>
  <c r="B791" i="8"/>
  <c r="D791" i="8" s="1"/>
  <c r="B805" i="8"/>
  <c r="D805" i="8" s="1"/>
  <c r="B878" i="8"/>
  <c r="D878" i="8" s="1"/>
  <c r="B911" i="8"/>
  <c r="D911" i="8" s="1"/>
  <c r="B934" i="8"/>
  <c r="D934" i="8" s="1"/>
  <c r="B979" i="8"/>
  <c r="D979" i="8" s="1"/>
  <c r="B1007" i="8"/>
  <c r="D1007" i="8" s="1"/>
  <c r="B1150" i="8"/>
  <c r="D1150" i="8" s="1"/>
  <c r="B1200" i="8"/>
  <c r="D1200" i="8" s="1"/>
  <c r="B1241" i="8"/>
  <c r="D1241" i="8" s="1"/>
  <c r="B1277" i="8"/>
  <c r="D1277" i="8" s="1"/>
  <c r="B1336" i="8"/>
  <c r="D1336" i="8" s="1"/>
  <c r="B1359" i="8"/>
  <c r="D1359" i="8" s="1"/>
  <c r="B1409" i="8"/>
  <c r="D1409" i="8" s="1"/>
  <c r="B1450" i="8"/>
  <c r="D1450" i="8" s="1"/>
  <c r="B902" i="8"/>
  <c r="D902" i="8" s="1"/>
  <c r="B966" i="8"/>
  <c r="D966" i="8" s="1"/>
  <c r="B998" i="8"/>
  <c r="D998" i="8" s="1"/>
  <c r="B1038" i="8"/>
  <c r="D1038" i="8" s="1"/>
  <c r="B1108" i="8"/>
  <c r="D1108" i="8" s="1"/>
  <c r="B1196" i="8"/>
  <c r="D1196" i="8" s="1"/>
  <c r="B1259" i="8"/>
  <c r="D1259" i="8" s="1"/>
  <c r="B1314" i="8"/>
  <c r="D1314" i="8" s="1"/>
  <c r="B1346" i="8"/>
  <c r="D1346" i="8" s="1"/>
  <c r="B1387" i="8"/>
  <c r="D1387" i="8" s="1"/>
  <c r="B655" i="8"/>
  <c r="D655" i="8" s="1"/>
  <c r="B659" i="8"/>
  <c r="D659" i="8" s="1"/>
  <c r="B663" i="8"/>
  <c r="D663" i="8" s="1"/>
  <c r="B667" i="8"/>
  <c r="D667" i="8" s="1"/>
  <c r="B671" i="8"/>
  <c r="D671" i="8" s="1"/>
  <c r="B675" i="8"/>
  <c r="D675" i="8" s="1"/>
  <c r="B679" i="8"/>
  <c r="D679" i="8" s="1"/>
  <c r="B683" i="8"/>
  <c r="D683" i="8" s="1"/>
  <c r="B687" i="8"/>
  <c r="D687" i="8" s="1"/>
  <c r="B697" i="8"/>
  <c r="D697" i="8" s="1"/>
  <c r="B702" i="8"/>
  <c r="D702" i="8" s="1"/>
  <c r="B706" i="8"/>
  <c r="D706" i="8" s="1"/>
  <c r="B710" i="8"/>
  <c r="D710" i="8" s="1"/>
  <c r="B714" i="8"/>
  <c r="D714" i="8" s="1"/>
  <c r="B748" i="8"/>
  <c r="D748" i="8" s="1"/>
  <c r="B752" i="8"/>
  <c r="D752" i="8" s="1"/>
  <c r="B756" i="8"/>
  <c r="D756" i="8" s="1"/>
  <c r="B760" i="8"/>
  <c r="D760" i="8" s="1"/>
  <c r="B764" i="8"/>
  <c r="D764" i="8" s="1"/>
  <c r="B768" i="8"/>
  <c r="D768" i="8" s="1"/>
  <c r="B772" i="8"/>
  <c r="D772" i="8" s="1"/>
  <c r="B776" i="8"/>
  <c r="D776" i="8" s="1"/>
  <c r="B780" i="8"/>
  <c r="D780" i="8" s="1"/>
  <c r="B784" i="8"/>
  <c r="D784" i="8" s="1"/>
  <c r="B788" i="8"/>
  <c r="D788" i="8" s="1"/>
  <c r="B792" i="8"/>
  <c r="D792" i="8" s="1"/>
  <c r="B796" i="8"/>
  <c r="D796" i="8" s="1"/>
  <c r="B800" i="8"/>
  <c r="D800" i="8" s="1"/>
  <c r="B804" i="8"/>
  <c r="D804" i="8" s="1"/>
  <c r="B808" i="8"/>
  <c r="D808" i="8" s="1"/>
  <c r="B812" i="8"/>
  <c r="D812" i="8" s="1"/>
  <c r="B816" i="8"/>
  <c r="D816" i="8" s="1"/>
  <c r="B820" i="8"/>
  <c r="D820" i="8" s="1"/>
  <c r="B189" i="8"/>
  <c r="D189" i="8" s="1"/>
  <c r="B202" i="8"/>
  <c r="D202" i="8" s="1"/>
  <c r="B403" i="8"/>
  <c r="D403" i="8" s="1"/>
  <c r="B410" i="8"/>
  <c r="D410" i="8" s="1"/>
  <c r="B197" i="8"/>
  <c r="D197" i="8" s="1"/>
  <c r="B221" i="8"/>
  <c r="D221" i="8" s="1"/>
  <c r="B247" i="8"/>
  <c r="D247" i="8" s="1"/>
  <c r="B252" i="8"/>
  <c r="D252" i="8" s="1"/>
  <c r="B263" i="8"/>
  <c r="D263" i="8" s="1"/>
  <c r="B268" i="8"/>
  <c r="D268" i="8" s="1"/>
  <c r="B279" i="8"/>
  <c r="D279" i="8" s="1"/>
  <c r="B284" i="8"/>
  <c r="D284" i="8" s="1"/>
  <c r="B295" i="8"/>
  <c r="D295" i="8" s="1"/>
  <c r="B300" i="8"/>
  <c r="D300" i="8" s="1"/>
  <c r="B316" i="8"/>
  <c r="D316" i="8" s="1"/>
  <c r="B348" i="8"/>
  <c r="D348" i="8" s="1"/>
  <c r="B380" i="8"/>
  <c r="D380" i="8" s="1"/>
  <c r="B398" i="8"/>
  <c r="D398" i="8" s="1"/>
  <c r="B430" i="8"/>
  <c r="D430" i="8" s="1"/>
  <c r="B483" i="8"/>
  <c r="D483" i="8" s="1"/>
  <c r="B492" i="8"/>
  <c r="D492" i="8" s="1"/>
  <c r="B528" i="8"/>
  <c r="D528" i="8" s="1"/>
  <c r="B539" i="8"/>
  <c r="D539" i="8" s="1"/>
  <c r="B565" i="8"/>
  <c r="D565" i="8" s="1"/>
  <c r="B615" i="8"/>
  <c r="D615" i="8" s="1"/>
  <c r="B626" i="8"/>
  <c r="D626" i="8" s="1"/>
  <c r="B631" i="8"/>
  <c r="D631" i="8" s="1"/>
  <c r="B720" i="8"/>
  <c r="D720" i="8" s="1"/>
  <c r="B725" i="8"/>
  <c r="D725" i="8" s="1"/>
  <c r="B736" i="8"/>
  <c r="D736" i="8" s="1"/>
  <c r="B741" i="8"/>
  <c r="D741" i="8" s="1"/>
  <c r="B831" i="8"/>
  <c r="D831" i="8" s="1"/>
  <c r="B836" i="8"/>
  <c r="D836" i="8" s="1"/>
  <c r="B847" i="8"/>
  <c r="D847" i="8" s="1"/>
  <c r="B851" i="8"/>
  <c r="D851" i="8" s="1"/>
  <c r="B855" i="8"/>
  <c r="D855" i="8" s="1"/>
  <c r="B859" i="8"/>
  <c r="D859" i="8" s="1"/>
  <c r="B863" i="8"/>
  <c r="D863" i="8" s="1"/>
  <c r="B867" i="8"/>
  <c r="D867" i="8" s="1"/>
  <c r="B871" i="8"/>
  <c r="D871" i="8" s="1"/>
  <c r="B875" i="8"/>
  <c r="D875" i="8" s="1"/>
  <c r="B879" i="8"/>
  <c r="D879" i="8" s="1"/>
  <c r="B883" i="8"/>
  <c r="D883" i="8" s="1"/>
  <c r="B887" i="8"/>
  <c r="D887" i="8" s="1"/>
  <c r="B891" i="8"/>
  <c r="D891" i="8" s="1"/>
  <c r="B895" i="8"/>
  <c r="D895" i="8" s="1"/>
  <c r="B899" i="8"/>
  <c r="D899" i="8" s="1"/>
  <c r="B903" i="8"/>
  <c r="D903" i="8" s="1"/>
  <c r="B938" i="8"/>
  <c r="D938" i="8" s="1"/>
  <c r="B942" i="8"/>
  <c r="D942" i="8" s="1"/>
  <c r="B661" i="8"/>
  <c r="D661" i="8" s="1"/>
  <c r="B670" i="8"/>
  <c r="D670" i="8" s="1"/>
  <c r="B684" i="8"/>
  <c r="D684" i="8" s="1"/>
  <c r="B709" i="8"/>
  <c r="D709" i="8" s="1"/>
  <c r="B724" i="8"/>
  <c r="D724" i="8" s="1"/>
  <c r="B746" i="8"/>
  <c r="D746" i="8" s="1"/>
  <c r="B755" i="8"/>
  <c r="D755" i="8" s="1"/>
  <c r="B769" i="8"/>
  <c r="D769" i="8" s="1"/>
  <c r="B778" i="8"/>
  <c r="D778" i="8" s="1"/>
  <c r="B787" i="8"/>
  <c r="D787" i="8" s="1"/>
  <c r="B801" i="8"/>
  <c r="D801" i="8" s="1"/>
  <c r="B210" i="8"/>
  <c r="D210" i="8" s="1"/>
  <c r="B216" i="8"/>
  <c r="D216" i="8" s="1"/>
  <c r="B237" i="8"/>
  <c r="D237" i="8" s="1"/>
  <c r="B256" i="8"/>
  <c r="D256" i="8" s="1"/>
  <c r="B291" i="8"/>
  <c r="D291" i="8" s="1"/>
  <c r="B303" i="8"/>
  <c r="D303" i="8" s="1"/>
  <c r="B308" i="8"/>
  <c r="D308" i="8" s="1"/>
  <c r="B391" i="8"/>
  <c r="D391" i="8" s="1"/>
  <c r="B517" i="8"/>
  <c r="D517" i="8" s="1"/>
  <c r="B569" i="8"/>
  <c r="D569" i="8" s="1"/>
  <c r="B584" i="8"/>
  <c r="D584" i="8" s="1"/>
  <c r="B607" i="8"/>
  <c r="D607" i="8" s="1"/>
  <c r="B634" i="8"/>
  <c r="D634" i="8" s="1"/>
  <c r="B1207" i="8"/>
  <c r="D1207" i="8" s="1"/>
  <c r="B1240" i="8"/>
  <c r="D1240" i="8" s="1"/>
  <c r="B1271" i="8"/>
  <c r="D1271" i="8" s="1"/>
  <c r="B1303" i="8"/>
  <c r="D1303" i="8" s="1"/>
  <c r="B1335" i="8"/>
  <c r="D1335" i="8" s="1"/>
  <c r="B1789" i="8"/>
  <c r="D1789" i="8" s="1"/>
  <c r="B1805" i="8"/>
  <c r="D1805" i="8" s="1"/>
  <c r="B1809" i="8"/>
  <c r="D1809" i="8" s="1"/>
  <c r="B1825" i="8"/>
  <c r="D1825" i="8" s="1"/>
  <c r="B1844" i="8"/>
  <c r="D1844" i="8" s="1"/>
  <c r="B1852" i="8"/>
  <c r="D1852" i="8" s="1"/>
  <c r="B1879" i="8"/>
  <c r="D1879" i="8" s="1"/>
  <c r="B1895" i="8"/>
  <c r="D1895" i="8" s="1"/>
  <c r="B1907" i="8"/>
  <c r="D1907" i="8" s="1"/>
  <c r="B1919" i="8"/>
  <c r="D1919" i="8" s="1"/>
  <c r="B1938" i="8"/>
  <c r="D1938" i="8" s="1"/>
  <c r="B1946" i="8"/>
  <c r="D1946" i="8" s="1"/>
  <c r="B2000" i="8"/>
  <c r="D2000" i="8" s="1"/>
  <c r="B2020" i="8"/>
  <c r="D2020" i="8" s="1"/>
  <c r="B2024" i="8"/>
  <c r="D2024" i="8" s="1"/>
  <c r="B798" i="8"/>
  <c r="D798" i="8" s="1"/>
  <c r="B861" i="8"/>
  <c r="D861" i="8" s="1"/>
  <c r="B956" i="8"/>
  <c r="D956" i="8" s="1"/>
  <c r="B988" i="8"/>
  <c r="D988" i="8" s="1"/>
  <c r="B1050" i="8"/>
  <c r="D1050" i="8" s="1"/>
  <c r="B1134" i="8"/>
  <c r="D1134" i="8" s="1"/>
  <c r="B1223" i="8"/>
  <c r="D1223" i="8" s="1"/>
  <c r="B1254" i="8"/>
  <c r="D1254" i="8" s="1"/>
  <c r="B1304" i="8"/>
  <c r="D1304" i="8" s="1"/>
  <c r="B1327" i="8"/>
  <c r="D1327" i="8" s="1"/>
  <c r="B1400" i="8"/>
  <c r="D1400" i="8" s="1"/>
  <c r="B1441" i="8"/>
  <c r="D1441" i="8" s="1"/>
  <c r="B856" i="8"/>
  <c r="D856" i="8" s="1"/>
  <c r="B930" i="8"/>
  <c r="D930" i="8" s="1"/>
  <c r="B984" i="8"/>
  <c r="D984" i="8" s="1"/>
  <c r="B1102" i="8"/>
  <c r="D1102" i="8" s="1"/>
  <c r="B1140" i="8"/>
  <c r="D1140" i="8" s="1"/>
  <c r="B1169" i="8"/>
  <c r="D1169" i="8" s="1"/>
  <c r="B1219" i="8"/>
  <c r="D1219" i="8" s="1"/>
  <c r="B1250" i="8"/>
  <c r="D1250" i="8" s="1"/>
  <c r="B1291" i="8"/>
  <c r="D1291" i="8" s="1"/>
  <c r="B657" i="8"/>
  <c r="D657" i="8" s="1"/>
  <c r="B666" i="8"/>
  <c r="D666" i="8" s="1"/>
  <c r="B680" i="8"/>
  <c r="D680" i="8" s="1"/>
  <c r="B689" i="8"/>
  <c r="D689" i="8" s="1"/>
  <c r="B694" i="8"/>
  <c r="D694" i="8" s="1"/>
  <c r="B705" i="8"/>
  <c r="D705" i="8" s="1"/>
  <c r="B751" i="8"/>
  <c r="D751" i="8" s="1"/>
  <c r="B765" i="8"/>
  <c r="D765" i="8" s="1"/>
  <c r="B774" i="8"/>
  <c r="D774" i="8" s="1"/>
  <c r="B783" i="8"/>
  <c r="D783" i="8" s="1"/>
  <c r="B797" i="8"/>
  <c r="D797" i="8" s="1"/>
  <c r="B806" i="8"/>
  <c r="D806" i="8" s="1"/>
  <c r="B1284" i="8"/>
  <c r="D1284" i="8" s="1"/>
  <c r="B1391" i="8"/>
  <c r="D1391" i="8" s="1"/>
  <c r="B1395" i="8"/>
  <c r="D1395" i="8" s="1"/>
  <c r="B1399" i="8"/>
  <c r="D1399" i="8" s="1"/>
  <c r="B1403" i="8"/>
  <c r="D1403" i="8" s="1"/>
  <c r="B1407" i="8"/>
  <c r="D1407" i="8" s="1"/>
  <c r="B1411" i="8"/>
  <c r="D1411" i="8" s="1"/>
  <c r="B1415" i="8"/>
  <c r="D1415" i="8" s="1"/>
  <c r="B1419" i="8"/>
  <c r="D1419" i="8" s="1"/>
  <c r="B1423" i="8"/>
  <c r="D1423" i="8" s="1"/>
  <c r="B1427" i="8"/>
  <c r="D1427" i="8" s="1"/>
  <c r="B1470" i="8"/>
  <c r="D1470" i="8" s="1"/>
  <c r="B1474" i="8"/>
  <c r="D1474" i="8" s="1"/>
  <c r="B1493" i="8"/>
  <c r="D1493" i="8" s="1"/>
  <c r="B1497" i="8"/>
  <c r="D1497" i="8" s="1"/>
  <c r="B1501" i="8"/>
  <c r="D1501" i="8" s="1"/>
  <c r="B1505" i="8"/>
  <c r="D1505" i="8" s="1"/>
  <c r="B1509" i="8"/>
  <c r="D1509" i="8" s="1"/>
  <c r="B1513" i="8"/>
  <c r="D1513" i="8" s="1"/>
  <c r="B1517" i="8"/>
  <c r="D1517" i="8" s="1"/>
  <c r="B1521" i="8"/>
  <c r="D1521" i="8" s="1"/>
  <c r="B1525" i="8"/>
  <c r="D1525" i="8" s="1"/>
  <c r="B1529" i="8"/>
  <c r="D1529" i="8" s="1"/>
  <c r="B1533" i="8"/>
  <c r="D1533" i="8" s="1"/>
  <c r="B1537" i="8"/>
  <c r="D1537" i="8" s="1"/>
  <c r="B1541" i="8"/>
  <c r="D1541" i="8" s="1"/>
  <c r="B1545" i="8"/>
  <c r="D1545" i="8" s="1"/>
  <c r="B1549" i="8"/>
  <c r="D1549" i="8" s="1"/>
  <c r="B1553" i="8"/>
  <c r="D1553" i="8" s="1"/>
  <c r="B1557" i="8"/>
  <c r="D1557" i="8" s="1"/>
  <c r="B1561" i="8"/>
  <c r="D1561" i="8" s="1"/>
  <c r="B1565" i="8"/>
  <c r="D1565" i="8" s="1"/>
  <c r="B1569" i="8"/>
  <c r="D1569" i="8" s="1"/>
  <c r="B1573" i="8"/>
  <c r="D1573" i="8" s="1"/>
  <c r="B1577" i="8"/>
  <c r="D1577" i="8" s="1"/>
  <c r="B1581" i="8"/>
  <c r="D1581" i="8" s="1"/>
  <c r="B198" i="8"/>
  <c r="D198" i="8" s="1"/>
  <c r="B275" i="8"/>
  <c r="D275" i="8" s="1"/>
  <c r="B287" i="8"/>
  <c r="D287" i="8" s="1"/>
  <c r="B292" i="8"/>
  <c r="D292" i="8" s="1"/>
  <c r="B304" i="8"/>
  <c r="D304" i="8" s="1"/>
  <c r="B331" i="8"/>
  <c r="D331" i="8" s="1"/>
  <c r="B452" i="8"/>
  <c r="D452" i="8" s="1"/>
  <c r="B464" i="8"/>
  <c r="D464" i="8" s="1"/>
  <c r="B469" i="8"/>
  <c r="D469" i="8" s="1"/>
  <c r="B475" i="8"/>
  <c r="D475" i="8" s="1"/>
  <c r="B485" i="8"/>
  <c r="D485" i="8" s="1"/>
  <c r="B501" i="8"/>
  <c r="D501" i="8" s="1"/>
  <c r="B513" i="8"/>
  <c r="D513" i="8" s="1"/>
  <c r="B518" i="8"/>
  <c r="D518" i="8" s="1"/>
  <c r="B544" i="8"/>
  <c r="D544" i="8" s="1"/>
  <c r="B559" i="8"/>
  <c r="D559" i="8" s="1"/>
  <c r="B576" i="8"/>
  <c r="D576" i="8" s="1"/>
  <c r="B585" i="8"/>
  <c r="D585" i="8" s="1"/>
  <c r="B599" i="8"/>
  <c r="D599" i="8" s="1"/>
  <c r="B608" i="8"/>
  <c r="D608" i="8" s="1"/>
  <c r="B618" i="8"/>
  <c r="D618" i="8" s="1"/>
  <c r="B623" i="8"/>
  <c r="D623" i="8" s="1"/>
  <c r="B635" i="8"/>
  <c r="D635" i="8" s="1"/>
  <c r="B640" i="8"/>
  <c r="D640" i="8" s="1"/>
  <c r="B649" i="8"/>
  <c r="D649" i="8" s="1"/>
  <c r="B658" i="8"/>
  <c r="D658" i="8" s="1"/>
  <c r="B672" i="8"/>
  <c r="D672" i="8" s="1"/>
  <c r="B681" i="8"/>
  <c r="D681" i="8" s="1"/>
  <c r="B690" i="8"/>
  <c r="D690" i="8" s="1"/>
  <c r="B711" i="8"/>
  <c r="D711" i="8" s="1"/>
  <c r="B206" i="8"/>
  <c r="D206" i="8" s="1"/>
  <c r="B212" i="8"/>
  <c r="D212" i="8" s="1"/>
  <c r="B264" i="8"/>
  <c r="D264" i="8" s="1"/>
  <c r="B299" i="8"/>
  <c r="D299" i="8" s="1"/>
  <c r="B379" i="8"/>
  <c r="D379" i="8" s="1"/>
  <c r="B399" i="8"/>
  <c r="D399" i="8" s="1"/>
  <c r="B414" i="8"/>
  <c r="D414" i="8" s="1"/>
  <c r="B441" i="8"/>
  <c r="D441" i="8" s="1"/>
  <c r="B480" i="8"/>
  <c r="D480" i="8" s="1"/>
  <c r="B496" i="8"/>
  <c r="D496" i="8" s="1"/>
  <c r="B525" i="8"/>
  <c r="D525" i="8" s="1"/>
  <c r="B571" i="8"/>
  <c r="D571" i="8" s="1"/>
  <c r="B581" i="8"/>
  <c r="D581" i="8" s="1"/>
  <c r="B595" i="8"/>
  <c r="D595" i="8" s="1"/>
  <c r="B1483" i="8"/>
  <c r="D1483" i="8" s="1"/>
  <c r="B1487" i="8"/>
  <c r="D1487" i="8" s="1"/>
  <c r="B1491" i="8"/>
  <c r="D1491" i="8" s="1"/>
  <c r="B954" i="8"/>
  <c r="D954" i="8" s="1"/>
  <c r="B963" i="8"/>
  <c r="D963" i="8" s="1"/>
  <c r="B972" i="8"/>
  <c r="D972" i="8" s="1"/>
  <c r="B986" i="8"/>
  <c r="D986" i="8" s="1"/>
  <c r="B995" i="8"/>
  <c r="D995" i="8" s="1"/>
  <c r="B1004" i="8"/>
  <c r="D1004" i="8" s="1"/>
  <c r="B1016" i="8"/>
  <c r="D1016" i="8" s="1"/>
  <c r="B1034" i="8"/>
  <c r="D1034" i="8" s="1"/>
  <c r="B1066" i="8"/>
  <c r="D1066" i="8" s="1"/>
  <c r="B1098" i="8"/>
  <c r="D1098" i="8" s="1"/>
  <c r="B1110" i="8"/>
  <c r="D1110" i="8" s="1"/>
  <c r="B1126" i="8"/>
  <c r="D1126" i="8" s="1"/>
  <c r="B1142" i="8"/>
  <c r="D1142" i="8" s="1"/>
  <c r="B1157" i="8"/>
  <c r="D1157" i="8" s="1"/>
  <c r="B1161" i="8"/>
  <c r="D1161" i="8" s="1"/>
  <c r="B1171" i="8"/>
  <c r="D1171" i="8" s="1"/>
  <c r="B1180" i="8"/>
  <c r="D1180" i="8" s="1"/>
  <c r="B1189" i="8"/>
  <c r="D1189" i="8" s="1"/>
  <c r="B1217" i="8"/>
  <c r="D1217" i="8" s="1"/>
  <c r="B1253" i="8"/>
  <c r="D1253" i="8" s="1"/>
  <c r="B1294" i="8"/>
  <c r="D1294" i="8" s="1"/>
  <c r="B1326" i="8"/>
  <c r="D1326" i="8" s="1"/>
  <c r="B1785" i="8"/>
  <c r="D1785" i="8" s="1"/>
  <c r="B1797" i="8"/>
  <c r="D1797" i="8" s="1"/>
  <c r="B1801" i="8"/>
  <c r="D1801" i="8" s="1"/>
  <c r="B1817" i="8"/>
  <c r="D1817" i="8" s="1"/>
  <c r="B1829" i="8"/>
  <c r="D1829" i="8" s="1"/>
  <c r="B1848" i="8"/>
  <c r="D1848" i="8" s="1"/>
  <c r="B1867" i="8"/>
  <c r="D1867" i="8" s="1"/>
  <c r="B1875" i="8"/>
  <c r="D1875" i="8" s="1"/>
  <c r="B1887" i="8"/>
  <c r="D1887" i="8" s="1"/>
  <c r="B1891" i="8"/>
  <c r="D1891" i="8" s="1"/>
  <c r="B1903" i="8"/>
  <c r="D1903" i="8" s="1"/>
  <c r="B1911" i="8"/>
  <c r="D1911" i="8" s="1"/>
  <c r="B1923" i="8"/>
  <c r="D1923" i="8" s="1"/>
  <c r="B1942" i="8"/>
  <c r="D1942" i="8" s="1"/>
  <c r="B2004" i="8"/>
  <c r="D2004" i="8" s="1"/>
  <c r="B2012" i="8"/>
  <c r="D2012" i="8" s="1"/>
  <c r="B757" i="8"/>
  <c r="D757" i="8" s="1"/>
  <c r="B823" i="8"/>
  <c r="D823" i="8" s="1"/>
  <c r="B939" i="8"/>
  <c r="D939" i="8" s="1"/>
  <c r="B970" i="8"/>
  <c r="D970" i="8" s="1"/>
  <c r="B1002" i="8"/>
  <c r="D1002" i="8" s="1"/>
  <c r="B1082" i="8"/>
  <c r="D1082" i="8" s="1"/>
  <c r="B1173" i="8"/>
  <c r="D1173" i="8" s="1"/>
  <c r="B1232" i="8"/>
  <c r="D1232" i="8" s="1"/>
  <c r="B1263" i="8"/>
  <c r="D1263" i="8" s="1"/>
  <c r="B1295" i="8"/>
  <c r="D1295" i="8" s="1"/>
  <c r="B1382" i="8"/>
  <c r="D1382" i="8" s="1"/>
  <c r="B1418" i="8"/>
  <c r="D1418" i="8" s="1"/>
  <c r="B1459" i="8"/>
  <c r="D1459" i="8" s="1"/>
  <c r="B885" i="8"/>
  <c r="D885" i="8" s="1"/>
  <c r="B921" i="8"/>
  <c r="D921" i="8" s="1"/>
  <c r="B1070" i="8"/>
  <c r="D1070" i="8" s="1"/>
  <c r="B1155" i="8"/>
  <c r="D1155" i="8" s="1"/>
  <c r="B1192" i="8"/>
  <c r="D1192" i="8" s="1"/>
  <c r="B1237" i="8"/>
  <c r="D1237" i="8" s="1"/>
  <c r="B1282" i="8"/>
  <c r="D1282" i="8" s="1"/>
  <c r="B1323" i="8"/>
  <c r="D1323" i="8" s="1"/>
  <c r="B1355" i="8"/>
  <c r="D1355" i="8" s="1"/>
  <c r="B1378" i="8"/>
  <c r="D1378" i="8" s="1"/>
  <c r="B1216" i="8"/>
  <c r="D1216" i="8" s="1"/>
  <c r="B1225" i="8"/>
  <c r="D1225" i="8" s="1"/>
  <c r="B1239" i="8"/>
  <c r="D1239" i="8" s="1"/>
  <c r="B1248" i="8"/>
  <c r="D1248" i="8" s="1"/>
  <c r="B1261" i="8"/>
  <c r="D1261" i="8" s="1"/>
  <c r="B1270" i="8"/>
  <c r="D1270" i="8" s="1"/>
  <c r="B1279" i="8"/>
  <c r="D1279" i="8" s="1"/>
  <c r="B1288" i="8"/>
  <c r="D1288" i="8" s="1"/>
  <c r="B1302" i="8"/>
  <c r="D1302" i="8" s="1"/>
  <c r="B1311" i="8"/>
  <c r="D1311" i="8" s="1"/>
  <c r="B1320" i="8"/>
  <c r="D1320" i="8" s="1"/>
  <c r="B1334" i="8"/>
  <c r="D1334" i="8" s="1"/>
  <c r="B1343" i="8"/>
  <c r="D1343" i="8" s="1"/>
  <c r="B1352" i="8"/>
  <c r="D1352" i="8" s="1"/>
  <c r="B1366" i="8"/>
  <c r="D1366" i="8" s="1"/>
  <c r="B1375" i="8"/>
  <c r="D1375" i="8" s="1"/>
  <c r="B1384" i="8"/>
  <c r="D1384" i="8" s="1"/>
  <c r="B1393" i="8"/>
  <c r="D1393" i="8" s="1"/>
  <c r="B1402" i="8"/>
  <c r="D1402" i="8" s="1"/>
  <c r="B1416" i="8"/>
  <c r="D1416" i="8" s="1"/>
  <c r="B1425" i="8"/>
  <c r="D1425" i="8" s="1"/>
  <c r="B1434" i="8"/>
  <c r="D1434" i="8" s="1"/>
  <c r="B1443" i="8"/>
  <c r="D1443" i="8" s="1"/>
  <c r="B1457" i="8"/>
  <c r="D1457" i="8" s="1"/>
  <c r="B732" i="8"/>
  <c r="D732" i="8" s="1"/>
  <c r="B775" i="8"/>
  <c r="D775" i="8" s="1"/>
  <c r="B782" i="8"/>
  <c r="D782" i="8" s="1"/>
  <c r="B789" i="8"/>
  <c r="D789" i="8" s="1"/>
  <c r="B821" i="8"/>
  <c r="D821" i="8" s="1"/>
  <c r="B840" i="8"/>
  <c r="D840" i="8" s="1"/>
  <c r="B853" i="8"/>
  <c r="D853" i="8" s="1"/>
  <c r="B870" i="8"/>
  <c r="D870" i="8" s="1"/>
  <c r="B876" i="8"/>
  <c r="D876" i="8" s="1"/>
  <c r="B888" i="8"/>
  <c r="D888" i="8" s="1"/>
  <c r="B905" i="8"/>
  <c r="D905" i="8" s="1"/>
  <c r="B914" i="8"/>
  <c r="D914" i="8" s="1"/>
  <c r="B923" i="8"/>
  <c r="D923" i="8" s="1"/>
  <c r="B937" i="8"/>
  <c r="D937" i="8" s="1"/>
  <c r="B959" i="8"/>
  <c r="D959" i="8" s="1"/>
  <c r="B968" i="8"/>
  <c r="D968" i="8" s="1"/>
  <c r="B982" i="8"/>
  <c r="D982" i="8" s="1"/>
  <c r="B991" i="8"/>
  <c r="D991" i="8" s="1"/>
  <c r="B1011" i="8"/>
  <c r="D1011" i="8" s="1"/>
  <c r="B1054" i="8"/>
  <c r="D1054" i="8" s="1"/>
  <c r="B1086" i="8"/>
  <c r="D1086" i="8" s="1"/>
  <c r="B1116" i="8"/>
  <c r="D1116" i="8" s="1"/>
  <c r="B1132" i="8"/>
  <c r="D1132" i="8" s="1"/>
  <c r="B1148" i="8"/>
  <c r="D1148" i="8" s="1"/>
  <c r="B1153" i="8"/>
  <c r="D1153" i="8" s="1"/>
  <c r="B1167" i="8"/>
  <c r="D1167" i="8" s="1"/>
  <c r="B1176" i="8"/>
  <c r="D1176" i="8" s="1"/>
  <c r="B1185" i="8"/>
  <c r="D1185" i="8" s="1"/>
  <c r="B1194" i="8"/>
  <c r="D1194" i="8" s="1"/>
  <c r="B1203" i="8"/>
  <c r="D1203" i="8" s="1"/>
  <c r="B1212" i="8"/>
  <c r="D1212" i="8" s="1"/>
  <c r="B1221" i="8"/>
  <c r="D1221" i="8" s="1"/>
  <c r="B1235" i="8"/>
  <c r="D1235" i="8" s="1"/>
  <c r="B1244" i="8"/>
  <c r="D1244" i="8" s="1"/>
  <c r="B1257" i="8"/>
  <c r="D1257" i="8" s="1"/>
  <c r="B1266" i="8"/>
  <c r="D1266" i="8" s="1"/>
  <c r="B1275" i="8"/>
  <c r="D1275" i="8" s="1"/>
  <c r="B1298" i="8"/>
  <c r="D1298" i="8" s="1"/>
  <c r="B1307" i="8"/>
  <c r="D1307" i="8" s="1"/>
  <c r="B1316" i="8"/>
  <c r="D1316" i="8" s="1"/>
  <c r="B860" i="8"/>
  <c r="D860" i="8" s="1"/>
  <c r="B865" i="8"/>
  <c r="D865" i="8" s="1"/>
  <c r="B894" i="8"/>
  <c r="D894" i="8" s="1"/>
  <c r="B910" i="8"/>
  <c r="D910" i="8" s="1"/>
  <c r="B919" i="8"/>
  <c r="D919" i="8" s="1"/>
  <c r="B933" i="8"/>
  <c r="D933" i="8" s="1"/>
  <c r="B955" i="8"/>
  <c r="D955" i="8" s="1"/>
  <c r="B964" i="8"/>
  <c r="D964" i="8" s="1"/>
  <c r="B978" i="8"/>
  <c r="D978" i="8" s="1"/>
  <c r="B987" i="8"/>
  <c r="D987" i="8" s="1"/>
  <c r="B996" i="8"/>
  <c r="D996" i="8" s="1"/>
  <c r="B1042" i="8"/>
  <c r="D1042" i="8" s="1"/>
  <c r="B1074" i="8"/>
  <c r="D1074" i="8" s="1"/>
  <c r="B1106" i="8"/>
  <c r="D1106" i="8" s="1"/>
  <c r="B1122" i="8"/>
  <c r="D1122" i="8" s="1"/>
  <c r="B1138" i="8"/>
  <c r="D1138" i="8" s="1"/>
  <c r="B1158" i="8"/>
  <c r="D1158" i="8" s="1"/>
  <c r="B1172" i="8"/>
  <c r="D1172" i="8" s="1"/>
  <c r="B1181" i="8"/>
  <c r="D1181" i="8" s="1"/>
  <c r="B1190" i="8"/>
  <c r="D1190" i="8" s="1"/>
  <c r="B1199" i="8"/>
  <c r="D1199" i="8" s="1"/>
  <c r="B1208" i="8"/>
  <c r="D1208" i="8" s="1"/>
  <c r="B925" i="8"/>
  <c r="D925" i="8" s="1"/>
  <c r="B951" i="8"/>
  <c r="D951" i="8" s="1"/>
  <c r="B1118" i="8"/>
  <c r="D1118" i="8" s="1"/>
  <c r="B1209" i="8"/>
  <c r="D1209" i="8" s="1"/>
  <c r="B1286" i="8"/>
  <c r="D1286" i="8" s="1"/>
  <c r="B1318" i="8"/>
  <c r="D1318" i="8" s="1"/>
  <c r="B1350" i="8"/>
  <c r="D1350" i="8" s="1"/>
  <c r="B1368" i="8"/>
  <c r="D1368" i="8" s="1"/>
  <c r="B843" i="8"/>
  <c r="D843" i="8" s="1"/>
  <c r="B907" i="8"/>
  <c r="D907" i="8" s="1"/>
  <c r="B975" i="8"/>
  <c r="D975" i="8" s="1"/>
  <c r="B1026" i="8"/>
  <c r="D1026" i="8" s="1"/>
  <c r="B1124" i="8"/>
  <c r="D1124" i="8" s="1"/>
  <c r="B1159" i="8"/>
  <c r="D1159" i="8" s="1"/>
  <c r="B1228" i="8"/>
  <c r="D1228" i="8" s="1"/>
  <c r="B1273" i="8"/>
  <c r="D1273" i="8" s="1"/>
  <c r="B1300" i="8"/>
  <c r="D1300" i="8" s="1"/>
  <c r="B1332" i="8"/>
  <c r="D1332" i="8" s="1"/>
  <c r="B1364" i="8"/>
  <c r="D1364" i="8" s="1"/>
  <c r="B1396" i="8"/>
  <c r="D1396" i="8" s="1"/>
  <c r="B1405" i="8"/>
  <c r="D1405" i="8" s="1"/>
  <c r="B1414" i="8"/>
  <c r="D1414" i="8" s="1"/>
  <c r="B744" i="8"/>
  <c r="D744" i="8" s="1"/>
  <c r="B766" i="8"/>
  <c r="D766" i="8" s="1"/>
  <c r="B773" i="8"/>
  <c r="D773" i="8" s="1"/>
  <c r="B819" i="8"/>
  <c r="D819" i="8" s="1"/>
  <c r="B824" i="8"/>
  <c r="D824" i="8" s="1"/>
  <c r="B862" i="8"/>
  <c r="D862" i="8" s="1"/>
  <c r="B874" i="8"/>
  <c r="D874" i="8" s="1"/>
  <c r="B892" i="8"/>
  <c r="D892" i="8" s="1"/>
  <c r="B897" i="8"/>
  <c r="D897" i="8" s="1"/>
  <c r="B917" i="8"/>
  <c r="D917" i="8" s="1"/>
  <c r="B926" i="8"/>
  <c r="D926" i="8" s="1"/>
  <c r="B935" i="8"/>
  <c r="D935" i="8" s="1"/>
  <c r="B947" i="8"/>
  <c r="D947" i="8" s="1"/>
  <c r="B962" i="8"/>
  <c r="D962" i="8" s="1"/>
  <c r="B971" i="8"/>
  <c r="D971" i="8" s="1"/>
  <c r="B980" i="8"/>
  <c r="D980" i="8" s="1"/>
  <c r="B994" i="8"/>
  <c r="D994" i="8" s="1"/>
  <c r="B1003" i="8"/>
  <c r="D1003" i="8" s="1"/>
  <c r="B1020" i="8"/>
  <c r="D1020" i="8" s="1"/>
  <c r="B1058" i="8"/>
  <c r="D1058" i="8" s="1"/>
  <c r="B1090" i="8"/>
  <c r="D1090" i="8" s="1"/>
  <c r="B1114" i="8"/>
  <c r="D1114" i="8" s="1"/>
  <c r="B1130" i="8"/>
  <c r="D1130" i="8" s="1"/>
  <c r="B1146" i="8"/>
  <c r="D1146" i="8" s="1"/>
  <c r="B1165" i="8"/>
  <c r="D1165" i="8" s="1"/>
  <c r="B1179" i="8"/>
  <c r="D1179" i="8" s="1"/>
  <c r="B1188" i="8"/>
  <c r="D1188" i="8" s="1"/>
  <c r="B1206" i="8"/>
  <c r="D1206" i="8" s="1"/>
  <c r="B1215" i="8"/>
  <c r="D1215" i="8" s="1"/>
  <c r="B1224" i="8"/>
  <c r="D1224" i="8" s="1"/>
  <c r="B1233" i="8"/>
  <c r="D1233" i="8" s="1"/>
  <c r="B1247" i="8"/>
  <c r="D1247" i="8" s="1"/>
  <c r="B1255" i="8"/>
  <c r="D1255" i="8" s="1"/>
  <c r="B1269" i="8"/>
  <c r="D1269" i="8" s="1"/>
  <c r="B1278" i="8"/>
  <c r="D1278" i="8" s="1"/>
  <c r="B1287" i="8"/>
  <c r="D1287" i="8" s="1"/>
  <c r="B1296" i="8"/>
  <c r="D1296" i="8" s="1"/>
  <c r="B1310" i="8"/>
  <c r="D1310" i="8" s="1"/>
  <c r="B1319" i="8"/>
  <c r="D1319" i="8" s="1"/>
  <c r="B1328" i="8"/>
  <c r="D1328" i="8" s="1"/>
  <c r="B1342" i="8"/>
  <c r="D1342" i="8" s="1"/>
  <c r="B1351" i="8"/>
  <c r="D1351" i="8" s="1"/>
  <c r="B1360" i="8"/>
  <c r="D1360" i="8" s="1"/>
  <c r="B1374" i="8"/>
  <c r="D1374" i="8" s="1"/>
  <c r="B1383" i="8"/>
  <c r="D1383" i="8" s="1"/>
  <c r="B1392" i="8"/>
  <c r="D1392" i="8" s="1"/>
  <c r="B1401" i="8"/>
  <c r="D1401" i="8" s="1"/>
  <c r="B1410" i="8"/>
  <c r="D1410" i="8" s="1"/>
  <c r="B1424" i="8"/>
  <c r="D1424" i="8" s="1"/>
  <c r="B1433" i="8"/>
  <c r="D1433" i="8" s="1"/>
  <c r="B1442" i="8"/>
  <c r="D1442" i="8" s="1"/>
  <c r="B1451" i="8"/>
  <c r="D1451" i="8" s="1"/>
  <c r="B1465" i="8"/>
  <c r="D1465" i="8" s="1"/>
  <c r="B1469" i="8"/>
  <c r="D1469" i="8" s="1"/>
  <c r="B1482" i="8"/>
  <c r="D1482" i="8" s="1"/>
  <c r="B1500" i="8"/>
  <c r="D1500" i="8" s="1"/>
  <c r="B1514" i="8"/>
  <c r="D1514" i="8" s="1"/>
  <c r="B1523" i="8"/>
  <c r="D1523" i="8" s="1"/>
  <c r="B1532" i="8"/>
  <c r="D1532" i="8" s="1"/>
  <c r="B1546" i="8"/>
  <c r="D1546" i="8" s="1"/>
  <c r="B1555" i="8"/>
  <c r="D1555" i="8" s="1"/>
  <c r="B1564" i="8"/>
  <c r="D1564" i="8" s="1"/>
  <c r="B1578" i="8"/>
  <c r="D1578" i="8" s="1"/>
  <c r="B1603" i="8"/>
  <c r="D1603" i="8" s="1"/>
  <c r="B1607" i="8"/>
  <c r="D1607" i="8" s="1"/>
  <c r="B1611" i="8"/>
  <c r="D1611" i="8" s="1"/>
  <c r="B1615" i="8"/>
  <c r="D1615" i="8" s="1"/>
  <c r="B1619" i="8"/>
  <c r="D1619" i="8" s="1"/>
  <c r="B1630" i="8"/>
  <c r="D1630" i="8" s="1"/>
  <c r="B1634" i="8"/>
  <c r="D1634" i="8" s="1"/>
  <c r="B1645" i="8"/>
  <c r="D1645" i="8" s="1"/>
  <c r="B1649" i="8"/>
  <c r="D1649" i="8" s="1"/>
  <c r="B1653" i="8"/>
  <c r="D1653" i="8" s="1"/>
  <c r="B1657" i="8"/>
  <c r="D1657" i="8" s="1"/>
  <c r="B1661" i="8"/>
  <c r="D1661" i="8" s="1"/>
  <c r="B1665" i="8"/>
  <c r="D1665" i="8" s="1"/>
  <c r="B1669" i="8"/>
  <c r="D1669" i="8" s="1"/>
  <c r="B1673" i="8"/>
  <c r="D1673" i="8" s="1"/>
  <c r="B1677" i="8"/>
  <c r="D1677" i="8" s="1"/>
  <c r="B1681" i="8"/>
  <c r="D1681" i="8" s="1"/>
  <c r="B1685" i="8"/>
  <c r="D1685" i="8" s="1"/>
  <c r="B1689" i="8"/>
  <c r="D1689" i="8" s="1"/>
  <c r="B1693" i="8"/>
  <c r="D1693" i="8" s="1"/>
  <c r="B1697" i="8"/>
  <c r="D1697" i="8" s="1"/>
  <c r="B1733" i="8"/>
  <c r="D1733" i="8" s="1"/>
  <c r="B1737" i="8"/>
  <c r="D1737" i="8" s="1"/>
  <c r="B1741" i="8"/>
  <c r="D1741" i="8" s="1"/>
  <c r="B1745" i="8"/>
  <c r="D1745" i="8" s="1"/>
  <c r="B1749" i="8"/>
  <c r="D1749" i="8" s="1"/>
  <c r="B1753" i="8"/>
  <c r="D1753" i="8" s="1"/>
  <c r="B1760" i="8"/>
  <c r="D1760" i="8" s="1"/>
  <c r="B1763" i="8"/>
  <c r="D1763" i="8" s="1"/>
  <c r="B1767" i="8"/>
  <c r="D1767" i="8" s="1"/>
  <c r="B1771" i="8"/>
  <c r="D1771" i="8" s="1"/>
  <c r="B1775" i="8"/>
  <c r="D1775" i="8" s="1"/>
  <c r="B1779" i="8"/>
  <c r="D1779" i="8" s="1"/>
  <c r="B1838" i="8"/>
  <c r="D1838" i="8" s="1"/>
  <c r="B1857" i="8"/>
  <c r="D1857" i="8" s="1"/>
  <c r="B1861" i="8"/>
  <c r="D1861" i="8" s="1"/>
  <c r="B1924" i="8"/>
  <c r="D1924" i="8" s="1"/>
  <c r="B1928" i="8"/>
  <c r="D1928" i="8" s="1"/>
  <c r="B1951" i="8"/>
  <c r="D1951" i="8" s="1"/>
  <c r="B1955" i="8"/>
  <c r="D1955" i="8" s="1"/>
  <c r="B1959" i="8"/>
  <c r="D1959" i="8" s="1"/>
  <c r="B1963" i="8"/>
  <c r="D1963" i="8" s="1"/>
  <c r="B1967" i="8"/>
  <c r="D1967" i="8" s="1"/>
  <c r="B1971" i="8"/>
  <c r="D1971" i="8" s="1"/>
  <c r="B1975" i="8"/>
  <c r="D1975" i="8" s="1"/>
  <c r="B1979" i="8"/>
  <c r="D1979" i="8" s="1"/>
  <c r="B1983" i="8"/>
  <c r="D1983" i="8" s="1"/>
  <c r="B1994" i="8"/>
  <c r="D1994" i="8" s="1"/>
  <c r="B1998" i="8"/>
  <c r="D1998" i="8" s="1"/>
  <c r="B1921" i="8"/>
  <c r="D1921" i="8" s="1"/>
  <c r="B1939" i="8"/>
  <c r="D1939" i="8" s="1"/>
  <c r="B1961" i="8"/>
  <c r="D1961" i="8" s="1"/>
  <c r="B1692" i="8"/>
  <c r="D1692" i="8" s="1"/>
  <c r="B1738" i="8"/>
  <c r="D1738" i="8" s="1"/>
  <c r="B1778" i="8"/>
  <c r="D1778" i="8" s="1"/>
  <c r="B1819" i="8"/>
  <c r="D1819" i="8" s="1"/>
  <c r="B1850" i="8"/>
  <c r="D1850" i="8" s="1"/>
  <c r="B1890" i="8"/>
  <c r="D1890" i="8" s="1"/>
  <c r="B1922" i="8"/>
  <c r="D1922" i="8" s="1"/>
  <c r="B1976" i="8"/>
  <c r="D1976" i="8" s="1"/>
  <c r="B1538" i="8"/>
  <c r="D1538" i="8" s="1"/>
  <c r="B1612" i="8"/>
  <c r="D1612" i="8" s="1"/>
  <c r="B1734" i="8"/>
  <c r="D1734" i="8" s="1"/>
  <c r="B1824" i="8"/>
  <c r="D1824" i="8" s="1"/>
  <c r="B1900" i="8"/>
  <c r="D1900" i="8" s="1"/>
  <c r="B1945" i="8"/>
  <c r="D1945" i="8" s="1"/>
  <c r="B2003" i="8"/>
  <c r="D2003" i="8" s="1"/>
  <c r="B2042" i="8"/>
  <c r="D2042" i="8" s="1"/>
  <c r="B2094" i="8"/>
  <c r="D2094" i="8" s="1"/>
  <c r="B2095" i="8"/>
  <c r="D2095" i="8" s="1"/>
  <c r="B2129" i="8"/>
  <c r="D2129" i="8" s="1"/>
  <c r="B2091" i="8"/>
  <c r="D2091" i="8" s="1"/>
  <c r="B2125" i="8"/>
  <c r="D2125" i="8" s="1"/>
  <c r="H58" i="8"/>
  <c r="B66" i="8"/>
  <c r="D66" i="8" s="1"/>
  <c r="B68" i="8"/>
  <c r="D68" i="8" s="1"/>
  <c r="B2089" i="8"/>
  <c r="D2089" i="8" s="1"/>
  <c r="B1330" i="8"/>
  <c r="D1330" i="8" s="1"/>
  <c r="B1417" i="8"/>
  <c r="D1417" i="8" s="1"/>
  <c r="B1481" i="8"/>
  <c r="D1481" i="8" s="1"/>
  <c r="B1518" i="8"/>
  <c r="D1518" i="8" s="1"/>
  <c r="B1528" i="8"/>
  <c r="D1528" i="8" s="1"/>
  <c r="B1543" i="8"/>
  <c r="D1543" i="8" s="1"/>
  <c r="B1559" i="8"/>
  <c r="D1559" i="8" s="1"/>
  <c r="B1574" i="8"/>
  <c r="D1574" i="8" s="1"/>
  <c r="B1584" i="8"/>
  <c r="D1584" i="8" s="1"/>
  <c r="B1608" i="8"/>
  <c r="D1608" i="8" s="1"/>
  <c r="B1617" i="8"/>
  <c r="D1617" i="8" s="1"/>
  <c r="B1626" i="8"/>
  <c r="D1626" i="8" s="1"/>
  <c r="B1534" i="8"/>
  <c r="D1534" i="8" s="1"/>
  <c r="B1539" i="8"/>
  <c r="D1539" i="8" s="1"/>
  <c r="B1554" i="8"/>
  <c r="D1554" i="8" s="1"/>
  <c r="B1570" i="8"/>
  <c r="D1570" i="8" s="1"/>
  <c r="B1580" i="8"/>
  <c r="D1580" i="8" s="1"/>
  <c r="B1594" i="8"/>
  <c r="D1594" i="8" s="1"/>
  <c r="B1604" i="8"/>
  <c r="D1604" i="8" s="1"/>
  <c r="B1613" i="8"/>
  <c r="D1613" i="8" s="1"/>
  <c r="B1622" i="8"/>
  <c r="D1622" i="8" s="1"/>
  <c r="B1631" i="8"/>
  <c r="D1631" i="8" s="1"/>
  <c r="B1639" i="8"/>
  <c r="D1639" i="8" s="1"/>
  <c r="B1648" i="8"/>
  <c r="D1648" i="8" s="1"/>
  <c r="B1662" i="8"/>
  <c r="D1662" i="8" s="1"/>
  <c r="B1671" i="8"/>
  <c r="D1671" i="8" s="1"/>
  <c r="B1680" i="8"/>
  <c r="D1680" i="8" s="1"/>
  <c r="B1694" i="8"/>
  <c r="D1694" i="8" s="1"/>
  <c r="B1705" i="8"/>
  <c r="D1705" i="8" s="1"/>
  <c r="B1718" i="8"/>
  <c r="D1718" i="8" s="1"/>
  <c r="B1726" i="8"/>
  <c r="D1726" i="8" s="1"/>
  <c r="B1735" i="8"/>
  <c r="D1735" i="8" s="1"/>
  <c r="B1744" i="8"/>
  <c r="D1744" i="8" s="1"/>
  <c r="B1766" i="8"/>
  <c r="D1766" i="8" s="1"/>
  <c r="B1780" i="8"/>
  <c r="D1780" i="8" s="1"/>
  <c r="B1784" i="8"/>
  <c r="D1784" i="8" s="1"/>
  <c r="B1798" i="8"/>
  <c r="D1798" i="8" s="1"/>
  <c r="B1807" i="8"/>
  <c r="D1807" i="8" s="1"/>
  <c r="B1816" i="8"/>
  <c r="D1816" i="8" s="1"/>
  <c r="B1830" i="8"/>
  <c r="D1830" i="8" s="1"/>
  <c r="B1839" i="8"/>
  <c r="D1839" i="8" s="1"/>
  <c r="B1847" i="8"/>
  <c r="D1847" i="8" s="1"/>
  <c r="B1860" i="8"/>
  <c r="D1860" i="8" s="1"/>
  <c r="B1869" i="8"/>
  <c r="D1869" i="8" s="1"/>
  <c r="B1878" i="8"/>
  <c r="D1878" i="8" s="1"/>
  <c r="B1892" i="8"/>
  <c r="D1892" i="8" s="1"/>
  <c r="B1901" i="8"/>
  <c r="D1901" i="8" s="1"/>
  <c r="B1910" i="8"/>
  <c r="D1910" i="8" s="1"/>
  <c r="B1937" i="8"/>
  <c r="D1937" i="8" s="1"/>
  <c r="B1950" i="8"/>
  <c r="D1950" i="8" s="1"/>
  <c r="B1964" i="8"/>
  <c r="D1964" i="8" s="1"/>
  <c r="B1973" i="8"/>
  <c r="D1973" i="8" s="1"/>
  <c r="B1982" i="8"/>
  <c r="D1982" i="8" s="1"/>
  <c r="B1991" i="8"/>
  <c r="D1991" i="8" s="1"/>
  <c r="B2009" i="8"/>
  <c r="D2009" i="8" s="1"/>
  <c r="B2018" i="8"/>
  <c r="D2018" i="8" s="1"/>
  <c r="B2027" i="8"/>
  <c r="D2027" i="8" s="1"/>
  <c r="B2031" i="8"/>
  <c r="D2031" i="8" s="1"/>
  <c r="B2035" i="8"/>
  <c r="D2035" i="8" s="1"/>
  <c r="B2039" i="8"/>
  <c r="D2039" i="8" s="1"/>
  <c r="B2043" i="8"/>
  <c r="D2043" i="8" s="1"/>
  <c r="B2047" i="8"/>
  <c r="D2047" i="8" s="1"/>
  <c r="B2051" i="8"/>
  <c r="D2051" i="8" s="1"/>
  <c r="B2055" i="8"/>
  <c r="D2055" i="8" s="1"/>
  <c r="B2059" i="8"/>
  <c r="D2059" i="8" s="1"/>
  <c r="B2063" i="8"/>
  <c r="D2063" i="8" s="1"/>
  <c r="B2067" i="8"/>
  <c r="D2067" i="8" s="1"/>
  <c r="B2071" i="8"/>
  <c r="D2071" i="8" s="1"/>
  <c r="B2075" i="8"/>
  <c r="D2075" i="8" s="1"/>
  <c r="B1339" i="8"/>
  <c r="D1339" i="8" s="1"/>
  <c r="B1412" i="8"/>
  <c r="D1412" i="8" s="1"/>
  <c r="B1437" i="8"/>
  <c r="D1437" i="8" s="1"/>
  <c r="B1462" i="8"/>
  <c r="D1462" i="8" s="1"/>
  <c r="B1473" i="8"/>
  <c r="D1473" i="8" s="1"/>
  <c r="B1477" i="8"/>
  <c r="D1477" i="8" s="1"/>
  <c r="B1488" i="8"/>
  <c r="D1488" i="8" s="1"/>
  <c r="B1504" i="8"/>
  <c r="D1504" i="8" s="1"/>
  <c r="B1519" i="8"/>
  <c r="D1519" i="8" s="1"/>
  <c r="B1524" i="8"/>
  <c r="D1524" i="8" s="1"/>
  <c r="B1550" i="8"/>
  <c r="D1550" i="8" s="1"/>
  <c r="B1560" i="8"/>
  <c r="D1560" i="8" s="1"/>
  <c r="B1575" i="8"/>
  <c r="D1575" i="8" s="1"/>
  <c r="B1590" i="8"/>
  <c r="D1590" i="8" s="1"/>
  <c r="B1599" i="8"/>
  <c r="D1599" i="8" s="1"/>
  <c r="B1609" i="8"/>
  <c r="D1609" i="8" s="1"/>
  <c r="B1618" i="8"/>
  <c r="D1618" i="8" s="1"/>
  <c r="B1627" i="8"/>
  <c r="D1627" i="8" s="1"/>
  <c r="B1636" i="8"/>
  <c r="D1636" i="8" s="1"/>
  <c r="B1644" i="8"/>
  <c r="D1644" i="8" s="1"/>
  <c r="B1658" i="8"/>
  <c r="D1658" i="8" s="1"/>
  <c r="B1667" i="8"/>
  <c r="D1667" i="8" s="1"/>
  <c r="B1676" i="8"/>
  <c r="D1676" i="8" s="1"/>
  <c r="B1690" i="8"/>
  <c r="D1690" i="8" s="1"/>
  <c r="B1699" i="8"/>
  <c r="D1699" i="8" s="1"/>
  <c r="B1702" i="8"/>
  <c r="D1702" i="8" s="1"/>
  <c r="B1715" i="8"/>
  <c r="D1715" i="8" s="1"/>
  <c r="B1722" i="8"/>
  <c r="D1722" i="8" s="1"/>
  <c r="B1731" i="8"/>
  <c r="D1731" i="8" s="1"/>
  <c r="B1740" i="8"/>
  <c r="D1740" i="8" s="1"/>
  <c r="B1754" i="8"/>
  <c r="D1754" i="8" s="1"/>
  <c r="B1758" i="8"/>
  <c r="D1758" i="8" s="1"/>
  <c r="B1776" i="8"/>
  <c r="D1776" i="8" s="1"/>
  <c r="B1794" i="8"/>
  <c r="D1794" i="8" s="1"/>
  <c r="B1803" i="8"/>
  <c r="D1803" i="8" s="1"/>
  <c r="B1812" i="8"/>
  <c r="D1812" i="8" s="1"/>
  <c r="B1826" i="8"/>
  <c r="D1826" i="8" s="1"/>
  <c r="B1835" i="8"/>
  <c r="D1835" i="8" s="1"/>
  <c r="B1843" i="8"/>
  <c r="D1843" i="8" s="1"/>
  <c r="B1856" i="8"/>
  <c r="D1856" i="8" s="1"/>
  <c r="B1865" i="8"/>
  <c r="D1865" i="8" s="1"/>
  <c r="B1874" i="8"/>
  <c r="D1874" i="8" s="1"/>
  <c r="B1888" i="8"/>
  <c r="D1888" i="8" s="1"/>
  <c r="B1897" i="8"/>
  <c r="D1897" i="8" s="1"/>
  <c r="B1906" i="8"/>
  <c r="D1906" i="8" s="1"/>
  <c r="B1920" i="8"/>
  <c r="D1920" i="8" s="1"/>
  <c r="B1952" i="8"/>
  <c r="D1952" i="8" s="1"/>
  <c r="B1970" i="8"/>
  <c r="D1970" i="8" s="1"/>
  <c r="B1729" i="8"/>
  <c r="D1729" i="8" s="1"/>
  <c r="B1756" i="8"/>
  <c r="D1756" i="8" s="1"/>
  <c r="B1787" i="8"/>
  <c r="D1787" i="8" s="1"/>
  <c r="B1828" i="8"/>
  <c r="D1828" i="8" s="1"/>
  <c r="B1872" i="8"/>
  <c r="D1872" i="8" s="1"/>
  <c r="B1913" i="8"/>
  <c r="D1913" i="8" s="1"/>
  <c r="B1940" i="8"/>
  <c r="D1940" i="8" s="1"/>
  <c r="B1962" i="8"/>
  <c r="D1962" i="8" s="1"/>
  <c r="B1507" i="8"/>
  <c r="D1507" i="8" s="1"/>
  <c r="B1563" i="8"/>
  <c r="D1563" i="8" s="1"/>
  <c r="B1638" i="8"/>
  <c r="D1638" i="8" s="1"/>
  <c r="B1670" i="8"/>
  <c r="D1670" i="8" s="1"/>
  <c r="B1713" i="8"/>
  <c r="D1713" i="8" s="1"/>
  <c r="B1765" i="8"/>
  <c r="D1765" i="8" s="1"/>
  <c r="B1846" i="8"/>
  <c r="D1846" i="8" s="1"/>
  <c r="B1936" i="8"/>
  <c r="D1936" i="8" s="1"/>
  <c r="B1958" i="8"/>
  <c r="D1958" i="8" s="1"/>
  <c r="B1981" i="8"/>
  <c r="D1981" i="8" s="1"/>
  <c r="B2026" i="8"/>
  <c r="D2026" i="8" s="1"/>
  <c r="B2034" i="8"/>
  <c r="D2034" i="8" s="1"/>
  <c r="B2046" i="8"/>
  <c r="D2046" i="8" s="1"/>
  <c r="B2058" i="8"/>
  <c r="D2058" i="8" s="1"/>
  <c r="B2074" i="8"/>
  <c r="D2074" i="8" s="1"/>
  <c r="B2086" i="8"/>
  <c r="D2086" i="8" s="1"/>
  <c r="B2098" i="8"/>
  <c r="D2098" i="8" s="1"/>
  <c r="H52" i="8"/>
  <c r="B2079" i="8"/>
  <c r="D2079" i="8" s="1"/>
  <c r="B2080" i="8"/>
  <c r="D2080" i="8" s="1"/>
  <c r="B2119" i="8"/>
  <c r="D2119" i="8" s="1"/>
  <c r="B2084" i="8"/>
  <c r="D2084" i="8" s="1"/>
  <c r="B2092" i="8"/>
  <c r="D2092" i="8" s="1"/>
  <c r="B2115" i="8"/>
  <c r="D2115" i="8" s="1"/>
  <c r="B2104" i="8"/>
  <c r="D2104" i="8" s="1"/>
  <c r="B1929" i="8"/>
  <c r="D1929" i="8" s="1"/>
  <c r="B1933" i="8"/>
  <c r="D1933" i="8" s="1"/>
  <c r="B1947" i="8"/>
  <c r="D1947" i="8" s="1"/>
  <c r="B1960" i="8"/>
  <c r="D1960" i="8" s="1"/>
  <c r="B1969" i="8"/>
  <c r="D1969" i="8" s="1"/>
  <c r="B1978" i="8"/>
  <c r="D1978" i="8" s="1"/>
  <c r="B1987" i="8"/>
  <c r="D1987" i="8" s="1"/>
  <c r="B1996" i="8"/>
  <c r="D1996" i="8" s="1"/>
  <c r="B2005" i="8"/>
  <c r="D2005" i="8" s="1"/>
  <c r="B2014" i="8"/>
  <c r="D2014" i="8" s="1"/>
  <c r="B2023" i="8"/>
  <c r="D2023" i="8" s="1"/>
  <c r="B1362" i="8"/>
  <c r="D1362" i="8" s="1"/>
  <c r="B1398" i="8"/>
  <c r="D1398" i="8" s="1"/>
  <c r="B1426" i="8"/>
  <c r="D1426" i="8" s="1"/>
  <c r="B1499" i="8"/>
  <c r="D1499" i="8" s="1"/>
  <c r="B1515" i="8"/>
  <c r="D1515" i="8" s="1"/>
  <c r="B1530" i="8"/>
  <c r="D1530" i="8" s="1"/>
  <c r="B1540" i="8"/>
  <c r="D1540" i="8" s="1"/>
  <c r="B1566" i="8"/>
  <c r="D1566" i="8" s="1"/>
  <c r="B1571" i="8"/>
  <c r="D1571" i="8" s="1"/>
  <c r="B1586" i="8"/>
  <c r="D1586" i="8" s="1"/>
  <c r="B1595" i="8"/>
  <c r="D1595" i="8" s="1"/>
  <c r="B1605" i="8"/>
  <c r="D1605" i="8" s="1"/>
  <c r="B1614" i="8"/>
  <c r="D1614" i="8" s="1"/>
  <c r="B1623" i="8"/>
  <c r="D1623" i="8" s="1"/>
  <c r="B1632" i="8"/>
  <c r="D1632" i="8" s="1"/>
  <c r="B1654" i="8"/>
  <c r="D1654" i="8" s="1"/>
  <c r="B1663" i="8"/>
  <c r="D1663" i="8" s="1"/>
  <c r="B1672" i="8"/>
  <c r="D1672" i="8" s="1"/>
  <c r="B1686" i="8"/>
  <c r="D1686" i="8" s="1"/>
  <c r="B1695" i="8"/>
  <c r="D1695" i="8" s="1"/>
  <c r="B1711" i="8"/>
  <c r="D1711" i="8" s="1"/>
  <c r="B1727" i="8"/>
  <c r="D1727" i="8" s="1"/>
  <c r="B1736" i="8"/>
  <c r="D1736" i="8" s="1"/>
  <c r="B1750" i="8"/>
  <c r="D1750" i="8" s="1"/>
  <c r="B1772" i="8"/>
  <c r="D1772" i="8" s="1"/>
  <c r="B1781" i="8"/>
  <c r="D1781" i="8" s="1"/>
  <c r="B1790" i="8"/>
  <c r="D1790" i="8" s="1"/>
  <c r="B1799" i="8"/>
  <c r="D1799" i="8" s="1"/>
  <c r="B1808" i="8"/>
  <c r="D1808" i="8" s="1"/>
  <c r="B1822" i="8"/>
  <c r="D1822" i="8" s="1"/>
  <c r="B1831" i="8"/>
  <c r="D1831" i="8" s="1"/>
  <c r="B1840" i="8"/>
  <c r="D1840" i="8" s="1"/>
  <c r="B1853" i="8"/>
  <c r="D1853" i="8" s="1"/>
  <c r="B1870" i="8"/>
  <c r="D1870" i="8" s="1"/>
  <c r="B1884" i="8"/>
  <c r="D1884" i="8" s="1"/>
  <c r="B1893" i="8"/>
  <c r="D1893" i="8" s="1"/>
  <c r="B1902" i="8"/>
  <c r="D1902" i="8" s="1"/>
  <c r="B1916" i="8"/>
  <c r="D1916" i="8" s="1"/>
  <c r="B1925" i="8"/>
  <c r="D1925" i="8" s="1"/>
  <c r="B1943" i="8"/>
  <c r="D1943" i="8" s="1"/>
  <c r="B1956" i="8"/>
  <c r="D1956" i="8" s="1"/>
  <c r="B1965" i="8"/>
  <c r="D1965" i="8" s="1"/>
  <c r="B1974" i="8"/>
  <c r="D1974" i="8" s="1"/>
  <c r="B1992" i="8"/>
  <c r="D1992" i="8" s="1"/>
  <c r="B2001" i="8"/>
  <c r="D2001" i="8" s="1"/>
  <c r="B2010" i="8"/>
  <c r="D2010" i="8" s="1"/>
  <c r="B2019" i="8"/>
  <c r="D2019" i="8" s="1"/>
  <c r="B2028" i="8"/>
  <c r="D2028" i="8" s="1"/>
  <c r="B2032" i="8"/>
  <c r="D2032" i="8" s="1"/>
  <c r="B2036" i="8"/>
  <c r="D2036" i="8" s="1"/>
  <c r="B2040" i="8"/>
  <c r="D2040" i="8" s="1"/>
  <c r="B2044" i="8"/>
  <c r="D2044" i="8" s="1"/>
  <c r="B2048" i="8"/>
  <c r="D2048" i="8" s="1"/>
  <c r="B2052" i="8"/>
  <c r="D2052" i="8" s="1"/>
  <c r="B2056" i="8"/>
  <c r="D2056" i="8" s="1"/>
  <c r="B2060" i="8"/>
  <c r="D2060" i="8" s="1"/>
  <c r="B2064" i="8"/>
  <c r="D2064" i="8" s="1"/>
  <c r="B1348" i="8"/>
  <c r="D1348" i="8" s="1"/>
  <c r="B1484" i="8"/>
  <c r="D1484" i="8" s="1"/>
  <c r="B1489" i="8"/>
  <c r="D1489" i="8" s="1"/>
  <c r="B1510" i="8"/>
  <c r="D1510" i="8" s="1"/>
  <c r="B1520" i="8"/>
  <c r="D1520" i="8" s="1"/>
  <c r="B1536" i="8"/>
  <c r="D1536" i="8" s="1"/>
  <c r="B1551" i="8"/>
  <c r="D1551" i="8" s="1"/>
  <c r="B1556" i="8"/>
  <c r="D1556" i="8" s="1"/>
  <c r="B1582" i="8"/>
  <c r="D1582" i="8" s="1"/>
  <c r="B1591" i="8"/>
  <c r="D1591" i="8" s="1"/>
  <c r="B1600" i="8"/>
  <c r="D1600" i="8" s="1"/>
  <c r="B1610" i="8"/>
  <c r="D1610" i="8" s="1"/>
  <c r="B1628" i="8"/>
  <c r="D1628" i="8" s="1"/>
  <c r="B1641" i="8"/>
  <c r="D1641" i="8" s="1"/>
  <c r="B1650" i="8"/>
  <c r="D1650" i="8" s="1"/>
  <c r="B1659" i="8"/>
  <c r="D1659" i="8" s="1"/>
  <c r="B1668" i="8"/>
  <c r="D1668" i="8" s="1"/>
  <c r="B1682" i="8"/>
  <c r="D1682" i="8" s="1"/>
  <c r="B1691" i="8"/>
  <c r="D1691" i="8" s="1"/>
  <c r="B1707" i="8"/>
  <c r="D1707" i="8" s="1"/>
  <c r="B1719" i="8"/>
  <c r="D1719" i="8" s="1"/>
  <c r="B1723" i="8"/>
  <c r="D1723" i="8" s="1"/>
  <c r="B1732" i="8"/>
  <c r="D1732" i="8" s="1"/>
  <c r="B1746" i="8"/>
  <c r="D1746" i="8" s="1"/>
  <c r="B1755" i="8"/>
  <c r="D1755" i="8" s="1"/>
  <c r="B1768" i="8"/>
  <c r="D1768" i="8" s="1"/>
  <c r="B1777" i="8"/>
  <c r="D1777" i="8" s="1"/>
  <c r="B1786" i="8"/>
  <c r="D1786" i="8" s="1"/>
  <c r="B1795" i="8"/>
  <c r="D1795" i="8" s="1"/>
  <c r="B1804" i="8"/>
  <c r="D1804" i="8" s="1"/>
  <c r="B1818" i="8"/>
  <c r="D1818" i="8" s="1"/>
  <c r="B1827" i="8"/>
  <c r="D1827" i="8" s="1"/>
  <c r="B1836" i="8"/>
  <c r="D1836" i="8" s="1"/>
  <c r="B1849" i="8"/>
  <c r="D1849" i="8" s="1"/>
  <c r="B1862" i="8"/>
  <c r="D1862" i="8" s="1"/>
  <c r="B1866" i="8"/>
  <c r="D1866" i="8" s="1"/>
  <c r="B1880" i="8"/>
  <c r="D1880" i="8" s="1"/>
  <c r="B1889" i="8"/>
  <c r="D1889" i="8" s="1"/>
  <c r="B1898" i="8"/>
  <c r="D1898" i="8" s="1"/>
  <c r="B1912" i="8"/>
  <c r="D1912" i="8" s="1"/>
  <c r="B1930" i="8"/>
  <c r="D1930" i="8" s="1"/>
  <c r="B1984" i="8"/>
  <c r="D1984" i="8" s="1"/>
  <c r="B1708" i="8"/>
  <c r="D1708" i="8" s="1"/>
  <c r="B1747" i="8"/>
  <c r="D1747" i="8" s="1"/>
  <c r="B1810" i="8"/>
  <c r="D1810" i="8" s="1"/>
  <c r="B1837" i="8"/>
  <c r="D1837" i="8" s="1"/>
  <c r="B1863" i="8"/>
  <c r="D1863" i="8" s="1"/>
  <c r="B1881" i="8"/>
  <c r="D1881" i="8" s="1"/>
  <c r="B1931" i="8"/>
  <c r="D1931" i="8" s="1"/>
  <c r="B1522" i="8"/>
  <c r="D1522" i="8" s="1"/>
  <c r="B1597" i="8"/>
  <c r="D1597" i="8" s="1"/>
  <c r="B1679" i="8"/>
  <c r="D1679" i="8" s="1"/>
  <c r="B1725" i="8"/>
  <c r="D1725" i="8" s="1"/>
  <c r="B1743" i="8"/>
  <c r="D1743" i="8" s="1"/>
  <c r="B1774" i="8"/>
  <c r="D1774" i="8" s="1"/>
  <c r="B1859" i="8"/>
  <c r="D1859" i="8" s="1"/>
  <c r="B1927" i="8"/>
  <c r="D1927" i="8" s="1"/>
  <c r="B1949" i="8"/>
  <c r="D1949" i="8" s="1"/>
  <c r="B2038" i="8"/>
  <c r="D2038" i="8" s="1"/>
  <c r="B2066" i="8"/>
  <c r="D2066" i="8" s="1"/>
  <c r="B2090" i="8"/>
  <c r="D2090" i="8" s="1"/>
  <c r="B2110" i="8"/>
  <c r="D2110" i="8" s="1"/>
  <c r="B2100" i="8"/>
  <c r="D2100" i="8" s="1"/>
  <c r="B2107" i="8"/>
  <c r="D2107" i="8" s="1"/>
  <c r="B2127" i="8"/>
  <c r="D2127" i="8" s="1"/>
  <c r="B67" i="8"/>
  <c r="D67" i="8" s="1"/>
  <c r="B1988" i="8"/>
  <c r="D1988" i="8" s="1"/>
  <c r="B1997" i="8"/>
  <c r="D1997" i="8" s="1"/>
  <c r="B2006" i="8"/>
  <c r="D2006" i="8" s="1"/>
  <c r="B2015" i="8"/>
  <c r="D2015" i="8" s="1"/>
  <c r="B2088" i="8"/>
  <c r="D2088" i="8" s="1"/>
  <c r="B2108" i="8"/>
  <c r="D2108" i="8" s="1"/>
  <c r="B2112" i="8"/>
  <c r="D2112" i="8" s="1"/>
  <c r="B2116" i="8"/>
  <c r="D2116" i="8" s="1"/>
  <c r="B2120" i="8"/>
  <c r="D2120" i="8" s="1"/>
  <c r="B2124" i="8"/>
  <c r="D2124" i="8" s="1"/>
  <c r="B2128" i="8"/>
  <c r="D2128" i="8" s="1"/>
  <c r="B2041" i="8"/>
  <c r="D2041" i="8" s="1"/>
  <c r="B2057" i="8"/>
  <c r="D2057" i="8" s="1"/>
  <c r="B2065" i="8"/>
  <c r="D2065" i="8" s="1"/>
  <c r="B2073" i="8"/>
  <c r="D2073" i="8" s="1"/>
  <c r="B2081" i="8"/>
  <c r="D2081" i="8" s="1"/>
  <c r="B2093" i="8"/>
  <c r="D2093" i="8" s="1"/>
  <c r="B2101" i="8"/>
  <c r="D2101" i="8" s="1"/>
  <c r="B65" i="8"/>
  <c r="D65" i="8" s="1"/>
  <c r="B1371" i="8"/>
  <c r="D1371" i="8" s="1"/>
  <c r="B1421" i="8"/>
  <c r="D1421" i="8" s="1"/>
  <c r="B1439" i="8"/>
  <c r="D1439" i="8" s="1"/>
  <c r="B1446" i="8"/>
  <c r="D1446" i="8" s="1"/>
  <c r="B1458" i="8"/>
  <c r="D1458" i="8" s="1"/>
  <c r="B1475" i="8"/>
  <c r="D1475" i="8" s="1"/>
  <c r="B1495" i="8"/>
  <c r="D1495" i="8" s="1"/>
  <c r="B1506" i="8"/>
  <c r="D1506" i="8" s="1"/>
  <c r="B1516" i="8"/>
  <c r="D1516" i="8" s="1"/>
  <c r="B1531" i="8"/>
  <c r="D1531" i="8" s="1"/>
  <c r="B1547" i="8"/>
  <c r="D1547" i="8" s="1"/>
  <c r="B1562" i="8"/>
  <c r="D1562" i="8" s="1"/>
  <c r="B1572" i="8"/>
  <c r="D1572" i="8" s="1"/>
  <c r="B1587" i="8"/>
  <c r="D1587" i="8" s="1"/>
  <c r="B1596" i="8"/>
  <c r="D1596" i="8" s="1"/>
  <c r="B1606" i="8"/>
  <c r="D1606" i="8" s="1"/>
  <c r="B1624" i="8"/>
  <c r="D1624" i="8" s="1"/>
  <c r="B1633" i="8"/>
  <c r="D1633" i="8" s="1"/>
  <c r="B1637" i="8"/>
  <c r="D1637" i="8" s="1"/>
  <c r="B1646" i="8"/>
  <c r="D1646" i="8" s="1"/>
  <c r="B1655" i="8"/>
  <c r="D1655" i="8" s="1"/>
  <c r="B1664" i="8"/>
  <c r="D1664" i="8" s="1"/>
  <c r="B1678" i="8"/>
  <c r="D1678" i="8" s="1"/>
  <c r="B1687" i="8"/>
  <c r="D1687" i="8" s="1"/>
  <c r="B1696" i="8"/>
  <c r="D1696" i="8" s="1"/>
  <c r="B1700" i="8"/>
  <c r="D1700" i="8" s="1"/>
  <c r="B1703" i="8"/>
  <c r="D1703" i="8" s="1"/>
  <c r="B1712" i="8"/>
  <c r="D1712" i="8" s="1"/>
  <c r="B1716" i="8"/>
  <c r="D1716" i="8" s="1"/>
  <c r="B1742" i="8"/>
  <c r="D1742" i="8" s="1"/>
  <c r="B1751" i="8"/>
  <c r="D1751" i="8" s="1"/>
  <c r="B1764" i="8"/>
  <c r="D1764" i="8" s="1"/>
  <c r="B1773" i="8"/>
  <c r="D1773" i="8" s="1"/>
  <c r="B1782" i="8"/>
  <c r="D1782" i="8" s="1"/>
  <c r="B1791" i="8"/>
  <c r="D1791" i="8" s="1"/>
  <c r="B1800" i="8"/>
  <c r="D1800" i="8" s="1"/>
  <c r="B1814" i="8"/>
  <c r="D1814" i="8" s="1"/>
  <c r="B1823" i="8"/>
  <c r="D1823" i="8" s="1"/>
  <c r="B1832" i="8"/>
  <c r="D1832" i="8" s="1"/>
  <c r="B1845" i="8"/>
  <c r="D1845" i="8" s="1"/>
  <c r="B1854" i="8"/>
  <c r="D1854" i="8" s="1"/>
  <c r="B1858" i="8"/>
  <c r="D1858" i="8" s="1"/>
  <c r="B1876" i="8"/>
  <c r="D1876" i="8" s="1"/>
  <c r="B1885" i="8"/>
  <c r="D1885" i="8" s="1"/>
  <c r="B1894" i="8"/>
  <c r="D1894" i="8" s="1"/>
  <c r="B1908" i="8"/>
  <c r="D1908" i="8" s="1"/>
  <c r="B1917" i="8"/>
  <c r="D1917" i="8" s="1"/>
  <c r="B1926" i="8"/>
  <c r="D1926" i="8" s="1"/>
  <c r="B1935" i="8"/>
  <c r="D1935" i="8" s="1"/>
  <c r="B1944" i="8"/>
  <c r="D1944" i="8" s="1"/>
  <c r="B1948" i="8"/>
  <c r="D1948" i="8" s="1"/>
  <c r="B1957" i="8"/>
  <c r="D1957" i="8" s="1"/>
  <c r="B1966" i="8"/>
  <c r="D1966" i="8" s="1"/>
  <c r="B1980" i="8"/>
  <c r="D1980" i="8" s="1"/>
  <c r="B1993" i="8"/>
  <c r="D1993" i="8" s="1"/>
  <c r="B2002" i="8"/>
  <c r="D2002" i="8" s="1"/>
  <c r="B2011" i="8"/>
  <c r="D2011" i="8" s="1"/>
  <c r="B2025" i="8"/>
  <c r="D2025" i="8" s="1"/>
  <c r="B2029" i="8"/>
  <c r="D2029" i="8" s="1"/>
  <c r="B2033" i="8"/>
  <c r="D2033" i="8" s="1"/>
  <c r="B1620" i="8"/>
  <c r="D1620" i="8" s="1"/>
  <c r="B1629" i="8"/>
  <c r="D1629" i="8" s="1"/>
  <c r="B1642" i="8"/>
  <c r="D1642" i="8" s="1"/>
  <c r="B1651" i="8"/>
  <c r="D1651" i="8" s="1"/>
  <c r="B1660" i="8"/>
  <c r="D1660" i="8" s="1"/>
  <c r="B1674" i="8"/>
  <c r="D1674" i="8" s="1"/>
  <c r="B1683" i="8"/>
  <c r="D1683" i="8" s="1"/>
  <c r="B1769" i="8"/>
  <c r="D1769" i="8" s="1"/>
  <c r="B1796" i="8"/>
  <c r="D1796" i="8" s="1"/>
  <c r="B1841" i="8"/>
  <c r="D1841" i="8" s="1"/>
  <c r="B1904" i="8"/>
  <c r="D1904" i="8" s="1"/>
  <c r="B1953" i="8"/>
  <c r="D1953" i="8" s="1"/>
  <c r="B2007" i="8"/>
  <c r="D2007" i="8" s="1"/>
  <c r="B1548" i="8"/>
  <c r="D1548" i="8" s="1"/>
  <c r="B1579" i="8"/>
  <c r="D1579" i="8" s="1"/>
  <c r="B1647" i="8"/>
  <c r="D1647" i="8" s="1"/>
  <c r="B1704" i="8"/>
  <c r="D1704" i="8" s="1"/>
  <c r="B1761" i="8"/>
  <c r="D1761" i="8" s="1"/>
  <c r="B1783" i="8"/>
  <c r="D1783" i="8" s="1"/>
  <c r="B1806" i="8"/>
  <c r="D1806" i="8" s="1"/>
  <c r="B1868" i="8"/>
  <c r="D1868" i="8" s="1"/>
  <c r="B1886" i="8"/>
  <c r="D1886" i="8" s="1"/>
  <c r="B1909" i="8"/>
  <c r="D1909" i="8" s="1"/>
  <c r="B1999" i="8"/>
  <c r="D1999" i="8" s="1"/>
  <c r="B2017" i="8"/>
  <c r="D2017" i="8" s="1"/>
  <c r="B2030" i="8"/>
  <c r="D2030" i="8" s="1"/>
  <c r="B2050" i="8"/>
  <c r="D2050" i="8" s="1"/>
  <c r="B2070" i="8"/>
  <c r="D2070" i="8" s="1"/>
  <c r="B2082" i="8"/>
  <c r="D2082" i="8" s="1"/>
  <c r="B2106" i="8"/>
  <c r="D2106" i="8" s="1"/>
  <c r="B2126" i="8"/>
  <c r="D2126" i="8" s="1"/>
  <c r="B2076" i="8"/>
  <c r="D2076" i="8" s="1"/>
  <c r="B2083" i="8"/>
  <c r="D2083" i="8" s="1"/>
  <c r="B2123" i="8"/>
  <c r="D2123" i="8" s="1"/>
  <c r="B2021" i="8"/>
  <c r="D2021" i="8" s="1"/>
  <c r="B2109" i="8"/>
  <c r="D2109" i="8" s="1"/>
  <c r="B2113" i="8"/>
  <c r="D2113" i="8" s="1"/>
  <c r="B2117" i="8"/>
  <c r="D2117" i="8" s="1"/>
  <c r="B2121" i="8"/>
  <c r="D2121" i="8" s="1"/>
  <c r="B1380" i="8"/>
  <c r="D1380" i="8" s="1"/>
  <c r="B1435" i="8"/>
  <c r="D1435" i="8" s="1"/>
  <c r="B1466" i="8"/>
  <c r="D1466" i="8" s="1"/>
  <c r="B1471" i="8"/>
  <c r="D1471" i="8" s="1"/>
  <c r="B1476" i="8"/>
  <c r="D1476" i="8" s="1"/>
  <c r="B1486" i="8"/>
  <c r="D1486" i="8" s="1"/>
  <c r="B1502" i="8"/>
  <c r="D1502" i="8" s="1"/>
  <c r="B1588" i="8"/>
  <c r="D1588" i="8" s="1"/>
  <c r="B1656" i="8"/>
  <c r="D1656" i="8" s="1"/>
  <c r="B1688" i="8"/>
  <c r="D1688" i="8" s="1"/>
  <c r="B1752" i="8"/>
  <c r="D1752" i="8" s="1"/>
  <c r="B1792" i="8"/>
  <c r="D1792" i="8" s="1"/>
  <c r="B1815" i="8"/>
  <c r="D1815" i="8" s="1"/>
  <c r="B1877" i="8"/>
  <c r="D1877" i="8" s="1"/>
  <c r="B1918" i="8"/>
  <c r="D1918" i="8" s="1"/>
  <c r="B1972" i="8"/>
  <c r="D1972" i="8" s="1"/>
  <c r="B1990" i="8"/>
  <c r="D1990" i="8" s="1"/>
  <c r="B2054" i="8"/>
  <c r="D2054" i="8" s="1"/>
  <c r="B2062" i="8"/>
  <c r="D2062" i="8" s="1"/>
  <c r="B2078" i="8"/>
  <c r="D2078" i="8" s="1"/>
  <c r="B2102" i="8"/>
  <c r="D2102" i="8" s="1"/>
  <c r="B2118" i="8"/>
  <c r="D2118" i="8" s="1"/>
  <c r="E58" i="8"/>
  <c r="B2111" i="8"/>
  <c r="D2111" i="8" s="1"/>
  <c r="B2068" i="8"/>
  <c r="D2068" i="8" s="1"/>
  <c r="B2096" i="8"/>
  <c r="D2096" i="8" s="1"/>
  <c r="B2131" i="8"/>
  <c r="D2131" i="8" s="1"/>
  <c r="B2087" i="8"/>
  <c r="D2087" i="8" s="1"/>
  <c r="B2103" i="8"/>
  <c r="D2103" i="8" s="1"/>
  <c r="B2099" i="8"/>
  <c r="D2099" i="8" s="1"/>
  <c r="B2072" i="8"/>
  <c r="D2072" i="8" s="1"/>
  <c r="E52" i="8"/>
  <c r="B224" i="8"/>
  <c r="D224" i="8" s="1"/>
  <c r="B229" i="8"/>
  <c r="D229" i="8" s="1"/>
  <c r="B240" i="8"/>
  <c r="D240" i="8" s="1"/>
  <c r="B245" i="8"/>
  <c r="D245" i="8" s="1"/>
  <c r="B319" i="8"/>
  <c r="D319" i="8" s="1"/>
  <c r="B324" i="8"/>
  <c r="D324" i="8" s="1"/>
  <c r="B335" i="8"/>
  <c r="D335" i="8" s="1"/>
  <c r="B340" i="8"/>
  <c r="D340" i="8" s="1"/>
  <c r="B351" i="8"/>
  <c r="D351" i="8" s="1"/>
  <c r="B356" i="8"/>
  <c r="D356" i="8" s="1"/>
  <c r="B367" i="8"/>
  <c r="D367" i="8" s="1"/>
  <c r="B372" i="8"/>
  <c r="D372" i="8" s="1"/>
  <c r="B383" i="8"/>
  <c r="D383" i="8" s="1"/>
  <c r="B388" i="8"/>
  <c r="D388" i="8" s="1"/>
  <c r="B402" i="8"/>
  <c r="D402" i="8" s="1"/>
  <c r="B407" i="8"/>
  <c r="D407" i="8" s="1"/>
  <c r="B418" i="8"/>
  <c r="D418" i="8" s="1"/>
  <c r="B423" i="8"/>
  <c r="D423" i="8" s="1"/>
  <c r="B434" i="8"/>
  <c r="D434" i="8" s="1"/>
  <c r="B508" i="8"/>
  <c r="D508" i="8" s="1"/>
  <c r="B512" i="8"/>
  <c r="D512" i="8" s="1"/>
  <c r="B516" i="8"/>
  <c r="D516" i="8" s="1"/>
  <c r="B520" i="8"/>
  <c r="D520" i="8" s="1"/>
  <c r="B524" i="8"/>
  <c r="D524" i="8" s="1"/>
  <c r="B532" i="8"/>
  <c r="D532" i="8" s="1"/>
  <c r="B541" i="8"/>
  <c r="D541" i="8" s="1"/>
  <c r="B555" i="8"/>
  <c r="D555" i="8" s="1"/>
  <c r="B564" i="8"/>
  <c r="D564" i="8" s="1"/>
  <c r="B573" i="8"/>
  <c r="D573" i="8" s="1"/>
  <c r="B617" i="8"/>
  <c r="D617" i="8" s="1"/>
  <c r="B621" i="8"/>
  <c r="D621" i="8" s="1"/>
  <c r="B625" i="8"/>
  <c r="D625" i="8" s="1"/>
  <c r="B629" i="8"/>
  <c r="D629" i="8" s="1"/>
  <c r="B633" i="8"/>
  <c r="D633" i="8" s="1"/>
  <c r="B637" i="8"/>
  <c r="D637" i="8" s="1"/>
  <c r="B688" i="8"/>
  <c r="D688" i="8" s="1"/>
  <c r="B692" i="8"/>
  <c r="D692" i="8" s="1"/>
  <c r="B696" i="8"/>
  <c r="D696" i="8" s="1"/>
  <c r="B700" i="8"/>
  <c r="D700" i="8" s="1"/>
  <c r="B719" i="8"/>
  <c r="D719" i="8" s="1"/>
  <c r="B723" i="8"/>
  <c r="D723" i="8" s="1"/>
  <c r="B727" i="8"/>
  <c r="D727" i="8" s="1"/>
  <c r="B731" i="8"/>
  <c r="D731" i="8" s="1"/>
  <c r="B735" i="8"/>
  <c r="D735" i="8" s="1"/>
  <c r="B739" i="8"/>
  <c r="D739" i="8" s="1"/>
  <c r="B743" i="8"/>
  <c r="D743" i="8" s="1"/>
  <c r="B826" i="8"/>
  <c r="D826" i="8" s="1"/>
  <c r="B830" i="8"/>
  <c r="D830" i="8" s="1"/>
  <c r="B834" i="8"/>
  <c r="D834" i="8" s="1"/>
  <c r="B838" i="8"/>
  <c r="D838" i="8" s="1"/>
  <c r="B842" i="8"/>
  <c r="D842" i="8" s="1"/>
  <c r="B846" i="8"/>
  <c r="D846" i="8" s="1"/>
  <c r="B419" i="8"/>
  <c r="D419" i="8" s="1"/>
  <c r="B174" i="8"/>
  <c r="D174" i="8" s="1"/>
  <c r="B188" i="8"/>
  <c r="D188" i="8" s="1"/>
  <c r="B225" i="8"/>
  <c r="D225" i="8" s="1"/>
  <c r="B232" i="8"/>
  <c r="D232" i="8" s="1"/>
  <c r="B320" i="8"/>
  <c r="D320" i="8" s="1"/>
  <c r="B327" i="8"/>
  <c r="D327" i="8" s="1"/>
  <c r="B352" i="8"/>
  <c r="D352" i="8" s="1"/>
  <c r="B359" i="8"/>
  <c r="D359" i="8" s="1"/>
  <c r="B384" i="8"/>
  <c r="D384" i="8" s="1"/>
  <c r="B440" i="8"/>
  <c r="D440" i="8" s="1"/>
  <c r="B445" i="8"/>
  <c r="D445" i="8" s="1"/>
  <c r="B456" i="8"/>
  <c r="D456" i="8" s="1"/>
  <c r="B461" i="8"/>
  <c r="D461" i="8" s="1"/>
  <c r="B472" i="8"/>
  <c r="D472" i="8" s="1"/>
  <c r="B481" i="8"/>
  <c r="D481" i="8" s="1"/>
  <c r="B500" i="8"/>
  <c r="D500" i="8" s="1"/>
  <c r="B505" i="8"/>
  <c r="D505" i="8" s="1"/>
  <c r="B510" i="8"/>
  <c r="D510" i="8" s="1"/>
  <c r="B521" i="8"/>
  <c r="D521" i="8" s="1"/>
  <c r="B526" i="8"/>
  <c r="D526" i="8" s="1"/>
  <c r="B537" i="8"/>
  <c r="D537" i="8" s="1"/>
  <c r="B543" i="8"/>
  <c r="D543" i="8" s="1"/>
  <c r="B568" i="8"/>
  <c r="D568" i="8" s="1"/>
  <c r="B578" i="8"/>
  <c r="D578" i="8" s="1"/>
  <c r="B582" i="8"/>
  <c r="D582" i="8" s="1"/>
  <c r="B586" i="8"/>
  <c r="D586" i="8" s="1"/>
  <c r="B590" i="8"/>
  <c r="D590" i="8" s="1"/>
  <c r="B594" i="8"/>
  <c r="D594" i="8" s="1"/>
  <c r="B598" i="8"/>
  <c r="D598" i="8" s="1"/>
  <c r="B602" i="8"/>
  <c r="D602" i="8" s="1"/>
  <c r="B606" i="8"/>
  <c r="D606" i="8" s="1"/>
  <c r="B610" i="8"/>
  <c r="D610" i="8" s="1"/>
  <c r="B614" i="8"/>
  <c r="D614" i="8" s="1"/>
  <c r="B639" i="8"/>
  <c r="D639" i="8" s="1"/>
  <c r="B643" i="8"/>
  <c r="D643" i="8" s="1"/>
  <c r="B647" i="8"/>
  <c r="D647" i="8" s="1"/>
  <c r="B946" i="8"/>
  <c r="D946" i="8" s="1"/>
  <c r="B950" i="8"/>
  <c r="D950" i="8" s="1"/>
  <c r="B1001" i="8"/>
  <c r="D1001" i="8" s="1"/>
  <c r="B1005" i="8"/>
  <c r="D1005" i="8" s="1"/>
  <c r="B1009" i="8"/>
  <c r="D1009" i="8" s="1"/>
  <c r="B1013" i="8"/>
  <c r="D1013" i="8" s="1"/>
  <c r="B1017" i="8"/>
  <c r="D1017" i="8" s="1"/>
  <c r="B1021" i="8"/>
  <c r="D1021" i="8" s="1"/>
  <c r="B1025" i="8"/>
  <c r="D1025" i="8" s="1"/>
  <c r="B1029" i="8"/>
  <c r="D1029" i="8" s="1"/>
  <c r="B220" i="8"/>
  <c r="D220" i="8" s="1"/>
  <c r="B241" i="8"/>
  <c r="D241" i="8" s="1"/>
  <c r="B248" i="8"/>
  <c r="D248" i="8" s="1"/>
  <c r="B283" i="8"/>
  <c r="D283" i="8" s="1"/>
  <c r="B415" i="8"/>
  <c r="D415" i="8" s="1"/>
  <c r="B460" i="8"/>
  <c r="D460" i="8" s="1"/>
  <c r="B487" i="8"/>
  <c r="D487" i="8" s="1"/>
  <c r="B497" i="8"/>
  <c r="D497" i="8" s="1"/>
  <c r="B509" i="8"/>
  <c r="D509" i="8" s="1"/>
  <c r="B533" i="8"/>
  <c r="D533" i="8" s="1"/>
  <c r="B551" i="8"/>
  <c r="D551" i="8" s="1"/>
  <c r="B556" i="8"/>
  <c r="D556" i="8" s="1"/>
  <c r="B567" i="8"/>
  <c r="D567" i="8" s="1"/>
  <c r="B587" i="8"/>
  <c r="D587" i="8" s="1"/>
  <c r="B596" i="8"/>
  <c r="D596" i="8" s="1"/>
  <c r="B605" i="8"/>
  <c r="D605" i="8" s="1"/>
  <c r="B646" i="8"/>
  <c r="D646" i="8" s="1"/>
  <c r="B660" i="8"/>
  <c r="D660" i="8" s="1"/>
  <c r="B669" i="8"/>
  <c r="D669" i="8" s="1"/>
  <c r="B678" i="8"/>
  <c r="D678" i="8" s="1"/>
  <c r="B698" i="8"/>
  <c r="D698" i="8" s="1"/>
  <c r="B708" i="8"/>
  <c r="D708" i="8" s="1"/>
  <c r="B740" i="8"/>
  <c r="D740" i="8" s="1"/>
  <c r="B745" i="8"/>
  <c r="D745" i="8" s="1"/>
  <c r="B754" i="8"/>
  <c r="D754" i="8" s="1"/>
  <c r="B763" i="8"/>
  <c r="D763" i="8" s="1"/>
  <c r="B777" i="8"/>
  <c r="D777" i="8" s="1"/>
  <c r="B786" i="8"/>
  <c r="D786" i="8" s="1"/>
  <c r="B795" i="8"/>
  <c r="D795" i="8" s="1"/>
  <c r="B809" i="8"/>
  <c r="D809" i="8" s="1"/>
  <c r="B818" i="8"/>
  <c r="D818" i="8" s="1"/>
  <c r="B850" i="8"/>
  <c r="D850" i="8" s="1"/>
  <c r="B864" i="8"/>
  <c r="D864" i="8" s="1"/>
  <c r="B873" i="8"/>
  <c r="D873" i="8" s="1"/>
  <c r="B882" i="8"/>
  <c r="D882" i="8" s="1"/>
  <c r="B896" i="8"/>
  <c r="D896" i="8" s="1"/>
  <c r="B936" i="8"/>
  <c r="D936" i="8" s="1"/>
  <c r="B945" i="8"/>
  <c r="D945" i="8" s="1"/>
  <c r="B1006" i="8"/>
  <c r="D1006" i="8" s="1"/>
  <c r="B1015" i="8"/>
  <c r="D1015" i="8" s="1"/>
  <c r="B1024" i="8"/>
  <c r="D1024" i="8" s="1"/>
  <c r="B1033" i="8"/>
  <c r="D1033" i="8" s="1"/>
  <c r="B1037" i="8"/>
  <c r="D1037" i="8" s="1"/>
  <c r="B1041" i="8"/>
  <c r="D1041" i="8" s="1"/>
  <c r="B1045" i="8"/>
  <c r="D1045" i="8" s="1"/>
  <c r="B1049" i="8"/>
  <c r="D1049" i="8" s="1"/>
  <c r="B1053" i="8"/>
  <c r="D1053" i="8" s="1"/>
  <c r="B1057" i="8"/>
  <c r="D1057" i="8" s="1"/>
  <c r="B1061" i="8"/>
  <c r="D1061" i="8" s="1"/>
  <c r="B1065" i="8"/>
  <c r="D1065" i="8" s="1"/>
  <c r="B1069" i="8"/>
  <c r="D1069" i="8" s="1"/>
  <c r="B1073" i="8"/>
  <c r="D1073" i="8" s="1"/>
  <c r="B1077" i="8"/>
  <c r="D1077" i="8" s="1"/>
  <c r="B1081" i="8"/>
  <c r="D1081" i="8" s="1"/>
  <c r="B1085" i="8"/>
  <c r="D1085" i="8" s="1"/>
  <c r="B1089" i="8"/>
  <c r="D1089" i="8" s="1"/>
  <c r="B1093" i="8"/>
  <c r="D1093" i="8" s="1"/>
  <c r="B1097" i="8"/>
  <c r="D1097" i="8" s="1"/>
  <c r="B1101" i="8"/>
  <c r="D1101" i="8" s="1"/>
  <c r="B1105" i="8"/>
  <c r="D1105" i="8" s="1"/>
  <c r="B1109" i="8"/>
  <c r="D1109" i="8" s="1"/>
  <c r="B1113" i="8"/>
  <c r="D1113" i="8" s="1"/>
  <c r="B1117" i="8"/>
  <c r="D1117" i="8" s="1"/>
  <c r="B1121" i="8"/>
  <c r="D1121" i="8" s="1"/>
  <c r="B1125" i="8"/>
  <c r="D1125" i="8" s="1"/>
  <c r="B1129" i="8"/>
  <c r="D1129" i="8" s="1"/>
  <c r="B1133" i="8"/>
  <c r="D1133" i="8" s="1"/>
  <c r="B1137" i="8"/>
  <c r="D1137" i="8" s="1"/>
  <c r="B1141" i="8"/>
  <c r="D1141" i="8" s="1"/>
  <c r="B1145" i="8"/>
  <c r="D1145" i="8" s="1"/>
  <c r="B1149" i="8"/>
  <c r="D1149" i="8" s="1"/>
  <c r="B1160" i="8"/>
  <c r="D1160" i="8" s="1"/>
  <c r="B1164" i="8"/>
  <c r="D1164" i="8" s="1"/>
  <c r="B236" i="8"/>
  <c r="D236" i="8" s="1"/>
  <c r="B255" i="8"/>
  <c r="D255" i="8" s="1"/>
  <c r="B260" i="8"/>
  <c r="D260" i="8" s="1"/>
  <c r="B272" i="8"/>
  <c r="D272" i="8" s="1"/>
  <c r="B307" i="8"/>
  <c r="D307" i="8" s="1"/>
  <c r="B347" i="8"/>
  <c r="D347" i="8" s="1"/>
  <c r="B368" i="8"/>
  <c r="D368" i="8" s="1"/>
  <c r="B375" i="8"/>
  <c r="D375" i="8" s="1"/>
  <c r="B449" i="8"/>
  <c r="D449" i="8" s="1"/>
  <c r="B477" i="8"/>
  <c r="D477" i="8" s="1"/>
  <c r="B504" i="8"/>
  <c r="D504" i="8" s="1"/>
  <c r="B561" i="8"/>
  <c r="D561" i="8" s="1"/>
  <c r="B583" i="8"/>
  <c r="D583" i="8" s="1"/>
  <c r="B592" i="8"/>
  <c r="D592" i="8" s="1"/>
  <c r="B601" i="8"/>
  <c r="D601" i="8" s="1"/>
  <c r="B638" i="8"/>
  <c r="D638" i="8" s="1"/>
  <c r="B642" i="8"/>
  <c r="D642" i="8" s="1"/>
  <c r="B656" i="8"/>
  <c r="D656" i="8" s="1"/>
  <c r="B665" i="8"/>
  <c r="D665" i="8" s="1"/>
  <c r="B674" i="8"/>
  <c r="D674" i="8" s="1"/>
  <c r="B693" i="8"/>
  <c r="D693" i="8" s="1"/>
  <c r="B704" i="8"/>
  <c r="D704" i="8" s="1"/>
  <c r="B713" i="8"/>
  <c r="D713" i="8" s="1"/>
  <c r="B717" i="8"/>
  <c r="D717" i="8" s="1"/>
  <c r="B729" i="8"/>
  <c r="D729" i="8" s="1"/>
  <c r="B750" i="8"/>
  <c r="D750" i="8" s="1"/>
  <c r="B759" i="8"/>
  <c r="D759" i="8" s="1"/>
  <c r="B180" i="8"/>
  <c r="D180" i="8" s="1"/>
  <c r="B267" i="8"/>
  <c r="D267" i="8" s="1"/>
  <c r="B296" i="8"/>
  <c r="D296" i="8" s="1"/>
  <c r="B363" i="8"/>
  <c r="D363" i="8" s="1"/>
  <c r="B431" i="8"/>
  <c r="D431" i="8" s="1"/>
  <c r="B444" i="8"/>
  <c r="D444" i="8" s="1"/>
  <c r="B473" i="8"/>
  <c r="D473" i="8" s="1"/>
  <c r="B488" i="8"/>
  <c r="D488" i="8" s="1"/>
  <c r="B493" i="8"/>
  <c r="D493" i="8" s="1"/>
  <c r="B522" i="8"/>
  <c r="D522" i="8" s="1"/>
  <c r="B547" i="8"/>
  <c r="D547" i="8" s="1"/>
  <c r="B552" i="8"/>
  <c r="D552" i="8" s="1"/>
  <c r="B557" i="8"/>
  <c r="D557" i="8" s="1"/>
  <c r="B579" i="8"/>
  <c r="D579" i="8" s="1"/>
  <c r="B588" i="8"/>
  <c r="D588" i="8" s="1"/>
  <c r="B597" i="8"/>
  <c r="D597" i="8" s="1"/>
  <c r="B611" i="8"/>
  <c r="D611" i="8" s="1"/>
  <c r="B627" i="8"/>
  <c r="D627" i="8" s="1"/>
  <c r="B652" i="8"/>
  <c r="D652" i="8" s="1"/>
  <c r="B815" i="8"/>
  <c r="D815" i="8" s="1"/>
  <c r="B251" i="8"/>
  <c r="D251" i="8" s="1"/>
  <c r="B280" i="8"/>
  <c r="D280" i="8" s="1"/>
  <c r="B315" i="8"/>
  <c r="D315" i="8" s="1"/>
  <c r="B336" i="8"/>
  <c r="D336" i="8" s="1"/>
  <c r="B343" i="8"/>
  <c r="D343" i="8" s="1"/>
  <c r="B364" i="8"/>
  <c r="D364" i="8" s="1"/>
  <c r="B426" i="8"/>
  <c r="D426" i="8" s="1"/>
  <c r="B457" i="8"/>
  <c r="D457" i="8" s="1"/>
  <c r="B479" i="8"/>
  <c r="D479" i="8" s="1"/>
  <c r="B489" i="8"/>
  <c r="D489" i="8" s="1"/>
  <c r="B506" i="8"/>
  <c r="D506" i="8" s="1"/>
  <c r="B548" i="8"/>
  <c r="D548" i="8" s="1"/>
  <c r="B553" i="8"/>
  <c r="D553" i="8" s="1"/>
  <c r="B580" i="8"/>
  <c r="D580" i="8" s="1"/>
  <c r="B589" i="8"/>
  <c r="D589" i="8" s="1"/>
  <c r="B603" i="8"/>
  <c r="D603" i="8" s="1"/>
  <c r="B612" i="8"/>
  <c r="D612" i="8" s="1"/>
  <c r="B644" i="8"/>
  <c r="D644" i="8" s="1"/>
  <c r="B653" i="8"/>
  <c r="D653" i="8" s="1"/>
  <c r="B662" i="8"/>
  <c r="D662" i="8" s="1"/>
  <c r="B676" i="8"/>
  <c r="D676" i="8" s="1"/>
  <c r="B685" i="8"/>
  <c r="D685" i="8" s="1"/>
  <c r="B701" i="8"/>
  <c r="D701" i="8" s="1"/>
  <c r="B715" i="8"/>
  <c r="D715" i="8" s="1"/>
  <c r="B737" i="8"/>
  <c r="D737" i="8" s="1"/>
  <c r="B747" i="8"/>
  <c r="D747" i="8" s="1"/>
  <c r="B761" i="8"/>
  <c r="D761" i="8" s="1"/>
  <c r="B770" i="8"/>
  <c r="D770" i="8" s="1"/>
  <c r="B779" i="8"/>
  <c r="D779" i="8" s="1"/>
  <c r="B793" i="8"/>
  <c r="D793" i="8" s="1"/>
  <c r="B802" i="8"/>
  <c r="D802" i="8" s="1"/>
  <c r="B811" i="8"/>
  <c r="D811" i="8" s="1"/>
  <c r="B848" i="8"/>
  <c r="D848" i="8" s="1"/>
  <c r="B857" i="8"/>
  <c r="D857" i="8" s="1"/>
  <c r="B866" i="8"/>
  <c r="D866" i="8" s="1"/>
  <c r="B880" i="8"/>
  <c r="D880" i="8" s="1"/>
  <c r="B889" i="8"/>
  <c r="D889" i="8" s="1"/>
  <c r="B898" i="8"/>
  <c r="D898" i="8" s="1"/>
  <c r="B943" i="8"/>
  <c r="D943" i="8" s="1"/>
  <c r="B952" i="8"/>
  <c r="D952" i="8" s="1"/>
  <c r="B1008" i="8"/>
  <c r="D1008" i="8" s="1"/>
  <c r="B1022" i="8"/>
  <c r="D1022" i="8" s="1"/>
  <c r="B1031" i="8"/>
  <c r="D1031" i="8" s="1"/>
  <c r="B1035" i="8"/>
  <c r="D1035" i="8" s="1"/>
  <c r="B1039" i="8"/>
  <c r="D1039" i="8" s="1"/>
  <c r="B1043" i="8"/>
  <c r="D1043" i="8" s="1"/>
  <c r="B1047" i="8"/>
  <c r="D1047" i="8" s="1"/>
  <c r="B1051" i="8"/>
  <c r="D1051" i="8" s="1"/>
  <c r="B1055" i="8"/>
  <c r="D1055" i="8" s="1"/>
  <c r="B1059" i="8"/>
  <c r="D1059" i="8" s="1"/>
  <c r="B1063" i="8"/>
  <c r="D1063" i="8" s="1"/>
  <c r="B1067" i="8"/>
  <c r="D1067" i="8" s="1"/>
  <c r="B1071" i="8"/>
  <c r="D1071" i="8" s="1"/>
  <c r="B1075" i="8"/>
  <c r="D1075" i="8" s="1"/>
  <c r="B1079" i="8"/>
  <c r="D1079" i="8" s="1"/>
  <c r="B1083" i="8"/>
  <c r="D1083" i="8" s="1"/>
  <c r="B1087" i="8"/>
  <c r="D1087" i="8" s="1"/>
  <c r="B1091" i="8"/>
  <c r="D1091" i="8" s="1"/>
  <c r="B1095" i="8"/>
  <c r="D1095" i="8" s="1"/>
  <c r="B1099" i="8"/>
  <c r="D1099" i="8" s="1"/>
  <c r="B1103" i="8"/>
  <c r="D1103" i="8" s="1"/>
  <c r="B1107" i="8"/>
  <c r="D1107" i="8" s="1"/>
  <c r="B1111" i="8"/>
  <c r="D1111" i="8" s="1"/>
  <c r="B1115" i="8"/>
  <c r="D1115" i="8" s="1"/>
  <c r="B1119" i="8"/>
  <c r="D1119" i="8" s="1"/>
  <c r="B1123" i="8"/>
  <c r="D1123" i="8" s="1"/>
  <c r="B1127" i="8"/>
  <c r="D1127" i="8" s="1"/>
  <c r="B1131" i="8"/>
  <c r="D1131" i="8" s="1"/>
  <c r="B1135" i="8"/>
  <c r="D1135" i="8" s="1"/>
  <c r="B1139" i="8"/>
  <c r="D1139" i="8" s="1"/>
  <c r="B1143" i="8"/>
  <c r="D1143" i="8" s="1"/>
  <c r="B1147" i="8"/>
  <c r="D1147" i="8" s="1"/>
  <c r="B1151" i="8"/>
  <c r="D1151" i="8" s="1"/>
  <c r="B1162" i="8"/>
  <c r="D1162" i="8" s="1"/>
  <c r="B1166" i="8"/>
  <c r="D1166" i="8" s="1"/>
  <c r="B1170" i="8"/>
  <c r="D1170" i="8" s="1"/>
  <c r="B1174" i="8"/>
  <c r="D1174" i="8" s="1"/>
  <c r="B1178" i="8"/>
  <c r="D1178" i="8" s="1"/>
  <c r="B1182" i="8"/>
  <c r="D1182" i="8" s="1"/>
  <c r="B1193" i="8"/>
  <c r="D1193" i="8" s="1"/>
  <c r="B1197" i="8"/>
  <c r="D1197" i="8" s="1"/>
  <c r="B1201" i="8"/>
  <c r="D1201" i="8" s="1"/>
  <c r="B1205" i="8"/>
  <c r="D1205" i="8" s="1"/>
  <c r="B1252" i="8"/>
  <c r="D1252" i="8" s="1"/>
  <c r="B1256" i="8"/>
  <c r="D1256" i="8" s="1"/>
  <c r="B1260" i="8"/>
  <c r="D1260" i="8" s="1"/>
  <c r="B1264" i="8"/>
  <c r="D1264" i="8" s="1"/>
  <c r="B1268" i="8"/>
  <c r="D1268" i="8" s="1"/>
  <c r="B1272" i="8"/>
  <c r="D1272" i="8" s="1"/>
  <c r="B1276" i="8"/>
  <c r="D1276" i="8" s="1"/>
  <c r="B1280" i="8"/>
  <c r="D1280" i="8" s="1"/>
  <c r="B604" i="8"/>
  <c r="D604" i="8" s="1"/>
  <c r="B613" i="8"/>
  <c r="D613" i="8" s="1"/>
  <c r="B630" i="8"/>
  <c r="D630" i="8" s="1"/>
  <c r="B645" i="8"/>
  <c r="D645" i="8" s="1"/>
  <c r="B654" i="8"/>
  <c r="D654" i="8" s="1"/>
  <c r="B668" i="8"/>
  <c r="D668" i="8" s="1"/>
  <c r="B677" i="8"/>
  <c r="D677" i="8" s="1"/>
  <c r="B686" i="8"/>
  <c r="D686" i="8" s="1"/>
  <c r="B707" i="8"/>
  <c r="D707" i="8" s="1"/>
  <c r="B716" i="8"/>
  <c r="D716" i="8" s="1"/>
  <c r="B721" i="8"/>
  <c r="D721" i="8" s="1"/>
  <c r="B753" i="8"/>
  <c r="D753" i="8" s="1"/>
  <c r="B762" i="8"/>
  <c r="D762" i="8" s="1"/>
  <c r="B771" i="8"/>
  <c r="D771" i="8" s="1"/>
  <c r="B785" i="8"/>
  <c r="D785" i="8" s="1"/>
  <c r="B794" i="8"/>
  <c r="D794" i="8" s="1"/>
  <c r="B803" i="8"/>
  <c r="D803" i="8" s="1"/>
  <c r="B817" i="8"/>
  <c r="D817" i="8" s="1"/>
  <c r="B832" i="8"/>
  <c r="D832" i="8" s="1"/>
  <c r="B849" i="8"/>
  <c r="D849" i="8" s="1"/>
  <c r="B858" i="8"/>
  <c r="D858" i="8" s="1"/>
  <c r="B872" i="8"/>
  <c r="D872" i="8" s="1"/>
  <c r="B881" i="8"/>
  <c r="D881" i="8" s="1"/>
  <c r="B890" i="8"/>
  <c r="D890" i="8" s="1"/>
  <c r="B904" i="8"/>
  <c r="D904" i="8" s="1"/>
  <c r="B944" i="8"/>
  <c r="D944" i="8" s="1"/>
  <c r="B1000" i="8"/>
  <c r="D1000" i="8" s="1"/>
  <c r="B1014" i="8"/>
  <c r="D1014" i="8" s="1"/>
  <c r="B1023" i="8"/>
  <c r="D1023" i="8" s="1"/>
  <c r="B1032" i="8"/>
  <c r="D1032" i="8" s="1"/>
  <c r="B1036" i="8"/>
  <c r="D1036" i="8" s="1"/>
  <c r="B1040" i="8"/>
  <c r="D1040" i="8" s="1"/>
  <c r="B1044" i="8"/>
  <c r="D1044" i="8" s="1"/>
  <c r="B1048" i="8"/>
  <c r="D1048" i="8" s="1"/>
  <c r="B1052" i="8"/>
  <c r="D1052" i="8" s="1"/>
  <c r="B1056" i="8"/>
  <c r="D1056" i="8" s="1"/>
  <c r="B1060" i="8"/>
  <c r="D1060" i="8" s="1"/>
  <c r="B1064" i="8"/>
  <c r="D1064" i="8" s="1"/>
  <c r="B1068" i="8"/>
  <c r="D1068" i="8" s="1"/>
  <c r="B1072" i="8"/>
  <c r="D1072" i="8" s="1"/>
  <c r="B1076" i="8"/>
  <c r="D1076" i="8" s="1"/>
  <c r="B1080" i="8"/>
  <c r="D1080" i="8" s="1"/>
  <c r="B1084" i="8"/>
  <c r="D1084" i="8" s="1"/>
  <c r="B1088" i="8"/>
  <c r="D1088" i="8" s="1"/>
  <c r="B1092" i="8"/>
  <c r="D1092" i="8" s="1"/>
  <c r="B1096" i="8"/>
  <c r="D1096" i="8" s="1"/>
  <c r="B1100" i="8"/>
  <c r="D1100" i="8" s="1"/>
  <c r="B1104" i="8"/>
  <c r="D1104" i="8" s="1"/>
  <c r="B259" i="8"/>
  <c r="D259" i="8" s="1"/>
  <c r="B271" i="8"/>
  <c r="D271" i="8" s="1"/>
  <c r="B276" i="8"/>
  <c r="D276" i="8" s="1"/>
  <c r="B288" i="8"/>
  <c r="D288" i="8" s="1"/>
  <c r="B311" i="8"/>
  <c r="D311" i="8" s="1"/>
  <c r="B332" i="8"/>
  <c r="D332" i="8" s="1"/>
  <c r="B394" i="8"/>
  <c r="D394" i="8" s="1"/>
  <c r="B435" i="8"/>
  <c r="D435" i="8" s="1"/>
  <c r="B448" i="8"/>
  <c r="D448" i="8" s="1"/>
  <c r="B453" i="8"/>
  <c r="D453" i="8" s="1"/>
  <c r="B465" i="8"/>
  <c r="D465" i="8" s="1"/>
  <c r="B476" i="8"/>
  <c r="D476" i="8" s="1"/>
  <c r="B491" i="8"/>
  <c r="D491" i="8" s="1"/>
  <c r="B514" i="8"/>
  <c r="D514" i="8" s="1"/>
  <c r="B545" i="8"/>
  <c r="D545" i="8" s="1"/>
  <c r="B560" i="8"/>
  <c r="D560" i="8" s="1"/>
  <c r="B577" i="8"/>
  <c r="D577" i="8" s="1"/>
  <c r="B591" i="8"/>
  <c r="D591" i="8" s="1"/>
  <c r="B600" i="8"/>
  <c r="D600" i="8" s="1"/>
  <c r="B609" i="8"/>
  <c r="D609" i="8" s="1"/>
  <c r="B619" i="8"/>
  <c r="D619" i="8" s="1"/>
  <c r="B641" i="8"/>
  <c r="D641" i="8" s="1"/>
  <c r="B650" i="8"/>
  <c r="D650" i="8" s="1"/>
  <c r="B664" i="8"/>
  <c r="D664" i="8" s="1"/>
  <c r="B673" i="8"/>
  <c r="D673" i="8" s="1"/>
  <c r="B682" i="8"/>
  <c r="D682" i="8" s="1"/>
  <c r="B703" i="8"/>
  <c r="D703" i="8" s="1"/>
  <c r="B712" i="8"/>
  <c r="D712" i="8" s="1"/>
  <c r="B728" i="8"/>
  <c r="D728" i="8" s="1"/>
  <c r="B733" i="8"/>
  <c r="D733" i="8" s="1"/>
  <c r="B749" i="8"/>
  <c r="D749" i="8" s="1"/>
  <c r="B758" i="8"/>
  <c r="D758" i="8" s="1"/>
  <c r="B767" i="8"/>
  <c r="D767" i="8" s="1"/>
  <c r="B781" i="8"/>
  <c r="D781" i="8" s="1"/>
  <c r="B790" i="8"/>
  <c r="D790" i="8" s="1"/>
  <c r="B799" i="8"/>
  <c r="D799" i="8" s="1"/>
  <c r="B813" i="8"/>
  <c r="D813" i="8" s="1"/>
  <c r="B822" i="8"/>
  <c r="D822" i="8" s="1"/>
  <c r="B827" i="8"/>
  <c r="D827" i="8" s="1"/>
  <c r="B839" i="8"/>
  <c r="D839" i="8" s="1"/>
  <c r="B844" i="8"/>
  <c r="D844" i="8" s="1"/>
  <c r="B854" i="8"/>
  <c r="D854" i="8" s="1"/>
  <c r="B868" i="8"/>
  <c r="D868" i="8" s="1"/>
  <c r="B877" i="8"/>
  <c r="D877" i="8" s="1"/>
  <c r="B886" i="8"/>
  <c r="D886" i="8" s="1"/>
  <c r="B900" i="8"/>
  <c r="D900" i="8" s="1"/>
  <c r="B908" i="8"/>
  <c r="D908" i="8" s="1"/>
  <c r="B912" i="8"/>
  <c r="D912" i="8" s="1"/>
  <c r="B916" i="8"/>
  <c r="D916" i="8" s="1"/>
  <c r="B920" i="8"/>
  <c r="D920" i="8" s="1"/>
  <c r="B924" i="8"/>
  <c r="D924" i="8" s="1"/>
  <c r="B928" i="8"/>
  <c r="D928" i="8" s="1"/>
  <c r="B932" i="8"/>
  <c r="D932" i="8" s="1"/>
  <c r="B940" i="8"/>
  <c r="D940" i="8" s="1"/>
  <c r="B949" i="8"/>
  <c r="D949" i="8" s="1"/>
  <c r="B953" i="8"/>
  <c r="D953" i="8" s="1"/>
  <c r="B957" i="8"/>
  <c r="D957" i="8" s="1"/>
  <c r="B961" i="8"/>
  <c r="D961" i="8" s="1"/>
  <c r="B965" i="8"/>
  <c r="D965" i="8" s="1"/>
  <c r="B969" i="8"/>
  <c r="D969" i="8" s="1"/>
  <c r="B973" i="8"/>
  <c r="D973" i="8" s="1"/>
  <c r="B977" i="8"/>
  <c r="D977" i="8" s="1"/>
  <c r="B981" i="8"/>
  <c r="D981" i="8" s="1"/>
  <c r="B985" i="8"/>
  <c r="D985" i="8" s="1"/>
  <c r="B989" i="8"/>
  <c r="D989" i="8" s="1"/>
  <c r="B993" i="8"/>
  <c r="D993" i="8" s="1"/>
  <c r="B997" i="8"/>
  <c r="D997" i="8" s="1"/>
  <c r="B1010" i="8"/>
  <c r="D1010" i="8" s="1"/>
  <c r="B1019" i="8"/>
  <c r="D1019" i="8" s="1"/>
  <c r="B1028" i="8"/>
  <c r="D1028" i="8" s="1"/>
  <c r="B1152" i="8"/>
  <c r="D1152" i="8" s="1"/>
  <c r="B1156" i="8"/>
  <c r="D1156" i="8" s="1"/>
  <c r="B1183" i="8"/>
  <c r="D1183" i="8" s="1"/>
  <c r="B1187" i="8"/>
  <c r="D1187" i="8" s="1"/>
  <c r="B1191" i="8"/>
  <c r="D1191" i="8" s="1"/>
  <c r="B1210" i="8"/>
  <c r="D1210" i="8" s="1"/>
  <c r="B1214" i="8"/>
  <c r="D1214" i="8" s="1"/>
  <c r="B1218" i="8"/>
  <c r="D1218" i="8" s="1"/>
  <c r="B1222" i="8"/>
  <c r="D1222" i="8" s="1"/>
  <c r="B1226" i="8"/>
  <c r="D1226" i="8" s="1"/>
  <c r="B1230" i="8"/>
  <c r="D1230" i="8" s="1"/>
  <c r="B1234" i="8"/>
  <c r="D1234" i="8" s="1"/>
  <c r="B1238" i="8"/>
  <c r="D1238" i="8" s="1"/>
  <c r="B1242" i="8"/>
  <c r="D1242" i="8" s="1"/>
  <c r="B1246" i="8"/>
  <c r="D1246" i="8" s="1"/>
  <c r="B1289" i="8"/>
  <c r="D1289" i="8" s="1"/>
  <c r="B1293" i="8"/>
  <c r="D1293" i="8" s="1"/>
  <c r="B1297" i="8"/>
  <c r="D1297" i="8" s="1"/>
  <c r="B1301" i="8"/>
  <c r="D1301" i="8" s="1"/>
  <c r="B1305" i="8"/>
  <c r="D1305" i="8" s="1"/>
  <c r="B1309" i="8"/>
  <c r="D1309" i="8" s="1"/>
  <c r="B1313" i="8"/>
  <c r="D1313" i="8" s="1"/>
  <c r="B1317" i="8"/>
  <c r="D1317" i="8" s="1"/>
  <c r="B1321" i="8"/>
  <c r="D1321" i="8" s="1"/>
  <c r="B1325" i="8"/>
  <c r="D1325" i="8" s="1"/>
  <c r="B1329" i="8"/>
  <c r="D1329" i="8" s="1"/>
  <c r="B1333" i="8"/>
  <c r="D1333" i="8" s="1"/>
  <c r="B1337" i="8"/>
  <c r="D1337" i="8" s="1"/>
  <c r="B1341" i="8"/>
  <c r="D1341" i="8" s="1"/>
  <c r="B1345" i="8"/>
  <c r="D1345" i="8" s="1"/>
  <c r="B1349" i="8"/>
  <c r="D1349" i="8" s="1"/>
  <c r="B1353" i="8"/>
  <c r="D1353" i="8" s="1"/>
  <c r="B1357" i="8"/>
  <c r="D1357" i="8" s="1"/>
  <c r="B1361" i="8"/>
  <c r="D1361" i="8" s="1"/>
  <c r="B1365" i="8"/>
  <c r="D1365" i="8" s="1"/>
  <c r="B1369" i="8"/>
  <c r="D1369" i="8" s="1"/>
  <c r="B1373" i="8"/>
  <c r="D1373" i="8" s="1"/>
  <c r="B1377" i="8"/>
  <c r="D1377" i="8" s="1"/>
  <c r="B1381" i="8"/>
  <c r="D1381" i="8" s="1"/>
  <c r="B1385" i="8"/>
  <c r="D1385" i="8" s="1"/>
  <c r="B1428" i="8"/>
  <c r="D1428" i="8" s="1"/>
  <c r="B1432" i="8"/>
  <c r="D1432" i="8" s="1"/>
  <c r="B1436" i="8"/>
  <c r="D1436" i="8" s="1"/>
  <c r="B1440" i="8"/>
  <c r="D1440" i="8" s="1"/>
  <c r="B1444" i="8"/>
  <c r="D1444" i="8" s="1"/>
  <c r="B1448" i="8"/>
  <c r="D1448" i="8" s="1"/>
  <c r="B1452" i="8"/>
  <c r="D1452" i="8" s="1"/>
  <c r="B1456" i="8"/>
  <c r="D1456" i="8" s="1"/>
  <c r="B1460" i="8"/>
  <c r="D1460" i="8" s="1"/>
  <c r="B1464" i="8"/>
  <c r="D1464" i="8" s="1"/>
  <c r="B1468" i="8"/>
  <c r="D1468" i="8" s="1"/>
  <c r="B1479" i="8"/>
  <c r="D1479" i="8" s="1"/>
  <c r="B1598" i="8"/>
  <c r="D1598" i="8" s="1"/>
  <c r="B1602" i="8"/>
  <c r="D1602" i="8" s="1"/>
  <c r="B807" i="8"/>
  <c r="D807" i="8" s="1"/>
  <c r="B852" i="8"/>
  <c r="D852" i="8" s="1"/>
  <c r="B869" i="8"/>
  <c r="D869" i="8" s="1"/>
  <c r="B913" i="8"/>
  <c r="D913" i="8" s="1"/>
  <c r="B922" i="8"/>
  <c r="D922" i="8" s="1"/>
  <c r="B931" i="8"/>
  <c r="D931" i="8" s="1"/>
  <c r="B941" i="8"/>
  <c r="D941" i="8" s="1"/>
  <c r="B958" i="8"/>
  <c r="D958" i="8" s="1"/>
  <c r="B967" i="8"/>
  <c r="D967" i="8" s="1"/>
  <c r="B976" i="8"/>
  <c r="D976" i="8" s="1"/>
  <c r="B990" i="8"/>
  <c r="D990" i="8" s="1"/>
  <c r="B999" i="8"/>
  <c r="D999" i="8" s="1"/>
  <c r="B1027" i="8"/>
  <c r="D1027" i="8" s="1"/>
  <c r="B1046" i="8"/>
  <c r="D1046" i="8" s="1"/>
  <c r="B1078" i="8"/>
  <c r="D1078" i="8" s="1"/>
  <c r="B1120" i="8"/>
  <c r="D1120" i="8" s="1"/>
  <c r="B1136" i="8"/>
  <c r="D1136" i="8" s="1"/>
  <c r="B1175" i="8"/>
  <c r="D1175" i="8" s="1"/>
  <c r="B1184" i="8"/>
  <c r="D1184" i="8" s="1"/>
  <c r="B1202" i="8"/>
  <c r="D1202" i="8" s="1"/>
  <c r="B1211" i="8"/>
  <c r="D1211" i="8" s="1"/>
  <c r="B1220" i="8"/>
  <c r="D1220" i="8" s="1"/>
  <c r="B1229" i="8"/>
  <c r="D1229" i="8" s="1"/>
  <c r="B1243" i="8"/>
  <c r="D1243" i="8" s="1"/>
  <c r="B1251" i="8"/>
  <c r="D1251" i="8" s="1"/>
  <c r="B1265" i="8"/>
  <c r="D1265" i="8" s="1"/>
  <c r="B1274" i="8"/>
  <c r="D1274" i="8" s="1"/>
  <c r="B1283" i="8"/>
  <c r="D1283" i="8" s="1"/>
  <c r="B1292" i="8"/>
  <c r="D1292" i="8" s="1"/>
  <c r="B1306" i="8"/>
  <c r="D1306" i="8" s="1"/>
  <c r="B1315" i="8"/>
  <c r="D1315" i="8" s="1"/>
  <c r="B1324" i="8"/>
  <c r="D1324" i="8" s="1"/>
  <c r="B1338" i="8"/>
  <c r="D1338" i="8" s="1"/>
  <c r="B1347" i="8"/>
  <c r="D1347" i="8" s="1"/>
  <c r="B1356" i="8"/>
  <c r="D1356" i="8" s="1"/>
  <c r="B1370" i="8"/>
  <c r="D1370" i="8" s="1"/>
  <c r="B1379" i="8"/>
  <c r="D1379" i="8" s="1"/>
  <c r="B1388" i="8"/>
  <c r="D1388" i="8" s="1"/>
  <c r="B1397" i="8"/>
  <c r="D1397" i="8" s="1"/>
  <c r="B1406" i="8"/>
  <c r="D1406" i="8" s="1"/>
  <c r="B1420" i="8"/>
  <c r="D1420" i="8" s="1"/>
  <c r="B1429" i="8"/>
  <c r="D1429" i="8" s="1"/>
  <c r="B1438" i="8"/>
  <c r="D1438" i="8" s="1"/>
  <c r="B1447" i="8"/>
  <c r="D1447" i="8" s="1"/>
  <c r="B1461" i="8"/>
  <c r="D1461" i="8" s="1"/>
  <c r="B1478" i="8"/>
  <c r="D1478" i="8" s="1"/>
  <c r="B1496" i="8"/>
  <c r="D1496" i="8" s="1"/>
  <c r="B814" i="8"/>
  <c r="D814" i="8" s="1"/>
  <c r="B893" i="8"/>
  <c r="D893" i="8" s="1"/>
  <c r="B909" i="8"/>
  <c r="D909" i="8" s="1"/>
  <c r="B918" i="8"/>
  <c r="D918" i="8" s="1"/>
  <c r="B927" i="8"/>
  <c r="D927" i="8" s="1"/>
  <c r="B948" i="8"/>
  <c r="D948" i="8" s="1"/>
  <c r="B1344" i="8"/>
  <c r="D1344" i="8" s="1"/>
  <c r="B1358" i="8"/>
  <c r="D1358" i="8" s="1"/>
  <c r="B1367" i="8"/>
  <c r="D1367" i="8" s="1"/>
  <c r="B1376" i="8"/>
  <c r="D1376" i="8" s="1"/>
  <c r="B1394" i="8"/>
  <c r="D1394" i="8" s="1"/>
  <c r="B1408" i="8"/>
  <c r="D1408" i="8" s="1"/>
  <c r="B810" i="8"/>
  <c r="D810" i="8" s="1"/>
  <c r="B828" i="8"/>
  <c r="D828" i="8" s="1"/>
  <c r="B835" i="8"/>
  <c r="D835" i="8" s="1"/>
  <c r="B884" i="8"/>
  <c r="D884" i="8" s="1"/>
  <c r="B901" i="8"/>
  <c r="D901" i="8" s="1"/>
  <c r="B906" i="8"/>
  <c r="D906" i="8" s="1"/>
  <c r="B915" i="8"/>
  <c r="D915" i="8" s="1"/>
  <c r="B929" i="8"/>
  <c r="D929" i="8" s="1"/>
  <c r="B960" i="8"/>
  <c r="D960" i="8" s="1"/>
  <c r="B974" i="8"/>
  <c r="D974" i="8" s="1"/>
  <c r="B983" i="8"/>
  <c r="D983" i="8" s="1"/>
  <c r="B992" i="8"/>
  <c r="D992" i="8" s="1"/>
  <c r="B1012" i="8"/>
  <c r="D1012" i="8" s="1"/>
  <c r="B1018" i="8"/>
  <c r="D1018" i="8" s="1"/>
  <c r="B1030" i="8"/>
  <c r="D1030" i="8" s="1"/>
  <c r="B1062" i="8"/>
  <c r="D1062" i="8" s="1"/>
  <c r="B1094" i="8"/>
  <c r="D1094" i="8" s="1"/>
  <c r="B1112" i="8"/>
  <c r="D1112" i="8" s="1"/>
  <c r="B1128" i="8"/>
  <c r="D1128" i="8" s="1"/>
  <c r="B1144" i="8"/>
  <c r="D1144" i="8" s="1"/>
  <c r="B1154" i="8"/>
  <c r="D1154" i="8" s="1"/>
  <c r="B1163" i="8"/>
  <c r="D1163" i="8" s="1"/>
  <c r="B1168" i="8"/>
  <c r="D1168" i="8" s="1"/>
  <c r="B1177" i="8"/>
  <c r="D1177" i="8" s="1"/>
  <c r="B1186" i="8"/>
  <c r="D1186" i="8" s="1"/>
  <c r="B1195" i="8"/>
  <c r="D1195" i="8" s="1"/>
  <c r="B1204" i="8"/>
  <c r="D1204" i="8" s="1"/>
  <c r="B1213" i="8"/>
  <c r="D1213" i="8" s="1"/>
  <c r="B1227" i="8"/>
  <c r="D1227" i="8" s="1"/>
  <c r="B1236" i="8"/>
  <c r="D1236" i="8" s="1"/>
  <c r="B1245" i="8"/>
  <c r="D1245" i="8" s="1"/>
  <c r="B1249" i="8"/>
  <c r="D1249" i="8" s="1"/>
  <c r="B1258" i="8"/>
  <c r="D1258" i="8" s="1"/>
  <c r="B1267" i="8"/>
  <c r="D1267" i="8" s="1"/>
  <c r="B1281" i="8"/>
  <c r="D1281" i="8" s="1"/>
  <c r="B1290" i="8"/>
  <c r="D1290" i="8" s="1"/>
  <c r="B1299" i="8"/>
  <c r="D1299" i="8" s="1"/>
  <c r="B1308" i="8"/>
  <c r="D1308" i="8" s="1"/>
  <c r="B1322" i="8"/>
  <c r="D1322" i="8" s="1"/>
  <c r="B1331" i="8"/>
  <c r="D1331" i="8" s="1"/>
  <c r="B1340" i="8"/>
  <c r="D1340" i="8" s="1"/>
  <c r="B1354" i="8"/>
  <c r="D1354" i="8" s="1"/>
  <c r="B1363" i="8"/>
  <c r="D1363" i="8" s="1"/>
  <c r="B1372" i="8"/>
  <c r="D1372" i="8" s="1"/>
  <c r="B1386" i="8"/>
  <c r="D1386" i="8" s="1"/>
  <c r="B1390" i="8"/>
  <c r="D1390" i="8" s="1"/>
  <c r="B1404" i="8"/>
  <c r="D1404" i="8" s="1"/>
  <c r="B1413" i="8"/>
  <c r="D1413" i="8" s="1"/>
  <c r="B1422" i="8"/>
  <c r="D1422" i="8" s="1"/>
  <c r="B1431" i="8"/>
  <c r="D1431" i="8" s="1"/>
  <c r="B1445" i="8"/>
  <c r="D1445" i="8" s="1"/>
  <c r="B1454" i="8"/>
  <c r="D1454" i="8" s="1"/>
  <c r="B1463" i="8"/>
  <c r="D1463" i="8" s="1"/>
  <c r="B1472" i="8"/>
  <c r="D1472" i="8" s="1"/>
  <c r="B1485" i="8"/>
  <c r="D1485" i="8" s="1"/>
  <c r="B1494" i="8"/>
  <c r="D1494" i="8" s="1"/>
  <c r="B1503" i="8"/>
  <c r="D1503" i="8" s="1"/>
  <c r="B1512" i="8"/>
  <c r="D1512" i="8" s="1"/>
  <c r="B1526" i="8"/>
  <c r="D1526" i="8" s="1"/>
  <c r="B1535" i="8"/>
  <c r="D1535" i="8" s="1"/>
  <c r="B1544" i="8"/>
  <c r="D1544" i="8" s="1"/>
  <c r="B1558" i="8"/>
  <c r="D1558" i="8" s="1"/>
  <c r="B1567" i="8"/>
  <c r="D1567" i="8" s="1"/>
  <c r="B1576" i="8"/>
  <c r="D1576" i="8" s="1"/>
  <c r="B1585" i="8"/>
  <c r="D1585" i="8" s="1"/>
  <c r="B1589" i="8"/>
  <c r="D1589" i="8" s="1"/>
  <c r="B1593" i="8"/>
  <c r="D1593" i="8" s="1"/>
  <c r="B1601" i="8"/>
  <c r="D1601" i="8" s="1"/>
  <c r="B1621" i="8"/>
  <c r="D1621" i="8" s="1"/>
  <c r="B1625" i="8"/>
  <c r="D1625" i="8" s="1"/>
  <c r="B1640" i="8"/>
  <c r="D1640" i="8" s="1"/>
  <c r="B1706" i="8"/>
  <c r="D1706" i="8" s="1"/>
  <c r="B1710" i="8"/>
  <c r="D1710" i="8" s="1"/>
  <c r="B1714" i="8"/>
  <c r="D1714" i="8" s="1"/>
  <c r="B1717" i="8"/>
  <c r="D1717" i="8" s="1"/>
  <c r="B1720" i="8"/>
  <c r="D1720" i="8" s="1"/>
  <c r="B1724" i="8"/>
  <c r="D1724" i="8" s="1"/>
  <c r="B1728" i="8"/>
  <c r="D1728" i="8" s="1"/>
  <c r="B1759" i="8"/>
  <c r="D1759" i="8" s="1"/>
  <c r="B1635" i="8"/>
  <c r="D1635" i="8" s="1"/>
  <c r="B1643" i="8"/>
  <c r="D1643" i="8" s="1"/>
  <c r="B1652" i="8"/>
  <c r="D1652" i="8" s="1"/>
  <c r="B1666" i="8"/>
  <c r="D1666" i="8" s="1"/>
  <c r="B1675" i="8"/>
  <c r="D1675" i="8" s="1"/>
  <c r="B1684" i="8"/>
  <c r="D1684" i="8" s="1"/>
  <c r="B1698" i="8"/>
  <c r="D1698" i="8" s="1"/>
  <c r="B1701" i="8"/>
  <c r="D1701" i="8" s="1"/>
  <c r="B1709" i="8"/>
  <c r="D1709" i="8" s="1"/>
  <c r="B1721" i="8"/>
  <c r="D1721" i="8" s="1"/>
  <c r="B1730" i="8"/>
  <c r="D1730" i="8" s="1"/>
  <c r="B1739" i="8"/>
  <c r="D1739" i="8" s="1"/>
  <c r="B1748" i="8"/>
  <c r="D1748" i="8" s="1"/>
  <c r="B1757" i="8"/>
  <c r="D1757" i="8" s="1"/>
  <c r="B1770" i="8"/>
  <c r="D1770" i="8" s="1"/>
  <c r="B1788" i="8"/>
  <c r="D1788" i="8" s="1"/>
  <c r="B1802" i="8"/>
  <c r="D1802" i="8" s="1"/>
  <c r="B1811" i="8"/>
  <c r="D1811" i="8" s="1"/>
  <c r="B1820" i="8"/>
  <c r="D1820" i="8" s="1"/>
  <c r="B1834" i="8"/>
  <c r="D1834" i="8" s="1"/>
  <c r="B1842" i="8"/>
  <c r="D1842" i="8" s="1"/>
  <c r="B1851" i="8"/>
  <c r="D1851" i="8" s="1"/>
  <c r="B1855" i="8"/>
  <c r="D1855" i="8" s="1"/>
  <c r="B1864" i="8"/>
  <c r="D1864" i="8" s="1"/>
  <c r="B1873" i="8"/>
  <c r="D1873" i="8" s="1"/>
  <c r="B1882" i="8"/>
  <c r="D1882" i="8" s="1"/>
  <c r="B1896" i="8"/>
  <c r="D1896" i="8" s="1"/>
  <c r="B1905" i="8"/>
  <c r="D1905" i="8" s="1"/>
  <c r="B1914" i="8"/>
  <c r="D1914" i="8" s="1"/>
  <c r="B1932" i="8"/>
  <c r="D1932" i="8" s="1"/>
  <c r="B1941" i="8"/>
  <c r="D1941" i="8" s="1"/>
  <c r="B1954" i="8"/>
  <c r="D1954" i="8" s="1"/>
  <c r="B1968" i="8"/>
  <c r="D1968" i="8" s="1"/>
  <c r="B1977" i="8"/>
  <c r="D1977" i="8" s="1"/>
  <c r="B1986" i="8"/>
  <c r="D1986" i="8" s="1"/>
  <c r="B1995" i="8"/>
  <c r="D1995" i="8" s="1"/>
  <c r="B2013" i="8"/>
  <c r="D2013" i="8" s="1"/>
  <c r="B2022" i="8"/>
  <c r="D2022" i="8" s="1"/>
  <c r="B2114" i="8"/>
  <c r="D2114" i="8" s="1"/>
  <c r="B2122" i="8"/>
  <c r="D2122" i="8" s="1"/>
  <c r="B2130" i="8"/>
  <c r="D2130" i="8" s="1"/>
  <c r="B1389" i="8"/>
  <c r="D1389" i="8" s="1"/>
  <c r="B1430" i="8"/>
  <c r="D1430" i="8" s="1"/>
  <c r="B1449" i="8"/>
  <c r="D1449" i="8" s="1"/>
  <c r="B1455" i="8"/>
  <c r="D1455" i="8" s="1"/>
  <c r="B1467" i="8"/>
  <c r="D1467" i="8" s="1"/>
  <c r="B1492" i="8"/>
  <c r="D1492" i="8" s="1"/>
  <c r="B1498" i="8"/>
  <c r="D1498" i="8" s="1"/>
  <c r="B1508" i="8"/>
  <c r="D1508" i="8" s="1"/>
  <c r="B2037" i="8"/>
  <c r="D2037" i="8" s="1"/>
  <c r="B2045" i="8"/>
  <c r="D2045" i="8" s="1"/>
  <c r="B2049" i="8"/>
  <c r="D2049" i="8" s="1"/>
  <c r="B2053" i="8"/>
  <c r="D2053" i="8" s="1"/>
  <c r="B2061" i="8"/>
  <c r="D2061" i="8" s="1"/>
  <c r="B2069" i="8"/>
  <c r="D2069" i="8" s="1"/>
  <c r="B2077" i="8"/>
  <c r="D2077" i="8" s="1"/>
  <c r="B2085" i="8"/>
  <c r="D2085" i="8" s="1"/>
  <c r="B2097" i="8"/>
  <c r="D2097" i="8" s="1"/>
  <c r="B2105" i="8"/>
  <c r="D2105" i="8" s="1"/>
  <c r="B1453" i="8"/>
  <c r="D1453" i="8" s="1"/>
  <c r="B1480" i="8"/>
  <c r="D1480" i="8" s="1"/>
  <c r="B1490" i="8"/>
  <c r="D1490" i="8" s="1"/>
  <c r="B1511" i="8"/>
  <c r="D1511" i="8" s="1"/>
  <c r="B1527" i="8"/>
  <c r="D1527" i="8" s="1"/>
  <c r="B1542" i="8"/>
  <c r="D1542" i="8" s="1"/>
  <c r="B1552" i="8"/>
  <c r="D1552" i="8" s="1"/>
  <c r="B1568" i="8"/>
  <c r="D1568" i="8" s="1"/>
  <c r="B1583" i="8"/>
  <c r="D1583" i="8" s="1"/>
  <c r="B1592" i="8"/>
  <c r="D1592" i="8" s="1"/>
  <c r="B1616" i="8"/>
  <c r="D1616" i="8" s="1"/>
  <c r="B40" i="8"/>
  <c r="B28" i="10"/>
  <c r="B32" i="10"/>
  <c r="B34" i="10" s="1"/>
  <c r="F11" i="7"/>
  <c r="F13" i="7"/>
  <c r="F14" i="7" s="1"/>
  <c r="H24" i="7"/>
  <c r="I18" i="7"/>
  <c r="G30" i="7"/>
  <c r="J12" i="7"/>
  <c r="C5" i="11" l="1"/>
  <c r="C11" i="11" s="1"/>
  <c r="C3" i="10"/>
  <c r="C10" i="10" s="1"/>
  <c r="B26" i="12"/>
  <c r="C49" i="11"/>
  <c r="G11" i="7"/>
  <c r="G13" i="7"/>
  <c r="G14" i="7" s="1"/>
  <c r="H30" i="7"/>
  <c r="J18" i="7"/>
  <c r="I24" i="7"/>
  <c r="K12" i="7"/>
  <c r="C31" i="11" l="1"/>
  <c r="B6" i="12"/>
  <c r="B9" i="12"/>
  <c r="B4" i="12"/>
  <c r="H11" i="7"/>
  <c r="H13" i="7"/>
  <c r="H14" i="7" s="1"/>
  <c r="J24" i="7"/>
  <c r="K18" i="7"/>
  <c r="I30" i="7"/>
  <c r="L12" i="7"/>
  <c r="B18" i="12" l="1"/>
  <c r="C48" i="11"/>
  <c r="C52" i="11" s="1"/>
  <c r="B13" i="12"/>
  <c r="B30" i="12"/>
  <c r="I13" i="7"/>
  <c r="I14" i="7" s="1"/>
  <c r="I11" i="7"/>
  <c r="M12" i="7"/>
  <c r="J30" i="7"/>
  <c r="K24" i="7"/>
  <c r="L18" i="7"/>
  <c r="C54" i="11" l="1"/>
  <c r="B15" i="12"/>
  <c r="J13" i="7"/>
  <c r="J14" i="7" s="1"/>
  <c r="J11" i="7"/>
  <c r="K30" i="7"/>
  <c r="L24" i="7"/>
  <c r="M18" i="7"/>
  <c r="N12" i="7"/>
  <c r="C219" i="6" s="1"/>
  <c r="C13" i="9" l="1"/>
  <c r="C33" i="8"/>
  <c r="C26" i="10" s="1"/>
  <c r="K11" i="7"/>
  <c r="K13" i="7"/>
  <c r="K14" i="7" s="1"/>
  <c r="M24" i="7"/>
  <c r="N18" i="7"/>
  <c r="D219" i="6" s="1"/>
  <c r="L30" i="7"/>
  <c r="D13" i="9" l="1"/>
  <c r="D33" i="8"/>
  <c r="D26" i="10" s="1"/>
  <c r="L11" i="7"/>
  <c r="L13" i="7"/>
  <c r="L14" i="7" s="1"/>
  <c r="M30" i="7"/>
  <c r="N24" i="7"/>
  <c r="E219" i="6" s="1"/>
  <c r="E13" i="9" l="1"/>
  <c r="E33" i="8"/>
  <c r="E26" i="10" s="1"/>
  <c r="M11" i="7"/>
  <c r="M13" i="7"/>
  <c r="N30" i="7"/>
  <c r="F219" i="6" s="1"/>
  <c r="F33" i="8" l="1"/>
  <c r="F26" i="10" s="1"/>
  <c r="F13" i="9"/>
  <c r="N13" i="7"/>
  <c r="M14" i="7"/>
  <c r="N14" i="7" s="1"/>
  <c r="N11" i="7"/>
  <c r="D40" i="11" s="1"/>
  <c r="B19" i="7"/>
  <c r="B20" i="7" s="1"/>
  <c r="C220" i="6" l="1"/>
  <c r="D41" i="11"/>
  <c r="D43" i="11" s="1"/>
  <c r="D45" i="11" s="1"/>
  <c r="O12" i="7"/>
  <c r="P12" i="7" s="1"/>
  <c r="B17" i="7"/>
  <c r="C32" i="8" l="1"/>
  <c r="C14" i="9"/>
  <c r="C16" i="9" s="1"/>
  <c r="C17" i="7"/>
  <c r="C19" i="7"/>
  <c r="C20" i="7" s="1"/>
  <c r="C27" i="10" l="1"/>
  <c r="C36" i="8"/>
  <c r="C38" i="8" s="1"/>
  <c r="D19" i="7"/>
  <c r="D20" i="7" s="1"/>
  <c r="D17" i="7"/>
  <c r="C40" i="8" l="1"/>
  <c r="C28" i="10"/>
  <c r="C32" i="10" s="1"/>
  <c r="C34" i="10" s="1"/>
  <c r="E17" i="7"/>
  <c r="E19" i="7"/>
  <c r="E20" i="7" s="1"/>
  <c r="C26" i="12" l="1"/>
  <c r="D49" i="11"/>
  <c r="D5" i="11"/>
  <c r="D11" i="11" s="1"/>
  <c r="D3" i="10"/>
  <c r="D10" i="10" s="1"/>
  <c r="F17" i="7"/>
  <c r="F19" i="7"/>
  <c r="F20" i="7" s="1"/>
  <c r="C6" i="12" l="1"/>
  <c r="C4" i="12"/>
  <c r="C9" i="12"/>
  <c r="D31" i="11"/>
  <c r="D50" i="11"/>
  <c r="G17" i="7"/>
  <c r="G19" i="7"/>
  <c r="G20" i="7" s="1"/>
  <c r="D48" i="11" l="1"/>
  <c r="D52" i="11" s="1"/>
  <c r="C18" i="12"/>
  <c r="C13" i="12"/>
  <c r="C30" i="12"/>
  <c r="H17" i="7"/>
  <c r="H19" i="7"/>
  <c r="H20" i="7" s="1"/>
  <c r="D54" i="11" l="1"/>
  <c r="C15" i="12"/>
  <c r="I17" i="7"/>
  <c r="I19" i="7"/>
  <c r="I20" i="7" s="1"/>
  <c r="J17" i="7" l="1"/>
  <c r="J19" i="7"/>
  <c r="J20" i="7" s="1"/>
  <c r="K19" i="7" l="1"/>
  <c r="K20" i="7" s="1"/>
  <c r="K17" i="7"/>
  <c r="L17" i="7" l="1"/>
  <c r="L19" i="7"/>
  <c r="L20" i="7" l="1"/>
  <c r="M17" i="7"/>
  <c r="M19" i="7"/>
  <c r="M20" i="7" s="1"/>
  <c r="N20" i="7" s="1"/>
  <c r="B25" i="7" l="1"/>
  <c r="B26" i="7" s="1"/>
  <c r="N17" i="7"/>
  <c r="E40" i="11" s="1"/>
  <c r="N19" i="7"/>
  <c r="D220" i="6" l="1"/>
  <c r="E41" i="11"/>
  <c r="E43" i="11" s="1"/>
  <c r="E45" i="11" s="1"/>
  <c r="B23" i="7"/>
  <c r="O17" i="7"/>
  <c r="P17" i="7" s="1"/>
  <c r="D32" i="8" l="1"/>
  <c r="D14" i="9"/>
  <c r="D16" i="9" s="1"/>
  <c r="C25" i="7"/>
  <c r="C26" i="7" s="1"/>
  <c r="C23" i="7"/>
  <c r="D27" i="10" l="1"/>
  <c r="D36" i="8"/>
  <c r="D38" i="8" s="1"/>
  <c r="D23" i="7"/>
  <c r="D25" i="7"/>
  <c r="D26" i="7" s="1"/>
  <c r="D28" i="10" l="1"/>
  <c r="D32" i="10" s="1"/>
  <c r="D34" i="10" s="1"/>
  <c r="E23" i="7"/>
  <c r="E25" i="7"/>
  <c r="E26" i="7" s="1"/>
  <c r="D40" i="8" l="1"/>
  <c r="E49" i="11" s="1"/>
  <c r="E3" i="10"/>
  <c r="E10" i="10" s="1"/>
  <c r="E5" i="11"/>
  <c r="E11" i="11" s="1"/>
  <c r="F23" i="7"/>
  <c r="F25" i="7"/>
  <c r="F26" i="7" s="1"/>
  <c r="D26" i="12" l="1"/>
  <c r="E50" i="11"/>
  <c r="D6" i="12"/>
  <c r="D4" i="12"/>
  <c r="D9" i="12"/>
  <c r="E31" i="11"/>
  <c r="G25" i="7"/>
  <c r="G26" i="7" s="1"/>
  <c r="G23" i="7"/>
  <c r="E48" i="11" l="1"/>
  <c r="E52" i="11" s="1"/>
  <c r="D18" i="12"/>
  <c r="D13" i="12"/>
  <c r="D30" i="12"/>
  <c r="H23" i="7"/>
  <c r="H25" i="7"/>
  <c r="H26" i="7" s="1"/>
  <c r="E54" i="11" l="1"/>
  <c r="D15" i="12"/>
  <c r="I23" i="7"/>
  <c r="I25" i="7"/>
  <c r="I26" i="7" s="1"/>
  <c r="J23" i="7" l="1"/>
  <c r="J25" i="7"/>
  <c r="J26" i="7" s="1"/>
  <c r="K25" i="7" l="1"/>
  <c r="K26" i="7" s="1"/>
  <c r="K23" i="7"/>
  <c r="L25" i="7" l="1"/>
  <c r="L26" i="7" s="1"/>
  <c r="L23" i="7"/>
  <c r="M23" i="7" l="1"/>
  <c r="M25" i="7"/>
  <c r="M26" i="7" l="1"/>
  <c r="N26" i="7" s="1"/>
  <c r="N25" i="7"/>
  <c r="B29" i="7"/>
  <c r="N23" i="7"/>
  <c r="E220" i="6" l="1"/>
  <c r="F41" i="11"/>
  <c r="O23" i="7"/>
  <c r="P23" i="7" s="1"/>
  <c r="F40" i="11"/>
  <c r="C29" i="7"/>
  <c r="B31" i="7"/>
  <c r="B32" i="7" s="1"/>
  <c r="F43" i="11" l="1"/>
  <c r="F45" i="11" s="1"/>
  <c r="E32" i="8"/>
  <c r="E14" i="9"/>
  <c r="E16" i="9" s="1"/>
  <c r="D29" i="7"/>
  <c r="C31" i="7"/>
  <c r="C32" i="7" s="1"/>
  <c r="E27" i="10" l="1"/>
  <c r="E36" i="8"/>
  <c r="E38" i="8" s="1"/>
  <c r="E28" i="10"/>
  <c r="E32" i="10" s="1"/>
  <c r="E34" i="10" s="1"/>
  <c r="D31" i="7"/>
  <c r="D32" i="7" s="1"/>
  <c r="E29" i="7"/>
  <c r="E40" i="8" l="1"/>
  <c r="E26" i="12" s="1"/>
  <c r="F3" i="10"/>
  <c r="F10" i="10" s="1"/>
  <c r="F5" i="11"/>
  <c r="F11" i="11" s="1"/>
  <c r="E31" i="7"/>
  <c r="E32" i="7" s="1"/>
  <c r="F29" i="7"/>
  <c r="F49" i="11" l="1"/>
  <c r="F50" i="11" s="1"/>
  <c r="E6" i="12"/>
  <c r="E9" i="12"/>
  <c r="E4" i="12"/>
  <c r="F31" i="11"/>
  <c r="F31" i="7"/>
  <c r="F32" i="7" s="1"/>
  <c r="G29" i="7"/>
  <c r="E18" i="12" l="1"/>
  <c r="F48" i="11"/>
  <c r="F52" i="11" s="1"/>
  <c r="E13" i="12"/>
  <c r="E30" i="12"/>
  <c r="H29" i="7"/>
  <c r="G31" i="7"/>
  <c r="G32" i="7" s="1"/>
  <c r="F54" i="11" l="1"/>
  <c r="E15" i="12"/>
  <c r="I29" i="7"/>
  <c r="H31" i="7"/>
  <c r="H32" i="7" s="1"/>
  <c r="I31" i="7" l="1"/>
  <c r="I32" i="7" s="1"/>
  <c r="J29" i="7"/>
  <c r="J31" i="7" l="1"/>
  <c r="J32" i="7" s="1"/>
  <c r="K29" i="7"/>
  <c r="K31" i="7" l="1"/>
  <c r="K32" i="7" s="1"/>
  <c r="L29" i="7"/>
  <c r="L31" i="7" l="1"/>
  <c r="M29" i="7"/>
  <c r="M31" i="7" l="1"/>
  <c r="N29" i="7"/>
  <c r="G40" i="11" s="1"/>
  <c r="L32" i="7"/>
  <c r="M32" i="7" l="1"/>
  <c r="N32" i="7" s="1"/>
  <c r="N31" i="7"/>
  <c r="F220" i="6" l="1"/>
  <c r="G41" i="11"/>
  <c r="G43" i="11" s="1"/>
  <c r="G45" i="11" s="1"/>
  <c r="F32" i="8" l="1"/>
  <c r="F14" i="9"/>
  <c r="F16" i="9" s="1"/>
  <c r="F27" i="10" l="1"/>
  <c r="F36" i="8"/>
  <c r="F38" i="8" s="1"/>
  <c r="F28" i="10"/>
  <c r="F32" i="10" s="1"/>
  <c r="F34" i="10" s="1"/>
  <c r="G3" i="10" l="1"/>
  <c r="G10" i="10" s="1"/>
  <c r="G34" i="10" s="1"/>
  <c r="G5" i="11"/>
  <c r="G11" i="11" s="1"/>
  <c r="F40" i="8"/>
  <c r="G49" i="11" l="1"/>
  <c r="F26" i="12"/>
  <c r="F9" i="12"/>
  <c r="F6" i="12"/>
  <c r="F4" i="12"/>
  <c r="G31" i="11"/>
  <c r="H3" i="10"/>
  <c r="H10" i="10" s="1"/>
  <c r="H34" i="10" s="1"/>
  <c r="H5" i="11"/>
  <c r="H11" i="11" s="1"/>
  <c r="I3" i="10" l="1"/>
  <c r="I10" i="10" s="1"/>
  <c r="I34" i="10" s="1"/>
  <c r="I5" i="11"/>
  <c r="I11" i="11" s="1"/>
  <c r="H50" i="11"/>
  <c r="G50" i="11"/>
  <c r="G48" i="11" s="1"/>
  <c r="G52" i="11" s="1"/>
  <c r="F18" i="12"/>
  <c r="F13" i="12"/>
  <c r="G9" i="12"/>
  <c r="G6" i="12"/>
  <c r="G4" i="12"/>
  <c r="H31" i="11"/>
  <c r="F30" i="12"/>
  <c r="G54" i="11" l="1"/>
  <c r="F15" i="12"/>
  <c r="H4" i="12"/>
  <c r="H9" i="12"/>
  <c r="H6" i="12"/>
  <c r="I31" i="11"/>
  <c r="H48" i="11"/>
  <c r="H52" i="11" s="1"/>
  <c r="G18" i="12"/>
  <c r="G13" i="12"/>
  <c r="G30" i="12"/>
  <c r="J3" i="10"/>
  <c r="J10" i="10" s="1"/>
  <c r="J34" i="10" s="1"/>
  <c r="J5" i="11"/>
  <c r="J11" i="11" s="1"/>
  <c r="H54" i="11" l="1"/>
  <c r="G15" i="12"/>
  <c r="K3" i="10"/>
  <c r="K10" i="10" s="1"/>
  <c r="K34" i="10" s="1"/>
  <c r="K5" i="11"/>
  <c r="K11" i="11" s="1"/>
  <c r="H18" i="12"/>
  <c r="H13" i="12"/>
  <c r="I48" i="11"/>
  <c r="I52" i="11" s="1"/>
  <c r="H30" i="12"/>
  <c r="I4" i="12"/>
  <c r="I9" i="12"/>
  <c r="I6" i="12"/>
  <c r="J31" i="11"/>
  <c r="J4" i="12" l="1"/>
  <c r="J9" i="12"/>
  <c r="J6" i="12"/>
  <c r="K31" i="11"/>
  <c r="L3" i="10"/>
  <c r="L10" i="10" s="1"/>
  <c r="L34" i="10" s="1"/>
  <c r="L5" i="11"/>
  <c r="L11" i="11" s="1"/>
  <c r="J48" i="11"/>
  <c r="J52" i="11" s="1"/>
  <c r="I13" i="12"/>
  <c r="I18" i="12"/>
  <c r="I30" i="12"/>
  <c r="I54" i="11"/>
  <c r="H15" i="12"/>
  <c r="B42" i="10" l="1"/>
  <c r="B45" i="10" s="1"/>
  <c r="B43" i="10"/>
  <c r="K6" i="12"/>
  <c r="K4" i="12"/>
  <c r="K9" i="12"/>
  <c r="L31" i="11"/>
  <c r="J13" i="12"/>
  <c r="J18" i="12"/>
  <c r="K48" i="11"/>
  <c r="K52" i="11" s="1"/>
  <c r="J30" i="12"/>
  <c r="J54" i="11"/>
  <c r="I15" i="12"/>
  <c r="M5" i="11"/>
  <c r="M11" i="11" s="1"/>
  <c r="K54" i="11" l="1"/>
  <c r="J15" i="12"/>
  <c r="L6" i="12"/>
  <c r="L4" i="12"/>
  <c r="L9" i="12"/>
  <c r="M31" i="11"/>
  <c r="L48" i="11"/>
  <c r="L52" i="11" s="1"/>
  <c r="K13" i="12"/>
  <c r="K18" i="12"/>
  <c r="K30" i="12"/>
  <c r="L13" i="12" l="1"/>
  <c r="L18" i="12"/>
  <c r="M48" i="11"/>
  <c r="M52" i="11" s="1"/>
  <c r="L30" i="12"/>
  <c r="L54" i="11"/>
  <c r="K15" i="12"/>
  <c r="M54" i="11" l="1"/>
  <c r="L15" i="12"/>
</calcChain>
</file>

<file path=xl/sharedStrings.xml><?xml version="1.0" encoding="utf-8"?>
<sst xmlns="http://schemas.openxmlformats.org/spreadsheetml/2006/main" count="859" uniqueCount="460">
  <si>
    <t>Calculo de la Demanda basada en Ordenes de Compra (CO) históricas de clientes</t>
  </si>
  <si>
    <t>Producto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</si>
  <si>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</si>
  <si>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</si>
  <si>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</si>
  <si>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</si>
  <si>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</si>
  <si>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</si>
  <si>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</si>
  <si>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</si>
  <si>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</si>
  <si>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</si>
  <si>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</si>
  <si>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</si>
  <si>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</si>
  <si>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 Cero</t>
  </si>
  <si>
    <t xml:space="preserve">% </t>
  </si>
  <si>
    <t>Total</t>
  </si>
  <si>
    <t>Grafico Demanda Anual</t>
  </si>
  <si>
    <t>Capacity line</t>
  </si>
  <si>
    <t>Quality yield</t>
  </si>
  <si>
    <t>Seconds x unit</t>
  </si>
  <si>
    <t>Units x hour</t>
  </si>
  <si>
    <t>Hours Shift</t>
  </si>
  <si>
    <t>Shifts</t>
  </si>
  <si>
    <t>Production Lines</t>
  </si>
  <si>
    <t>Week working days</t>
  </si>
  <si>
    <t>Months working weeks</t>
  </si>
  <si>
    <t>Year working months</t>
  </si>
  <si>
    <t>Anual Capacity</t>
  </si>
  <si>
    <t>CO</t>
  </si>
  <si>
    <t>WO</t>
  </si>
  <si>
    <t>Linea</t>
  </si>
  <si>
    <t>Descripción</t>
  </si>
  <si>
    <t>Op1</t>
  </si>
  <si>
    <t>Elaboración placa base</t>
  </si>
  <si>
    <t>OP2</t>
  </si>
  <si>
    <t>Ensamble base</t>
  </si>
  <si>
    <t>Op3</t>
  </si>
  <si>
    <t>Ensamble 2</t>
  </si>
  <si>
    <t>Op4</t>
  </si>
  <si>
    <t>Ensamble 3</t>
  </si>
  <si>
    <t>Op5</t>
  </si>
  <si>
    <t>Ensamble 4</t>
  </si>
  <si>
    <t>Op6</t>
  </si>
  <si>
    <t>Ensamble 5</t>
  </si>
  <si>
    <t>Op7</t>
  </si>
  <si>
    <t>Ensamble 6</t>
  </si>
  <si>
    <t>Op8</t>
  </si>
  <si>
    <t>Ensamble 7</t>
  </si>
  <si>
    <t>Op9</t>
  </si>
  <si>
    <t>Ensamble 8</t>
  </si>
  <si>
    <t>Op10</t>
  </si>
  <si>
    <t>Ensamble 9</t>
  </si>
  <si>
    <t>Op11</t>
  </si>
  <si>
    <t>Ensamble 10</t>
  </si>
  <si>
    <t>Op12</t>
  </si>
  <si>
    <t>Ensamble 11</t>
  </si>
  <si>
    <t>Op13</t>
  </si>
  <si>
    <t>Ensamble 12</t>
  </si>
  <si>
    <t>Op14</t>
  </si>
  <si>
    <t>Ensamble 13</t>
  </si>
  <si>
    <t>Op15</t>
  </si>
  <si>
    <t>Ensamble 14</t>
  </si>
  <si>
    <t>Op16</t>
  </si>
  <si>
    <t>Ensamble 15</t>
  </si>
  <si>
    <t>Supervisores</t>
  </si>
  <si>
    <t>Capacidad  Ocupada</t>
  </si>
  <si>
    <t>Tpo  Proceso</t>
  </si>
  <si>
    <t>Operadores necesarios</t>
  </si>
  <si>
    <t>Operadores</t>
  </si>
  <si>
    <t>Personal Mano de Obra Directa</t>
  </si>
  <si>
    <t>DN001</t>
  </si>
  <si>
    <t>Costo de Materia Prima</t>
  </si>
  <si>
    <t>Costo de venta</t>
  </si>
  <si>
    <t>Id</t>
  </si>
  <si>
    <t>Cantidad</t>
  </si>
  <si>
    <t>Costo</t>
  </si>
  <si>
    <t>Sub total</t>
  </si>
  <si>
    <t>FR001</t>
  </si>
  <si>
    <t>Base del frame</t>
  </si>
  <si>
    <t>FR005</t>
  </si>
  <si>
    <t>Placa inferior del frame</t>
  </si>
  <si>
    <t>FR003</t>
  </si>
  <si>
    <t>Brazos del dron</t>
  </si>
  <si>
    <t>FR006</t>
  </si>
  <si>
    <t>Placa superior para batería</t>
  </si>
  <si>
    <t>FR004</t>
  </si>
  <si>
    <t>Placa superior del frame</t>
  </si>
  <si>
    <t>AC001</t>
  </si>
  <si>
    <t>Soporte del Buzzer</t>
  </si>
  <si>
    <t>AC003</t>
  </si>
  <si>
    <t>Soporte del capacitor</t>
  </si>
  <si>
    <t>AC004</t>
  </si>
  <si>
    <t>Parachoques frontal</t>
  </si>
  <si>
    <t>AC005</t>
  </si>
  <si>
    <t>Soporte para GoPro</t>
  </si>
  <si>
    <t>AC006</t>
  </si>
  <si>
    <t>Amortiguador de motor</t>
  </si>
  <si>
    <t>AC007</t>
  </si>
  <si>
    <t>Parachoques trasero</t>
  </si>
  <si>
    <t>AC008</t>
  </si>
  <si>
    <t>Soporte para antena</t>
  </si>
  <si>
    <t>AC009</t>
  </si>
  <si>
    <t>Patín de aterrizaje</t>
  </si>
  <si>
    <t>AC010</t>
  </si>
  <si>
    <t>Guardas para brazos</t>
  </si>
  <si>
    <t>AC011</t>
  </si>
  <si>
    <t>Soporte cámara FPV</t>
  </si>
  <si>
    <t>CE008</t>
  </si>
  <si>
    <t>Power distribution board</t>
  </si>
  <si>
    <t>SE003</t>
  </si>
  <si>
    <t>Sistema electrónico</t>
  </si>
  <si>
    <t>Dron Super Sport</t>
  </si>
  <si>
    <t>Graficos</t>
  </si>
  <si>
    <t>Cédula para calcular las depreciaciones de los equipos.</t>
  </si>
  <si>
    <t>Cédula 1 Depreciación</t>
  </si>
  <si>
    <t>MAQUINARIA Y EQUIPO</t>
  </si>
  <si>
    <t>M-001</t>
  </si>
  <si>
    <t>M-002</t>
  </si>
  <si>
    <t>M-003</t>
  </si>
  <si>
    <t>M-004</t>
  </si>
  <si>
    <t>M-005</t>
  </si>
  <si>
    <t>M-006</t>
  </si>
  <si>
    <t>M-007</t>
  </si>
  <si>
    <t>Nueva-001</t>
  </si>
  <si>
    <t>Nueva-002</t>
  </si>
  <si>
    <t>Nueva-003</t>
  </si>
  <si>
    <t>Nueva-004</t>
  </si>
  <si>
    <t>Nueva-005</t>
  </si>
  <si>
    <t>Nueva-006</t>
  </si>
  <si>
    <t>TOTAL</t>
  </si>
  <si>
    <t>Depreciación</t>
  </si>
  <si>
    <t>EQUIPO DE TRANSPORTE.</t>
  </si>
  <si>
    <t>Auto-1</t>
  </si>
  <si>
    <t>Auto-2</t>
  </si>
  <si>
    <t>Auto-3</t>
  </si>
  <si>
    <t>Auto-4</t>
  </si>
  <si>
    <t>Camion-1</t>
  </si>
  <si>
    <t>Camion-2</t>
  </si>
  <si>
    <t>Camion-3</t>
  </si>
  <si>
    <t>Camion-4</t>
  </si>
  <si>
    <t>Nuevo-1</t>
  </si>
  <si>
    <t>Nuevo-2</t>
  </si>
  <si>
    <t>Nuevo-3</t>
  </si>
  <si>
    <t>Nuevo-4</t>
  </si>
  <si>
    <t>Nuevo-5</t>
  </si>
  <si>
    <t>Nuevo-6</t>
  </si>
  <si>
    <t>Nuevo-7</t>
  </si>
  <si>
    <t>EDIFICIOS.</t>
  </si>
  <si>
    <t>Edificios-1</t>
  </si>
  <si>
    <t>Edificios-2</t>
  </si>
  <si>
    <t>Edificios-3</t>
  </si>
  <si>
    <t>Edificios-4</t>
  </si>
  <si>
    <t>Nuevo-001</t>
  </si>
  <si>
    <t>Nuevo-002</t>
  </si>
  <si>
    <t>Nuevo-003</t>
  </si>
  <si>
    <t>Nuevo-004</t>
  </si>
  <si>
    <t>Nuevo-005</t>
  </si>
  <si>
    <t>Nuevo-006</t>
  </si>
  <si>
    <t>EQUIPO DE COMPUTO.</t>
  </si>
  <si>
    <t>Compu-001</t>
  </si>
  <si>
    <t>PREMISAS MACROECONOMICAS</t>
  </si>
  <si>
    <t>Tipo de cambio al cierre (dolares)</t>
  </si>
  <si>
    <t>Tasa lider nacional.</t>
  </si>
  <si>
    <t>CPP</t>
  </si>
  <si>
    <t>CETES</t>
  </si>
  <si>
    <t>LIBOR</t>
  </si>
  <si>
    <t>Inflación Nacional</t>
  </si>
  <si>
    <t>Tasa ISR</t>
  </si>
  <si>
    <t>Tasa IMPAC</t>
  </si>
  <si>
    <t>Tasa de PTU</t>
  </si>
  <si>
    <t>Inflación Extranjera</t>
  </si>
  <si>
    <t>POLITICAS.</t>
  </si>
  <si>
    <t>Porcentaje de Inventario.</t>
  </si>
  <si>
    <t>Porcentaje de proveedores.</t>
  </si>
  <si>
    <t>Porcentaje de pasivo corto plazo.</t>
  </si>
  <si>
    <t>Porcentaje de costo directo del producto.</t>
  </si>
  <si>
    <t>Porcentaje de costo indirecto del producto.</t>
  </si>
  <si>
    <t>Porcentaje de gasto de venta</t>
  </si>
  <si>
    <t>Porcentaje de administración</t>
  </si>
  <si>
    <t>Porcentaje depreciación Edificios</t>
  </si>
  <si>
    <t>Porcentaje depreciación Maquinaria y Equipo</t>
  </si>
  <si>
    <t>Porcentaje depreciación Equipo de Transporte</t>
  </si>
  <si>
    <t>Porcentaje depreciación Equipo de computo</t>
  </si>
  <si>
    <t>MOD Operador</t>
  </si>
  <si>
    <t>Porcentaje</t>
  </si>
  <si>
    <t>Percepción</t>
  </si>
  <si>
    <t>MOID Materiales</t>
  </si>
  <si>
    <t>MOID Técnico Pruebas</t>
  </si>
  <si>
    <t>MOID Almacen</t>
  </si>
  <si>
    <t>Salario base</t>
  </si>
  <si>
    <t>IMSS</t>
  </si>
  <si>
    <t>Infonavit</t>
  </si>
  <si>
    <t>Vales de despensa</t>
  </si>
  <si>
    <t>Prima Vacacional</t>
  </si>
  <si>
    <t>Aguinaldo</t>
  </si>
  <si>
    <t>Fondo de Ahorro</t>
  </si>
  <si>
    <t>Comedor</t>
  </si>
  <si>
    <t>ISR</t>
  </si>
  <si>
    <t>Salario Integrado</t>
  </si>
  <si>
    <t>MOD Supervisor</t>
  </si>
  <si>
    <t>MOID Técnico Calidad</t>
  </si>
  <si>
    <t>MOID Técnico Producto</t>
  </si>
  <si>
    <t>MOID Técnico Logística</t>
  </si>
  <si>
    <t>IM Ingeniero Procesos</t>
  </si>
  <si>
    <t>IM Ingeniero de Calidad</t>
  </si>
  <si>
    <t>Ingeniero de Producto</t>
  </si>
  <si>
    <t>Ingeniero de Mtto</t>
  </si>
  <si>
    <t>Gerente de Operaciones</t>
  </si>
  <si>
    <t>ADMINISTRATIVOS</t>
  </si>
  <si>
    <t>Recursos humanos</t>
  </si>
  <si>
    <t>Finanzas y Contabilidad</t>
  </si>
  <si>
    <t>Compras</t>
  </si>
  <si>
    <t>IT</t>
  </si>
  <si>
    <t>Mercadotecnia</t>
  </si>
  <si>
    <t>Logística</t>
  </si>
  <si>
    <t>Secretaria Ejecutiva</t>
  </si>
  <si>
    <t>Gerente Administrativo</t>
  </si>
  <si>
    <t>Gerente General</t>
  </si>
  <si>
    <t>Limpieza y Mtto</t>
  </si>
  <si>
    <t>Seguridad</t>
  </si>
  <si>
    <t>Secretaria</t>
  </si>
  <si>
    <t>Salarios</t>
  </si>
  <si>
    <t>Subtotal</t>
  </si>
  <si>
    <t>Operador</t>
  </si>
  <si>
    <t>Supervisor</t>
  </si>
  <si>
    <t>Resumen Salarios</t>
  </si>
  <si>
    <t>Mano de Obra Directa</t>
  </si>
  <si>
    <t>Mano de Obra Indirecta</t>
  </si>
  <si>
    <t xml:space="preserve">Salarios Ingeniería </t>
  </si>
  <si>
    <t>Salarios Administrativos</t>
  </si>
  <si>
    <t>Categoría de Gasto</t>
  </si>
  <si>
    <t>Subcategoría</t>
  </si>
  <si>
    <t>Rango Mensual Estimado (MXN)</t>
  </si>
  <si>
    <t>Notas y Consideraciones</t>
  </si>
  <si>
    <t>Servicios Básicos</t>
  </si>
  <si>
    <t>Electricidad</t>
  </si>
  <si>
    <t>Consumo de energía para oficinas, equipos, aire acondicionado, iluminación.</t>
  </si>
  <si>
    <t>Depende mucho del tamaño del espacio, el uso de equipo (servidores, maquinaria), y la tarifa CFE (p.ej., PDBT, GDMTO). Empresas con subestación propia pueden tener tarifas diferentes.</t>
  </si>
  <si>
    <t>Agua</t>
  </si>
  <si>
    <t>Consumo de agua para baños, cocina, limpieza.</t>
  </si>
  <si>
    <t>Las tarifas varían por municipio y tipo de uso (comercial/industrial). El volumen de consumo es clave.</t>
  </si>
  <si>
    <t>Telefonía Fija</t>
  </si>
  <si>
    <t>Líneas telefónicas para comunicación interna y externa.</t>
  </si>
  <si>
    <t>Paquetes con múltiples líneas y llamadas ilimitadas suelen ser más económicos por línea.</t>
  </si>
  <si>
    <t>Internet</t>
  </si>
  <si>
    <t>Conexión de banda ancha para toda la empresa (fibra óptica es recomendable).</t>
  </si>
  <si>
    <t>Variará según la velocidad (MBs), el proveedor y si incluye servicios adicionales (ej. VPN, IP fija). Para 50-100 empleados se requiere un servicio de alta velocidad y estabilidad.</t>
  </si>
  <si>
    <t>Otros Servicios</t>
  </si>
  <si>
    <t>Limpieza</t>
  </si>
  <si>
    <t>Servicio de personal de limpieza o empresa de outsourcing.</t>
  </si>
  <si>
    <t>Puede ser personal interno o un servicio externo por horas/días. Depende del tamaño de las instalaciones y la frecuencia.</t>
  </si>
  <si>
    <t>Sistemas de alarma, cámaras, y/o personal de seguridad.</t>
  </si>
  <si>
    <t>Varía según el nivel de seguridad deseado y si es un servicio de monitoreo o personal en sitio.</t>
  </si>
  <si>
    <t>Mantenimiento</t>
  </si>
  <si>
    <t>Mantenimiento de instalaciones (aire acondicionado, plomería, electricidad, etc.).</t>
  </si>
  <si>
    <t>Puede ser preventivo o correctivo. Algunos meses serán más altos que otros.</t>
  </si>
  <si>
    <t>Gastos Administrativos</t>
  </si>
  <si>
    <t>Sueldos y Salarios (Personal Administrativo)</t>
  </si>
  <si>
    <t>Personal de contabilidad, recursos humanos, recepcionistas, asistentes, gerentes administrativos, etc.</t>
  </si>
  <si>
    <t>Este es el gasto más significativo. Incluye salarios brutos, prestaciones (IMSS, Infonavit, etc.) y beneficios. Muy variable según la estructura de la empresa y los salarios de mercado.</t>
  </si>
  <si>
    <t>Renta de Oficina/Espacio</t>
  </si>
  <si>
    <t>Alquiler del inmueble donde opera la PyME.</t>
  </si>
  <si>
    <t>Altamente dependiente de la ubicación (zona, ciudad), el tamaño del espacio y las amenidades.</t>
  </si>
  <si>
    <t>Materiales de Oficina</t>
  </si>
  <si>
    <t>Papelería, tóner, plumas, artículos de escritorio, etc.</t>
  </si>
  <si>
    <t>Varía con el volumen de uso y si hay digitalización de procesos.</t>
  </si>
  <si>
    <t>Software y Licencias</t>
  </si>
  <si>
    <t>Software contable, CRM, ERP, paquetería de oficina, software especializado.</t>
  </si>
  <si>
    <t>Muchos softwares se pagan por licencia o por usuario. Un ERP para 50-100 empleados puede ser una inversión significativa.</t>
  </si>
  <si>
    <t>Servicios de Contabilidad/Fiscales</t>
  </si>
  <si>
    <t>Despacho contable externo para gestión fiscal y contable.</t>
  </si>
  <si>
    <t>Depende de la complejidad de la operación y el volumen de transacciones.</t>
  </si>
  <si>
    <t>Asesoría Legal</t>
  </si>
  <si>
    <t>Servicios de consultoría legal para contratos, temas laborales, compliance.</t>
  </si>
  <si>
    <t>Puede ser un pago recurrente por iguala o por proyecto. Varía según la necesidad.</t>
  </si>
  <si>
    <t>Seguros</t>
  </si>
  <si>
    <t>Seguro de responsabilidad civil, seguro de oficina, seguro de equipo.</t>
  </si>
  <si>
    <t>Pagos anuales que se prorratean mensualmente.</t>
  </si>
  <si>
    <t>Capacitación y Desarrollo</t>
  </si>
  <si>
    <t>Cursos, talleres, seminarios para el personal administrativo.</t>
  </si>
  <si>
    <t>Inversión en el crecimiento y habilidades del equipo. Puede ser variable.</t>
  </si>
  <si>
    <t>Gastos de Viaje y Representación</t>
  </si>
  <si>
    <t>Viáticos, comidas de negocios, transporte para reuniones.</t>
  </si>
  <si>
    <t>Depende de la naturaleza del negocio y la frecuencia de viajes.</t>
  </si>
  <si>
    <t>Publicidad y Marketing (Interno)</t>
  </si>
  <si>
    <t>Materiales de comunicación interna, eventos para empleados.</t>
  </si>
  <si>
    <t>Si hay un departamento de marketing interno, sus gastos se imputarían aquí.</t>
  </si>
  <si>
    <t>Otros (Insumos de Cocina, Cafetería, etc.)</t>
  </si>
  <si>
    <t>Café, agua embotellada, snacks para empleados y visitas.</t>
  </si>
  <si>
    <t>Detalles que contribuyen al ambiente laboral.</t>
  </si>
  <si>
    <t>Gastos Financieros</t>
  </si>
  <si>
    <t>Amortización Crédito</t>
  </si>
  <si>
    <t>Interes devengado</t>
  </si>
  <si>
    <t>Monto</t>
  </si>
  <si>
    <t>Periodos</t>
  </si>
  <si>
    <t>Tasa</t>
  </si>
  <si>
    <t>Total Año 1</t>
  </si>
  <si>
    <t>Amortizacion</t>
  </si>
  <si>
    <t>Interés</t>
  </si>
  <si>
    <t>Inversión</t>
  </si>
  <si>
    <t>Edificio</t>
  </si>
  <si>
    <t>Maquinaria y Equipo</t>
  </si>
  <si>
    <t>Equipo de Computo</t>
  </si>
  <si>
    <t>Transporte</t>
  </si>
  <si>
    <t>Capital de Trabajo</t>
  </si>
  <si>
    <t>Obra civil Maquinaria y Equipo</t>
  </si>
  <si>
    <t>Materia Prima Part Data</t>
  </si>
  <si>
    <t>BOM</t>
  </si>
  <si>
    <t>Costo Anual Materia Prima</t>
  </si>
  <si>
    <t>Estados de Resultados</t>
  </si>
  <si>
    <t>Ventas</t>
  </si>
  <si>
    <t>VENTAS</t>
  </si>
  <si>
    <t>Ventas Netas</t>
  </si>
  <si>
    <t>COSTOS</t>
  </si>
  <si>
    <t>Mano de obra directa y supervisores</t>
  </si>
  <si>
    <t>Costos Indirectos Producto 2</t>
  </si>
  <si>
    <t>Costos Indirectos Producto 3</t>
  </si>
  <si>
    <t>Total de Costos</t>
  </si>
  <si>
    <t>Utilidad Bruta</t>
  </si>
  <si>
    <t>Gastos de Administración</t>
  </si>
  <si>
    <t>Depreciación edificios</t>
  </si>
  <si>
    <t>Depreciación equipo transp.</t>
  </si>
  <si>
    <t>Depreciación Maquinaria y equipo</t>
  </si>
  <si>
    <t>Depreciación equipo computo</t>
  </si>
  <si>
    <t>Amortización de seguros</t>
  </si>
  <si>
    <t>Gastos de Ventas</t>
  </si>
  <si>
    <t>Utilidad de Operación</t>
  </si>
  <si>
    <t>Pago de Crédito</t>
  </si>
  <si>
    <t>Productos Financieros</t>
  </si>
  <si>
    <t>Utilidad antes de impuestos</t>
  </si>
  <si>
    <t>I.S.R. y T.P.U.</t>
  </si>
  <si>
    <t>Utilidad o perdida del periodo</t>
  </si>
  <si>
    <t>Dron Sport Life</t>
  </si>
  <si>
    <t>Costo de Matarias Primas Dron</t>
  </si>
  <si>
    <t>Costo Indirectos Sueldos Manufactura</t>
  </si>
  <si>
    <t>Costos Salarios de Ingenieria</t>
  </si>
  <si>
    <t>Costos Materiales Indirectos</t>
  </si>
  <si>
    <t>Gastos de Operación</t>
  </si>
  <si>
    <t>Materia Prima</t>
  </si>
  <si>
    <t>Precio de Venta Unitario</t>
  </si>
  <si>
    <t>Total Gastos</t>
  </si>
  <si>
    <t>Amortización crédito</t>
  </si>
  <si>
    <t>Intereses devengados</t>
  </si>
  <si>
    <t>Totas Gastos + Financieros</t>
  </si>
  <si>
    <t>Precio Utilidad</t>
  </si>
  <si>
    <t>Precio por competitividad</t>
  </si>
  <si>
    <t>Customer Orderes (COs)</t>
  </si>
  <si>
    <t>Total ingreso por venta de Dron</t>
  </si>
  <si>
    <t>Precio Dron Unitario</t>
  </si>
  <si>
    <t>Flujo de Efectivo</t>
  </si>
  <si>
    <t>Entradas</t>
  </si>
  <si>
    <t>Saldo Inicial</t>
  </si>
  <si>
    <t>Ingresos del periodo</t>
  </si>
  <si>
    <t>Prestamo a largo plazo.</t>
  </si>
  <si>
    <t>Prestamos a corto plazo.</t>
  </si>
  <si>
    <t>Otros Ingresos</t>
  </si>
  <si>
    <t>Total de entradas</t>
  </si>
  <si>
    <t>Salidas</t>
  </si>
  <si>
    <t>Otros Egresos</t>
  </si>
  <si>
    <t>Total de salidas</t>
  </si>
  <si>
    <t>Flujo Neto de efectivo</t>
  </si>
  <si>
    <t>Materias Primas Dron</t>
  </si>
  <si>
    <t>Sueldos Indirectos Manufactura</t>
  </si>
  <si>
    <t>Salarios de Ingenieria</t>
  </si>
  <si>
    <t>Materiales Indirectos</t>
  </si>
  <si>
    <t>Sueldos Administración</t>
  </si>
  <si>
    <t>Gastos Administración Empresa</t>
  </si>
  <si>
    <t>Gastos de Venta (Promoción, Patrocinios)</t>
  </si>
  <si>
    <t>Compra Maquinaria</t>
  </si>
  <si>
    <t>Construcción/Compra Edificio</t>
  </si>
  <si>
    <t>Obra civil instalación maquinaria</t>
  </si>
  <si>
    <t>Compra Equipo de Computo</t>
  </si>
  <si>
    <t>Compra Equipo de transporte</t>
  </si>
  <si>
    <t>Pago de Credito</t>
  </si>
  <si>
    <t>Pago de intereses por credito</t>
  </si>
  <si>
    <t>Impuestos</t>
  </si>
  <si>
    <t>TIR</t>
  </si>
  <si>
    <t>Valor Presente</t>
  </si>
  <si>
    <t>TREMA</t>
  </si>
  <si>
    <t>Mejor Tasa de Interés del Mercado</t>
  </si>
  <si>
    <t>Inflación</t>
  </si>
  <si>
    <t>Premio al riesgo</t>
  </si>
  <si>
    <t>Decisión TIR Vs TREMA</t>
  </si>
  <si>
    <t>Valor de TREMA</t>
  </si>
  <si>
    <t>Grafico</t>
  </si>
  <si>
    <t>BALANCE GENERAL</t>
  </si>
  <si>
    <t>Activo Circulante</t>
  </si>
  <si>
    <t>Caja y Bancos</t>
  </si>
  <si>
    <t>Cuentas por cobrar</t>
  </si>
  <si>
    <t>Acciones</t>
  </si>
  <si>
    <t>Depósito en Garantía</t>
  </si>
  <si>
    <t>Total activo circulante</t>
  </si>
  <si>
    <t>Activo Fijo</t>
  </si>
  <si>
    <t>Edificios</t>
  </si>
  <si>
    <t>Equipo de Transporte</t>
  </si>
  <si>
    <t>Maquinaria y equipo</t>
  </si>
  <si>
    <t>Total de activo fijo</t>
  </si>
  <si>
    <t>Activo Diferido</t>
  </si>
  <si>
    <t>Pago de Seguros</t>
  </si>
  <si>
    <t>Total de activo diferido</t>
  </si>
  <si>
    <t>Total de activo</t>
  </si>
  <si>
    <t>Pasivo circulante</t>
  </si>
  <si>
    <t>Documentos por pagar corto plazo</t>
  </si>
  <si>
    <t>Total de pasivo circulante</t>
  </si>
  <si>
    <t>Pasivo a largo plazo</t>
  </si>
  <si>
    <t>Capital vigente</t>
  </si>
  <si>
    <t>Pago de intereses</t>
  </si>
  <si>
    <t>Total de pasivo a largo plazo</t>
  </si>
  <si>
    <t>Total de pasivo</t>
  </si>
  <si>
    <t>Capital contable</t>
  </si>
  <si>
    <t>Patrimonio</t>
  </si>
  <si>
    <t>Utilidad o perdida acumulada</t>
  </si>
  <si>
    <t>Total de capital contable</t>
  </si>
  <si>
    <t>Activo - (Pasivo + Capital )</t>
  </si>
  <si>
    <t>Inventario Drones</t>
  </si>
  <si>
    <t xml:space="preserve">Proveedores producto </t>
  </si>
  <si>
    <t>RAZONES</t>
  </si>
  <si>
    <t>I.- DE LIQUIDEZ</t>
  </si>
  <si>
    <t>Razón de Líquidez</t>
  </si>
  <si>
    <t>(Activo Circulante / Pasivo Circulante)</t>
  </si>
  <si>
    <t>Prueba del ácido</t>
  </si>
  <si>
    <t>(Act. Cir.-Inventario)/Pasivo Circulante</t>
  </si>
  <si>
    <t>(Activo circulante - pasivo circulante)</t>
  </si>
  <si>
    <t>II.- DE ENDEUDAMIENTO</t>
  </si>
  <si>
    <t>Indice de endeudamiento</t>
  </si>
  <si>
    <t>(Pasivo total/activo total)</t>
  </si>
  <si>
    <t>(Capital contable/activo total)</t>
  </si>
  <si>
    <t>III DE EFICIENCIA Y OPERACION</t>
  </si>
  <si>
    <t>Rotación del activo total</t>
  </si>
  <si>
    <t>(ventas netas/activo total)</t>
  </si>
  <si>
    <t>Rotación de inventarios</t>
  </si>
  <si>
    <t>(inventario/costo de ventas)* días</t>
  </si>
  <si>
    <t>Rotación de proveedores</t>
  </si>
  <si>
    <t>(proveedores/costo de venta) * días</t>
  </si>
  <si>
    <t>IV DE RENTABILIDAD.</t>
  </si>
  <si>
    <t>Rentabilidad sobre las ventas</t>
  </si>
  <si>
    <t>(utilidad neta/ventas netas)</t>
  </si>
  <si>
    <t>Utilidad de Operación a ventas</t>
  </si>
  <si>
    <t>Rendimiento sobre la inversión</t>
  </si>
  <si>
    <t>(Utilidad Neta/Activo Neto)</t>
  </si>
  <si>
    <t>Tiempo en segundos de cada proceso</t>
  </si>
  <si>
    <t>Tiempo de ciclo</t>
  </si>
  <si>
    <t>Perido de Recuperación Inversión</t>
  </si>
  <si>
    <t>Sxrap</t>
  </si>
  <si>
    <t>Total Año 2</t>
  </si>
  <si>
    <t>Punto de Equilibrio</t>
  </si>
  <si>
    <t>Costos Fijos Anuales</t>
  </si>
  <si>
    <t xml:space="preserve">Salarios </t>
  </si>
  <si>
    <t>Costos Variables Unitarios</t>
  </si>
  <si>
    <t>BOM (Materia Prima)</t>
  </si>
  <si>
    <t>Precio de Venta</t>
  </si>
  <si>
    <t>Cantidad de</t>
  </si>
  <si>
    <t>Equilibrio</t>
  </si>
  <si>
    <t>Beneficio deseado</t>
  </si>
  <si>
    <t>Ingreso de</t>
  </si>
  <si>
    <t xml:space="preserve">Cantidad para </t>
  </si>
  <si>
    <t>alcazar beneficio</t>
  </si>
  <si>
    <t>Unidades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</si>
</sst>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,##0.00_ ;[Red]\-#,##0.00\ "/>
    <numFmt numFmtId="171" formatCode="0.00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name val="Footlight MT Light"/>
      <family val="1"/>
    </font>
    <font>
      <sz val="11"/>
      <name val="Calibri"/>
      <family val="2"/>
    </font>
    <font>
      <sz val="10"/>
      <name val="Aptos Narrow"/>
      <family val="2"/>
      <scheme val="minor"/>
    </font>
    <font>
      <sz val="10"/>
      <color indexed="21"/>
      <name val="Aptos Narrow"/>
      <family val="2"/>
      <scheme val="minor"/>
    </font>
    <font>
      <sz val="10"/>
      <color indexed="48"/>
      <name val="Aptos Narrow"/>
      <family val="2"/>
      <scheme val="minor"/>
    </font>
    <font>
      <sz val="10"/>
      <color indexed="12"/>
      <name val="Aptos Narrow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9" fontId="0" fillId="0" borderId="0" xfId="3" applyFont="1"/>
    <xf numFmtId="9" fontId="0" fillId="0" borderId="1" xfId="3" applyFont="1" applyBorder="1"/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4" fontId="0" fillId="0" borderId="1" xfId="0" applyNumberFormat="1" applyBorder="1"/>
    <xf numFmtId="164" fontId="0" fillId="0" borderId="1" xfId="1" applyNumberFormat="1" applyFont="1" applyBorder="1"/>
    <xf numFmtId="43" fontId="0" fillId="0" borderId="1" xfId="1" applyFont="1" applyBorder="1"/>
    <xf numFmtId="164" fontId="0" fillId="3" borderId="0" xfId="1" applyNumberFormat="1" applyFont="1" applyFill="1"/>
    <xf numFmtId="164" fontId="0" fillId="3" borderId="1" xfId="1" applyNumberFormat="1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8" xfId="1" applyNumberFormat="1" applyFont="1" applyBorder="1"/>
    <xf numFmtId="43" fontId="0" fillId="0" borderId="0" xfId="0" applyNumberFormat="1"/>
    <xf numFmtId="164" fontId="0" fillId="0" borderId="0" xfId="0" applyNumberFormat="1" applyAlignment="1">
      <alignment horizontal="left" indent="2"/>
    </xf>
    <xf numFmtId="0" fontId="0" fillId="4" borderId="0" xfId="0" applyFill="1"/>
    <xf numFmtId="0" fontId="4" fillId="4" borderId="0" xfId="0" applyFont="1" applyFill="1"/>
    <xf numFmtId="10" fontId="2" fillId="0" borderId="0" xfId="3" applyNumberFormat="1" applyFont="1"/>
    <xf numFmtId="0" fontId="0" fillId="4" borderId="0" xfId="0" applyFill="1" applyAlignment="1">
      <alignment wrapText="1"/>
    </xf>
    <xf numFmtId="0" fontId="0" fillId="4" borderId="8" xfId="0" applyFill="1" applyBorder="1"/>
    <xf numFmtId="44" fontId="0" fillId="0" borderId="0" xfId="2" applyFont="1"/>
    <xf numFmtId="0" fontId="6" fillId="0" borderId="0" xfId="4" applyFont="1"/>
    <xf numFmtId="40" fontId="6" fillId="0" borderId="0" xfId="4" applyNumberFormat="1" applyFont="1"/>
    <xf numFmtId="0" fontId="1" fillId="2" borderId="0" xfId="0" applyFont="1" applyFill="1"/>
    <xf numFmtId="2" fontId="6" fillId="0" borderId="0" xfId="4" applyNumberFormat="1" applyFont="1"/>
    <xf numFmtId="0" fontId="2" fillId="2" borderId="0" xfId="0" applyFont="1" applyFill="1"/>
    <xf numFmtId="0" fontId="2" fillId="2" borderId="8" xfId="0" applyFont="1" applyFill="1" applyBorder="1"/>
    <xf numFmtId="44" fontId="0" fillId="0" borderId="8" xfId="2" applyFont="1" applyBorder="1"/>
    <xf numFmtId="9" fontId="0" fillId="0" borderId="8" xfId="3" applyFont="1" applyBorder="1"/>
    <xf numFmtId="0" fontId="0" fillId="2" borderId="0" xfId="0" applyFill="1"/>
    <xf numFmtId="44" fontId="0" fillId="0" borderId="0" xfId="0" applyNumberFormat="1"/>
    <xf numFmtId="0" fontId="0" fillId="2" borderId="8" xfId="0" applyFill="1" applyBorder="1"/>
    <xf numFmtId="0" fontId="0" fillId="0" borderId="8" xfId="0" applyBorder="1" applyAlignment="1">
      <alignment wrapText="1"/>
    </xf>
    <xf numFmtId="43" fontId="0" fillId="0" borderId="8" xfId="1" applyFont="1" applyBorder="1"/>
    <xf numFmtId="43" fontId="6" fillId="0" borderId="0" xfId="1" applyFont="1"/>
    <xf numFmtId="43" fontId="6" fillId="0" borderId="9" xfId="1" applyFont="1" applyBorder="1"/>
    <xf numFmtId="40" fontId="0" fillId="0" borderId="0" xfId="0" applyNumberFormat="1"/>
    <xf numFmtId="40" fontId="7" fillId="0" borderId="0" xfId="4" applyNumberFormat="1" applyFont="1" applyAlignment="1">
      <alignment horizontal="center"/>
    </xf>
    <xf numFmtId="40" fontId="8" fillId="0" borderId="0" xfId="4" applyNumberFormat="1" applyFont="1" applyAlignment="1">
      <alignment horizontal="left"/>
    </xf>
    <xf numFmtId="40" fontId="7" fillId="0" borderId="0" xfId="4" applyNumberFormat="1" applyFont="1" applyAlignment="1">
      <alignment horizontal="left"/>
    </xf>
    <xf numFmtId="40" fontId="7" fillId="0" borderId="9" xfId="4" applyNumberFormat="1" applyFont="1" applyBorder="1" applyAlignment="1">
      <alignment horizontal="left"/>
    </xf>
    <xf numFmtId="40" fontId="7" fillId="0" borderId="0" xfId="4" applyNumberFormat="1" applyFont="1"/>
    <xf numFmtId="40" fontId="8" fillId="0" borderId="0" xfId="4" applyNumberFormat="1" applyFont="1"/>
    <xf numFmtId="40" fontId="9" fillId="0" borderId="0" xfId="4" applyNumberFormat="1" applyFont="1"/>
    <xf numFmtId="40" fontId="7" fillId="0" borderId="9" xfId="4" applyNumberFormat="1" applyFont="1" applyBorder="1"/>
    <xf numFmtId="40" fontId="10" fillId="0" borderId="0" xfId="4" applyNumberFormat="1" applyFont="1"/>
    <xf numFmtId="40" fontId="7" fillId="0" borderId="10" xfId="4" applyNumberFormat="1" applyFont="1" applyBorder="1"/>
    <xf numFmtId="44" fontId="0" fillId="0" borderId="9" xfId="0" applyNumberFormat="1" applyBorder="1"/>
    <xf numFmtId="0" fontId="0" fillId="0" borderId="9" xfId="0" applyBorder="1"/>
    <xf numFmtId="0" fontId="0" fillId="0" borderId="0" xfId="0" applyAlignment="1">
      <alignment horizontal="right"/>
    </xf>
    <xf numFmtId="44" fontId="0" fillId="0" borderId="9" xfId="2" applyFont="1" applyBorder="1"/>
    <xf numFmtId="165" fontId="0" fillId="0" borderId="0" xfId="3" applyNumberFormat="1" applyFont="1"/>
    <xf numFmtId="8" fontId="0" fillId="0" borderId="0" xfId="0" applyNumberFormat="1"/>
    <xf numFmtId="43" fontId="0" fillId="0" borderId="9" xfId="0" applyNumberFormat="1" applyBorder="1"/>
    <xf numFmtId="166" fontId="0" fillId="0" borderId="9" xfId="0" applyNumberFormat="1" applyBorder="1"/>
    <xf numFmtId="40" fontId="0" fillId="0" borderId="9" xfId="0" applyNumberFormat="1" applyBorder="1"/>
    <xf numFmtId="2" fontId="0" fillId="0" borderId="9" xfId="0" applyNumberFormat="1" applyBorder="1"/>
    <xf numFmtId="166" fontId="0" fillId="0" borderId="9" xfId="2" applyNumberFormat="1" applyFont="1" applyBorder="1"/>
    <xf numFmtId="38" fontId="0" fillId="0" borderId="9" xfId="2" applyNumberFormat="1" applyFont="1" applyBorder="1"/>
    <xf numFmtId="0" fontId="11" fillId="4" borderId="0" xfId="4" applyFont="1" applyFill="1" applyAlignment="1">
      <alignment horizontal="center"/>
    </xf>
    <xf numFmtId="0" fontId="6" fillId="0" borderId="11" xfId="4" applyFont="1" applyBorder="1"/>
    <xf numFmtId="0" fontId="6" fillId="0" borderId="11" xfId="4" applyFont="1" applyBorder="1" applyAlignment="1">
      <alignment horizontal="center"/>
    </xf>
    <xf numFmtId="43" fontId="6" fillId="0" borderId="11" xfId="5" applyFont="1" applyBorder="1"/>
    <xf numFmtId="43" fontId="2" fillId="0" borderId="0" xfId="0" applyNumberFormat="1" applyFont="1"/>
    <xf numFmtId="0" fontId="2" fillId="4" borderId="0" xfId="0" applyFont="1" applyFill="1"/>
    <xf numFmtId="44" fontId="2" fillId="0" borderId="0" xfId="0" applyNumberFormat="1" applyFont="1"/>
    <xf numFmtId="44" fontId="0" fillId="4" borderId="11" xfId="0" applyNumberFormat="1" applyFill="1" applyBorder="1"/>
    <xf numFmtId="166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43" fontId="0" fillId="5" borderId="12" xfId="1" applyFont="1" applyFill="1" applyBorder="1" applyAlignment="1">
      <alignment horizontal="center" vertical="center" wrapText="1"/>
    </xf>
    <xf numFmtId="43" fontId="0" fillId="5" borderId="13" xfId="1" applyFont="1" applyFill="1" applyBorder="1" applyAlignment="1">
      <alignment horizontal="center" vertical="center" wrapText="1"/>
    </xf>
    <xf numFmtId="171" fontId="0" fillId="0" borderId="0" xfId="0" applyNumberFormat="1"/>
    <xf numFmtId="44" fontId="0" fillId="6" borderId="0" xfId="0" applyNumberFormat="1" applyFill="1"/>
    <xf numFmtId="44" fontId="0" fillId="4" borderId="0" xfId="0" applyNumberFormat="1" applyFill="1"/>
    <xf numFmtId="4" fontId="0" fillId="0" borderId="0" xfId="0" applyNumberFormat="1"/>
  </cellXfs>
  <cellStyles count="6">
    <cellStyle name="Comma 2" xfId="5" xr:uid="{E6ADD19D-BFA4-4CC7-A73D-27D7C3DBF77B}"/>
    <cellStyle name="Millares" xfId="1" builtinId="3"/>
    <cellStyle name="Moneda" xfId="2" builtinId="4"/>
    <cellStyle name="Normal" xfId="0" builtinId="0"/>
    <cellStyle name="Normal 2" xfId="4" xr:uid="{E4102E9A-F706-4BD4-A94B-ACA40666915A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Demanda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COs!$E$18:$O$18</c:f>
              <c:numCache>
                <c:formatCode>_-* #,##0_-;\-* #,##0_-;_-* "-"??_-;_-@_-</c:formatCode>
                <c:ptCount val="11"/>
                <c:pt idx="0">
                  <c:v>16000</c:v>
                </c:pt>
                <c:pt idx="1">
                  <c:v>84881</c:v>
                </c:pt>
                <c:pt idx="2">
                  <c:v>90823</c:v>
                </c:pt>
                <c:pt idx="3">
                  <c:v>97180</c:v>
                </c:pt>
                <c:pt idx="4">
                  <c:v>103981</c:v>
                </c:pt>
                <c:pt idx="5">
                  <c:v>111262</c:v>
                </c:pt>
                <c:pt idx="6">
                  <c:v>119050</c:v>
                </c:pt>
                <c:pt idx="7">
                  <c:v>127384</c:v>
                </c:pt>
                <c:pt idx="8">
                  <c:v>136824</c:v>
                </c:pt>
                <c:pt idx="9">
                  <c:v>141223</c:v>
                </c:pt>
                <c:pt idx="10">
                  <c:v>149634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9-4DAE-98D0-8301042C12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86166976"/>
        <c:axId val="1486166016"/>
      </c:barChart>
      <c:catAx>
        <c:axId val="148616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6166016"/>
        <c:crosses val="autoZero"/>
        <c:auto val="1"/>
        <c:lblAlgn val="ctr"/>
        <c:lblOffset val="100"/>
        <c:noMultiLvlLbl val="0"/>
      </c:catAx>
      <c:valAx>
        <c:axId val="1486166016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48616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Comportamiento Mensual de CO´s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COs!$C$6:$C$17</c:f>
              <c:numCache>
                <c:formatCode>_-* #,##0_-;\-* #,##0_-;_-* "-"??_-;_-@_-</c:formatCode>
                <c:ptCount val="12"/>
                <c:pt idx="0">
                  <c:v>5600</c:v>
                </c:pt>
                <c:pt idx="1">
                  <c:v>4200</c:v>
                </c:pt>
                <c:pt idx="2">
                  <c:v>3500</c:v>
                </c:pt>
                <c:pt idx="3">
                  <c:v>3500</c:v>
                </c:pt>
                <c:pt idx="4">
                  <c:v>4200</c:v>
                </c:pt>
                <c:pt idx="5">
                  <c:v>4900.0000000000009</c:v>
                </c:pt>
                <c:pt idx="6">
                  <c:v>4900.0000000000009</c:v>
                </c:pt>
                <c:pt idx="7">
                  <c:v>5600</c:v>
                </c:pt>
                <c:pt idx="8">
                  <c:v>7700</c:v>
                </c:pt>
                <c:pt idx="9">
                  <c:v>4200</c:v>
                </c:pt>
                <c:pt idx="10">
                  <c:v>9100</c:v>
                </c:pt>
                <c:pt idx="11">
                  <c:v>12600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5-4640-A688-70E6F92EB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37769664"/>
        <c:axId val="1037764384"/>
      </c:lineChart>
      <c:catAx>
        <c:axId val="1037769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7764384"/>
        <c:crosses val="autoZero"/>
        <c:auto val="1"/>
        <c:lblAlgn val="ctr"/>
        <c:lblOffset val="100"/>
        <c:noMultiLvlLbl val="0"/>
      </c:catAx>
      <c:valAx>
        <c:axId val="103776438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776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Capacidad  Vs Demanda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Capacidad!$D$16</c:f>
              <c:strCache>
                <c:ptCount val="1"/>
                <c:pt idx="0">
                  <c:v>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Capacidad!$E$16:$O$16</c:f>
              <c:numCache>
                <c:formatCode>_(* #,##0.00_);_(* \(#,##0.00\);_(* "-"??_);_(@_)</c:formatCode>
                <c:ptCount val="11"/>
                <c:pt idx="0">
                  <c:v>16000</c:v>
                </c:pt>
                <c:pt idx="1">
                  <c:v>84881</c:v>
                </c:pt>
                <c:pt idx="2">
                  <c:v>90823</c:v>
                </c:pt>
                <c:pt idx="3">
                  <c:v>97180</c:v>
                </c:pt>
                <c:pt idx="4">
                  <c:v>103981</c:v>
                </c:pt>
                <c:pt idx="5">
                  <c:v>111262</c:v>
                </c:pt>
                <c:pt idx="6">
                  <c:v>119050</c:v>
                </c:pt>
                <c:pt idx="7">
                  <c:v>127384</c:v>
                </c:pt>
                <c:pt idx="8">
                  <c:v>136824</c:v>
                </c:pt>
                <c:pt idx="9">
                  <c:v>141223</c:v>
                </c:pt>
                <c:pt idx="10">
                  <c:v>149634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96-4333-8F86-7DBCDF3D1DEE}"/>
            </c:ext>
          </c:extLst>
        </c:ser>
        <c:ser>
          <c:idx val="2"/>
          <c:order val="2"/>
          <c:tx>
            <c:strRef>
              <c:f>Capacidad!$D$17</c:f>
              <c:strCache>
                <c:ptCount val="1"/>
                <c:pt idx="0">
                  <c:v>WO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Capacidad!$E$17:$O$17</c:f>
              <c:numCache>
                <c:formatCode>_(* #,##0.00_);_(* \(#,##0.00\);_(* "-"??_);_(@_)</c:formatCode>
                <c:ptCount val="11"/>
                <c:pt idx="0">
                  <c:v>20000</c:v>
                </c:pt>
                <c:pt idx="1">
                  <c:v>99860</c:v>
                </c:pt>
                <c:pt idx="2">
                  <c:v>100914.44444444444</c:v>
                </c:pt>
                <c:pt idx="3">
                  <c:v>107977.77777777778</c:v>
                </c:pt>
                <c:pt idx="4">
                  <c:v>115534.44444444444</c:v>
                </c:pt>
                <c:pt idx="5">
                  <c:v>123624.44444444444</c:v>
                </c:pt>
                <c:pt idx="6">
                  <c:v>132277.77777777778</c:v>
                </c:pt>
                <c:pt idx="7">
                  <c:v>141537.77777777778</c:v>
                </c:pt>
                <c:pt idx="8">
                  <c:v>152026.66666666666</c:v>
                </c:pt>
                <c:pt idx="9">
                  <c:v>156914.44444444444</c:v>
                </c:pt>
                <c:pt idx="10">
                  <c:v>166260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96-4333-8F86-7DBCDF3D1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8"/>
        <c:overlap val="-27"/>
        <c:axId val="1576788752"/>
        <c:axId val="1576789712"/>
      </c:barChart>
      <c:lineChart>
        <c:grouping val="standard"/>
        <c:varyColors val="0"/>
        <c:ser>
          <c:idx val="0"/>
          <c:order val="0"/>
          <c:tx>
            <c:strRef>
              <c:f>Capacidad!$D$12</c:f>
              <c:strCache>
                <c:ptCount val="1"/>
                <c:pt idx="0">
                  <c:v>Anual Capacity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Capacidad!$E$12:$O$12</c:f>
              <c:numCache>
                <c:formatCode>_-* #,##0_-;\-* #,##0_-;_-* "-"??_-;_-@_-</c:formatCode>
                <c:ptCount val="11"/>
                <c:pt idx="0">
                  <c:v>30857.142857142855</c:v>
                </c:pt>
                <c:pt idx="1">
                  <c:v>162000</c:v>
                </c:pt>
                <c:pt idx="2">
                  <c:v>162000</c:v>
                </c:pt>
                <c:pt idx="3">
                  <c:v>162000</c:v>
                </c:pt>
                <c:pt idx="4">
                  <c:v>324000</c:v>
                </c:pt>
                <c:pt idx="5">
                  <c:v>162000</c:v>
                </c:pt>
                <c:pt idx="6">
                  <c:v>162000</c:v>
                </c:pt>
                <c:pt idx="7">
                  <c:v>162000</c:v>
                </c:pt>
                <c:pt idx="8">
                  <c:v>194400</c:v>
                </c:pt>
                <c:pt idx="9">
                  <c:v>194400</c:v>
                </c:pt>
                <c:pt idx="10">
                  <c:v>194400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6-4333-8F86-7DBCDF3D1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788752"/>
        <c:axId val="1576789712"/>
      </c:lineChart>
      <c:catAx>
        <c:axId val="1576788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6789712"/>
        <c:crosses val="autoZero"/>
        <c:auto val="1"/>
        <c:lblAlgn val="ctr"/>
        <c:lblOffset val="100"/>
        <c:noMultiLvlLbl val="0"/>
      </c:catAx>
      <c:valAx>
        <c:axId val="15767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678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Salarios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Egresos!$A$151</c:f>
              <c:strCache>
                <c:ptCount val="1"/>
                <c:pt idx="0">
                  <c:v>Mano de Obra Directa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Egresos!$B$150:$L$150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Egresos!$B$151:$L$151</c:f>
              <c:numCache>
                <c:formatCode>_("$"* #,##0.00_);_("$"* \(#,##0.00\);_("$"* "-"??_);_(@_)</c:formatCode>
                <c:ptCount val="11"/>
                <c:pt idx="0">
                  <c:v>5359707.6263999995</c:v>
                </c:pt>
                <c:pt idx="1">
                  <c:v>5541937.6856975993</c:v>
                </c:pt>
                <c:pt idx="2">
                  <c:v>5730363.5670113182</c:v>
                </c:pt>
                <c:pt idx="3">
                  <c:v>5925195.9282897031</c:v>
                </c:pt>
                <c:pt idx="4">
                  <c:v>6126652.5898515536</c:v>
                </c:pt>
                <c:pt idx="5">
                  <c:v>6334958.7779065063</c:v>
                </c:pt>
                <c:pt idx="6">
                  <c:v>6550347.3763553277</c:v>
                </c:pt>
                <c:pt idx="7">
                  <c:v>6773059.1871514088</c:v>
                </c:pt>
                <c:pt idx="8">
                  <c:v>7003343.1995145567</c:v>
                </c:pt>
                <c:pt idx="9">
                  <c:v>7241456.8682980519</c:v>
                </c:pt>
                <c:pt idx="10">
                  <c:v>7487666.4018201856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A-4E34-86F0-FFD9DD7EF9A7}"/>
            </c:ext>
          </c:extLst>
        </c:ser>
        <c:ser>
          <c:idx val="1"/>
          <c:order val="1"/>
          <c:tx>
            <c:strRef>
              <c:f>Egresos!$A$152</c:f>
              <c:strCache>
                <c:ptCount val="1"/>
                <c:pt idx="0">
                  <c:v>Mano de Obra Indirecta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Egresos!$B$150:$L$150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Egresos!$B$152:$L$152</c:f>
              <c:numCache>
                <c:formatCode>_("$"* #,##0.00_);_("$"* \(#,##0.00\);_("$"* "-"??_);_(@_)</c:formatCode>
                <c:ptCount val="11"/>
                <c:pt idx="0">
                  <c:v>1742780.7478</c:v>
                </c:pt>
                <c:pt idx="1">
                  <c:v>1802035.2932252001</c:v>
                </c:pt>
                <c:pt idx="2">
                  <c:v>1863304.4931948569</c:v>
                </c:pt>
                <c:pt idx="3">
                  <c:v>1926656.845963482</c:v>
                </c:pt>
                <c:pt idx="4">
                  <c:v>1992163.1787262405</c:v>
                </c:pt>
                <c:pt idx="5">
                  <c:v>2059896.7268029328</c:v>
                </c:pt>
                <c:pt idx="6">
                  <c:v>2129933.2155142324</c:v>
                </c:pt>
                <c:pt idx="7">
                  <c:v>2202350.9448417164</c:v>
                </c:pt>
                <c:pt idx="8">
                  <c:v>2277230.8769663349</c:v>
                </c:pt>
                <c:pt idx="9">
                  <c:v>2354656.7267831904</c:v>
                </c:pt>
                <c:pt idx="10">
                  <c:v>2434715.0554938191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AA-4E34-86F0-FFD9DD7EF9A7}"/>
            </c:ext>
          </c:extLst>
        </c:ser>
        <c:ser>
          <c:idx val="2"/>
          <c:order val="2"/>
          <c:tx>
            <c:strRef>
              <c:f>Egresos!$A$153</c:f>
              <c:strCache>
                <c:ptCount val="1"/>
                <c:pt idx="0">
                  <c:v>Salarios Ingeniería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Egresos!$B$150:$L$150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Egresos!$B$153:$L$153</c:f>
              <c:numCache>
                <c:formatCode>_("$"* #,##0.00_);_("$"* \(#,##0.00\);_("$"* "-"??_);_(@_)</c:formatCode>
                <c:ptCount val="11"/>
                <c:pt idx="0">
                  <c:v>2005511.5138000003</c:v>
                </c:pt>
                <c:pt idx="1">
                  <c:v>2073698.9052692004</c:v>
                </c:pt>
                <c:pt idx="2">
                  <c:v>2144204.6680483534</c:v>
                </c:pt>
                <c:pt idx="3">
                  <c:v>2217107.6267619976</c:v>
                </c:pt>
                <c:pt idx="4">
                  <c:v>2292489.2860719054</c:v>
                </c:pt>
                <c:pt idx="5">
                  <c:v>2370433.9217983503</c:v>
                </c:pt>
                <c:pt idx="6">
                  <c:v>2451028.6751394942</c:v>
                </c:pt>
                <c:pt idx="7">
                  <c:v>2534363.6500942372</c:v>
                </c:pt>
                <c:pt idx="8">
                  <c:v>2620532.0141974413</c:v>
                </c:pt>
                <c:pt idx="9">
                  <c:v>2709630.1026801541</c:v>
                </c:pt>
                <c:pt idx="10">
                  <c:v>2801757.5261712796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AA-4E34-86F0-FFD9DD7EF9A7}"/>
            </c:ext>
          </c:extLst>
        </c:ser>
        <c:ser>
          <c:idx val="3"/>
          <c:order val="3"/>
          <c:tx>
            <c:strRef>
              <c:f>Egresos!$A$154</c:f>
              <c:strCache>
                <c:ptCount val="1"/>
                <c:pt idx="0">
                  <c:v>Salarios Administrativos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Egresos!$B$150:$L$150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Egresos!$B$154:$L$154</c:f>
              <c:numCache>
                <c:formatCode>_("$"* #,##0.00_);_("$"* \(#,##0.00\);_("$"* "-"??_);_(@_)</c:formatCode>
                <c:ptCount val="11"/>
                <c:pt idx="0">
                  <c:v>7794346.0579999993</c:v>
                </c:pt>
                <c:pt idx="1">
                  <c:v>8059353.8239719998</c:v>
                </c:pt>
                <c:pt idx="2">
                  <c:v>8333371.8539870484</c:v>
                </c:pt>
                <c:pt idx="3">
                  <c:v>8616706.4970226083</c:v>
                </c:pt>
                <c:pt idx="4">
                  <c:v>8909674.517921377</c:v>
                </c:pt>
                <c:pt idx="5">
                  <c:v>9212603.4515307043</c:v>
                </c:pt>
                <c:pt idx="6">
                  <c:v>9525831.9688827489</c:v>
                </c:pt>
                <c:pt idx="7">
                  <c:v>9849710.2558247633</c:v>
                </c:pt>
                <c:pt idx="8">
                  <c:v>10184600.404522806</c:v>
                </c:pt>
                <c:pt idx="9">
                  <c:v>10530876.818276582</c:v>
                </c:pt>
                <c:pt idx="10">
                  <c:v>10888926.630097987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AA-4E34-86F0-FFD9DD7E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7457248"/>
        <c:axId val="1487456768"/>
      </c:barChart>
      <c:catAx>
        <c:axId val="148745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7456768"/>
        <c:crosses val="autoZero"/>
        <c:auto val="1"/>
        <c:lblAlgn val="ctr"/>
        <c:lblOffset val="100"/>
        <c:noMultiLvlLbl val="0"/>
      </c:catAx>
      <c:valAx>
        <c:axId val="148745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745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Punto de Equilibrio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1644225721784774"/>
          <c:y val="0.14393518518518519"/>
          <c:w val="0.74744663167104108"/>
          <c:h val="0.60287802566345872"/>
        </c:manualLayout>
      </c:layout>
      <c:lineChart>
        <c:grouping val="standard"/>
        <c:varyColors val="0"/>
        <c:ser>
          <c:idx val="0"/>
          <c:order val="0"/>
          <c:tx>
            <c:strRef>
              <c:f>'Estado R'!$B$64</c:f>
              <c:strCache>
                <c:ptCount val="1"/>
                <c:pt idx="0">
                  <c:v>Costo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'Estado R'!$B$65:$B$205</c:f>
              <c:numCache>
                <c:formatCode>_("$"* #,##0.00_);_("$"* \(#,##0.00\);_("$"* "-"??_);_(@_)</c:formatCode>
                <c:ptCount val="141"/>
                <c:pt idx="0">
                  <c:v>31708400.349206399</c:v>
                </c:pt>
                <c:pt idx="1">
                  <c:v>34902908.039866403</c:v>
                </c:pt>
                <c:pt idx="2">
                  <c:v>38097415.730526403</c:v>
                </c:pt>
                <c:pt idx="3">
                  <c:v>41291923.421186402</c:v>
                </c:pt>
                <c:pt idx="4">
                  <c:v>44486431.111846402</c:v>
                </c:pt>
                <c:pt idx="5">
                  <c:v>47680938.802506402</c:v>
                </c:pt>
                <c:pt idx="6">
                  <c:v>50875446.493166402</c:v>
                </c:pt>
                <c:pt idx="7">
                  <c:v>54069954.183826402</c:v>
                </c:pt>
                <c:pt idx="8">
                  <c:v>57264461.874486402</c:v>
                </c:pt>
                <c:pt idx="9">
                  <c:v>60458969.565146402</c:v>
                </c:pt>
                <c:pt idx="10">
                  <c:v>63653477.255806401</c:v>
                </c:pt>
                <c:pt idx="11">
                  <c:v>66847984.946466401</c:v>
                </c:pt>
                <c:pt idx="12">
                  <c:v>70042492.637126401</c:v>
                </c:pt>
                <c:pt idx="13">
                  <c:v>73237000.327786401</c:v>
                </c:pt>
                <c:pt idx="14">
                  <c:v>76431508.018446401</c:v>
                </c:pt>
                <c:pt idx="15">
                  <c:v>79626015.709106401</c:v>
                </c:pt>
                <c:pt idx="16">
                  <c:v>82820523.3997664</c:v>
                </c:pt>
                <c:pt idx="17">
                  <c:v>86015031.0904264</c:v>
                </c:pt>
                <c:pt idx="18">
                  <c:v>89209538.7810864</c:v>
                </c:pt>
                <c:pt idx="19">
                  <c:v>92404046.4717464</c:v>
                </c:pt>
                <c:pt idx="20">
                  <c:v>95598554.1624064</c:v>
                </c:pt>
                <c:pt idx="21">
                  <c:v>98793061.8530664</c:v>
                </c:pt>
                <c:pt idx="22">
                  <c:v>101987569.5437264</c:v>
                </c:pt>
                <c:pt idx="23">
                  <c:v>105182077.2343864</c:v>
                </c:pt>
                <c:pt idx="24">
                  <c:v>108376584.9250464</c:v>
                </c:pt>
                <c:pt idx="25">
                  <c:v>111571092.6157064</c:v>
                </c:pt>
                <c:pt idx="26">
                  <c:v>114765600.3063664</c:v>
                </c:pt>
                <c:pt idx="27">
                  <c:v>117960107.9970264</c:v>
                </c:pt>
                <c:pt idx="28">
                  <c:v>121154615.6876864</c:v>
                </c:pt>
                <c:pt idx="29">
                  <c:v>124349123.3783464</c:v>
                </c:pt>
                <c:pt idx="30">
                  <c:v>127543631.0690064</c:v>
                </c:pt>
                <c:pt idx="31">
                  <c:v>130738138.7596664</c:v>
                </c:pt>
                <c:pt idx="32">
                  <c:v>133932646.4503264</c:v>
                </c:pt>
                <c:pt idx="33">
                  <c:v>137127154.14098638</c:v>
                </c:pt>
                <c:pt idx="34">
                  <c:v>140321661.83164638</c:v>
                </c:pt>
                <c:pt idx="35">
                  <c:v>143516169.52230638</c:v>
                </c:pt>
                <c:pt idx="36">
                  <c:v>146710677.21296638</c:v>
                </c:pt>
                <c:pt idx="37">
                  <c:v>149905184.90362638</c:v>
                </c:pt>
                <c:pt idx="38">
                  <c:v>153099692.59428638</c:v>
                </c:pt>
                <c:pt idx="39">
                  <c:v>156294200.28494638</c:v>
                </c:pt>
                <c:pt idx="40">
                  <c:v>159488707.97560638</c:v>
                </c:pt>
                <c:pt idx="41">
                  <c:v>162683215.66626638</c:v>
                </c:pt>
                <c:pt idx="42">
                  <c:v>165877723.35692638</c:v>
                </c:pt>
                <c:pt idx="43">
                  <c:v>169072231.04758638</c:v>
                </c:pt>
                <c:pt idx="44">
                  <c:v>172266738.73824638</c:v>
                </c:pt>
                <c:pt idx="45">
                  <c:v>175461246.42890638</c:v>
                </c:pt>
                <c:pt idx="46">
                  <c:v>178655754.11956638</c:v>
                </c:pt>
                <c:pt idx="47">
                  <c:v>181850261.81022638</c:v>
                </c:pt>
                <c:pt idx="48">
                  <c:v>185044769.50088638</c:v>
                </c:pt>
                <c:pt idx="49">
                  <c:v>188239277.19154638</c:v>
                </c:pt>
                <c:pt idx="50">
                  <c:v>191433784.88220638</c:v>
                </c:pt>
                <c:pt idx="51">
                  <c:v>194628292.57286638</c:v>
                </c:pt>
                <c:pt idx="52">
                  <c:v>197822800.26352638</c:v>
                </c:pt>
                <c:pt idx="53">
                  <c:v>201017307.95418638</c:v>
                </c:pt>
                <c:pt idx="54">
                  <c:v>204211815.64484638</c:v>
                </c:pt>
                <c:pt idx="55">
                  <c:v>207406323.33550638</c:v>
                </c:pt>
                <c:pt idx="56">
                  <c:v>210600831.02616638</c:v>
                </c:pt>
                <c:pt idx="57">
                  <c:v>213795338.71682638</c:v>
                </c:pt>
                <c:pt idx="58">
                  <c:v>216989846.40748638</c:v>
                </c:pt>
                <c:pt idx="59">
                  <c:v>220184354.09814638</c:v>
                </c:pt>
                <c:pt idx="60">
                  <c:v>223378861.78880638</c:v>
                </c:pt>
                <c:pt idx="61">
                  <c:v>226573369.47946638</c:v>
                </c:pt>
                <c:pt idx="62">
                  <c:v>229767877.17012638</c:v>
                </c:pt>
                <c:pt idx="63">
                  <c:v>232962384.86078638</c:v>
                </c:pt>
                <c:pt idx="64">
                  <c:v>236156892.55144638</c:v>
                </c:pt>
                <c:pt idx="65">
                  <c:v>239351400.24210638</c:v>
                </c:pt>
                <c:pt idx="66">
                  <c:v>242545907.93276638</c:v>
                </c:pt>
                <c:pt idx="67">
                  <c:v>245740415.62342638</c:v>
                </c:pt>
                <c:pt idx="68">
                  <c:v>248934923.31408638</c:v>
                </c:pt>
                <c:pt idx="69">
                  <c:v>252129431.00474638</c:v>
                </c:pt>
                <c:pt idx="70">
                  <c:v>255323938.69540638</c:v>
                </c:pt>
                <c:pt idx="71">
                  <c:v>258518446.38606638</c:v>
                </c:pt>
                <c:pt idx="72">
                  <c:v>261712954.07672638</c:v>
                </c:pt>
                <c:pt idx="73">
                  <c:v>264907461.76738638</c:v>
                </c:pt>
                <c:pt idx="74">
                  <c:v>268101969.45804638</c:v>
                </c:pt>
                <c:pt idx="75">
                  <c:v>271296477.14870638</c:v>
                </c:pt>
                <c:pt idx="76">
                  <c:v>274490984.83936638</c:v>
                </c:pt>
                <c:pt idx="77">
                  <c:v>277685492.53002638</c:v>
                </c:pt>
                <c:pt idx="78">
                  <c:v>280880000.22068638</c:v>
                </c:pt>
                <c:pt idx="79">
                  <c:v>284074507.91134638</c:v>
                </c:pt>
                <c:pt idx="80">
                  <c:v>287269015.60200638</c:v>
                </c:pt>
                <c:pt idx="81">
                  <c:v>290463523.29266638</c:v>
                </c:pt>
                <c:pt idx="82">
                  <c:v>293658030.98332638</c:v>
                </c:pt>
                <c:pt idx="83">
                  <c:v>296852538.67398638</c:v>
                </c:pt>
                <c:pt idx="84">
                  <c:v>300047046.36464638</c:v>
                </c:pt>
                <c:pt idx="85">
                  <c:v>303241554.05530638</c:v>
                </c:pt>
                <c:pt idx="86">
                  <c:v>306436061.74596637</c:v>
                </c:pt>
                <c:pt idx="87">
                  <c:v>309630569.43662637</c:v>
                </c:pt>
                <c:pt idx="88">
                  <c:v>312825077.12728637</c:v>
                </c:pt>
                <c:pt idx="89">
                  <c:v>316019584.81794637</c:v>
                </c:pt>
                <c:pt idx="90">
                  <c:v>319214092.50860637</c:v>
                </c:pt>
                <c:pt idx="91">
                  <c:v>322408600.19926637</c:v>
                </c:pt>
                <c:pt idx="92">
                  <c:v>325603107.88992637</c:v>
                </c:pt>
                <c:pt idx="93">
                  <c:v>328797615.58058637</c:v>
                </c:pt>
                <c:pt idx="94">
                  <c:v>331992123.27124637</c:v>
                </c:pt>
                <c:pt idx="95">
                  <c:v>335186630.96190637</c:v>
                </c:pt>
                <c:pt idx="96">
                  <c:v>338381138.65256637</c:v>
                </c:pt>
                <c:pt idx="97">
                  <c:v>341575646.34322637</c:v>
                </c:pt>
                <c:pt idx="98">
                  <c:v>344770154.03388637</c:v>
                </c:pt>
                <c:pt idx="99">
                  <c:v>347964661.72454637</c:v>
                </c:pt>
                <c:pt idx="100">
                  <c:v>351159169.41520637</c:v>
                </c:pt>
                <c:pt idx="101">
                  <c:v>354353677.10586637</c:v>
                </c:pt>
                <c:pt idx="102">
                  <c:v>357548184.79652637</c:v>
                </c:pt>
                <c:pt idx="103">
                  <c:v>360742692.48718637</c:v>
                </c:pt>
                <c:pt idx="104">
                  <c:v>363937200.17784637</c:v>
                </c:pt>
                <c:pt idx="105">
                  <c:v>367131707.86850637</c:v>
                </c:pt>
                <c:pt idx="106">
                  <c:v>370326215.55916637</c:v>
                </c:pt>
                <c:pt idx="107">
                  <c:v>373520723.24982637</c:v>
                </c:pt>
                <c:pt idx="108">
                  <c:v>376715230.94048637</c:v>
                </c:pt>
                <c:pt idx="109">
                  <c:v>379909738.63114637</c:v>
                </c:pt>
                <c:pt idx="110">
                  <c:v>383104246.32180637</c:v>
                </c:pt>
                <c:pt idx="111">
                  <c:v>386298754.01246637</c:v>
                </c:pt>
                <c:pt idx="112">
                  <c:v>389493261.70312637</c:v>
                </c:pt>
                <c:pt idx="113">
                  <c:v>392687769.39378637</c:v>
                </c:pt>
                <c:pt idx="114">
                  <c:v>395882277.08444637</c:v>
                </c:pt>
                <c:pt idx="115">
                  <c:v>399076784.77510637</c:v>
                </c:pt>
                <c:pt idx="116">
                  <c:v>402271292.46576637</c:v>
                </c:pt>
                <c:pt idx="117">
                  <c:v>405465800.15642637</c:v>
                </c:pt>
                <c:pt idx="118">
                  <c:v>408660307.84708637</c:v>
                </c:pt>
                <c:pt idx="119">
                  <c:v>411854815.53774637</c:v>
                </c:pt>
                <c:pt idx="120">
                  <c:v>415049323.22840637</c:v>
                </c:pt>
                <c:pt idx="121">
                  <c:v>418243830.91906637</c:v>
                </c:pt>
                <c:pt idx="122">
                  <c:v>421438338.60972637</c:v>
                </c:pt>
                <c:pt idx="123">
                  <c:v>424632846.30038637</c:v>
                </c:pt>
                <c:pt idx="124">
                  <c:v>427827353.99104637</c:v>
                </c:pt>
                <c:pt idx="125">
                  <c:v>431021861.68170637</c:v>
                </c:pt>
                <c:pt idx="126">
                  <c:v>434216369.37236637</c:v>
                </c:pt>
                <c:pt idx="127">
                  <c:v>437410877.06302637</c:v>
                </c:pt>
                <c:pt idx="128">
                  <c:v>440605384.75368637</c:v>
                </c:pt>
                <c:pt idx="129">
                  <c:v>443799892.44434637</c:v>
                </c:pt>
                <c:pt idx="130">
                  <c:v>446994400.13500637</c:v>
                </c:pt>
                <c:pt idx="131">
                  <c:v>450188907.82566637</c:v>
                </c:pt>
                <c:pt idx="132">
                  <c:v>453383415.51632637</c:v>
                </c:pt>
                <c:pt idx="133">
                  <c:v>456577923.20698637</c:v>
                </c:pt>
                <c:pt idx="134">
                  <c:v>459772430.89764637</c:v>
                </c:pt>
                <c:pt idx="135">
                  <c:v>462966938.58830637</c:v>
                </c:pt>
                <c:pt idx="136">
                  <c:v>466161446.27896637</c:v>
                </c:pt>
                <c:pt idx="137">
                  <c:v>469355953.96962637</c:v>
                </c:pt>
                <c:pt idx="138">
                  <c:v>472550461.66028637</c:v>
                </c:pt>
                <c:pt idx="139">
                  <c:v>475744969.35094637</c:v>
                </c:pt>
                <c:pt idx="140">
                  <c:v>478939477.04160637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FC2-9B7E-3D531930287D}"/>
            </c:ext>
          </c:extLst>
        </c:ser>
        <c:ser>
          <c:idx val="1"/>
          <c:order val="1"/>
          <c:tx>
            <c:strRef>
              <c:f>'Estado R'!$C$64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'Estado R'!$C$65:$C$205</c:f>
              <c:numCache>
                <c:formatCode>_("$"* #,##0.00_);_("$"* \(#,##0.00\);_("$"* "-"??_);_(@_)</c:formatCode>
                <c:ptCount val="141"/>
                <c:pt idx="0">
                  <c:v>0</c:v>
                </c:pt>
                <c:pt idx="1">
                  <c:v>3850000</c:v>
                </c:pt>
                <c:pt idx="2">
                  <c:v>7700000</c:v>
                </c:pt>
                <c:pt idx="3">
                  <c:v>11550000</c:v>
                </c:pt>
                <c:pt idx="4">
                  <c:v>15400000</c:v>
                </c:pt>
                <c:pt idx="5">
                  <c:v>19250000</c:v>
                </c:pt>
                <c:pt idx="6">
                  <c:v>23100000</c:v>
                </c:pt>
                <c:pt idx="7">
                  <c:v>26950000</c:v>
                </c:pt>
                <c:pt idx="8">
                  <c:v>30800000</c:v>
                </c:pt>
                <c:pt idx="9">
                  <c:v>34650000</c:v>
                </c:pt>
                <c:pt idx="10">
                  <c:v>38500000</c:v>
                </c:pt>
                <c:pt idx="11">
                  <c:v>42350000</c:v>
                </c:pt>
                <c:pt idx="12">
                  <c:v>46200000</c:v>
                </c:pt>
                <c:pt idx="13">
                  <c:v>50050000</c:v>
                </c:pt>
                <c:pt idx="14">
                  <c:v>53900000</c:v>
                </c:pt>
                <c:pt idx="15">
                  <c:v>57750000</c:v>
                </c:pt>
                <c:pt idx="16">
                  <c:v>61600000</c:v>
                </c:pt>
                <c:pt idx="17">
                  <c:v>65450000</c:v>
                </c:pt>
                <c:pt idx="18">
                  <c:v>69300000</c:v>
                </c:pt>
                <c:pt idx="19">
                  <c:v>73150000</c:v>
                </c:pt>
                <c:pt idx="20">
                  <c:v>77000000</c:v>
                </c:pt>
                <c:pt idx="21">
                  <c:v>80850000</c:v>
                </c:pt>
                <c:pt idx="22">
                  <c:v>84700000</c:v>
                </c:pt>
                <c:pt idx="23">
                  <c:v>88550000</c:v>
                </c:pt>
                <c:pt idx="24">
                  <c:v>92400000</c:v>
                </c:pt>
                <c:pt idx="25">
                  <c:v>96250000</c:v>
                </c:pt>
                <c:pt idx="26">
                  <c:v>100100000</c:v>
                </c:pt>
                <c:pt idx="27">
                  <c:v>103950000</c:v>
                </c:pt>
                <c:pt idx="28">
                  <c:v>107800000</c:v>
                </c:pt>
                <c:pt idx="29">
                  <c:v>111650000</c:v>
                </c:pt>
                <c:pt idx="30">
                  <c:v>115500000</c:v>
                </c:pt>
                <c:pt idx="31">
                  <c:v>119350000</c:v>
                </c:pt>
                <c:pt idx="32">
                  <c:v>123200000</c:v>
                </c:pt>
                <c:pt idx="33">
                  <c:v>127050000</c:v>
                </c:pt>
                <c:pt idx="34">
                  <c:v>130900000</c:v>
                </c:pt>
                <c:pt idx="35">
                  <c:v>134750000</c:v>
                </c:pt>
                <c:pt idx="36">
                  <c:v>138600000</c:v>
                </c:pt>
                <c:pt idx="37">
                  <c:v>142450000</c:v>
                </c:pt>
                <c:pt idx="38">
                  <c:v>146300000</c:v>
                </c:pt>
                <c:pt idx="39">
                  <c:v>150150000</c:v>
                </c:pt>
                <c:pt idx="40">
                  <c:v>154000000</c:v>
                </c:pt>
                <c:pt idx="41">
                  <c:v>157850000</c:v>
                </c:pt>
                <c:pt idx="42">
                  <c:v>161700000</c:v>
                </c:pt>
                <c:pt idx="43">
                  <c:v>165550000</c:v>
                </c:pt>
                <c:pt idx="44">
                  <c:v>169400000</c:v>
                </c:pt>
                <c:pt idx="45">
                  <c:v>173250000</c:v>
                </c:pt>
                <c:pt idx="46">
                  <c:v>177100000</c:v>
                </c:pt>
                <c:pt idx="47">
                  <c:v>180950000</c:v>
                </c:pt>
                <c:pt idx="48">
                  <c:v>184800000</c:v>
                </c:pt>
                <c:pt idx="49">
                  <c:v>188650000</c:v>
                </c:pt>
                <c:pt idx="50">
                  <c:v>192500000</c:v>
                </c:pt>
                <c:pt idx="51">
                  <c:v>196350000</c:v>
                </c:pt>
                <c:pt idx="52">
                  <c:v>200200000</c:v>
                </c:pt>
                <c:pt idx="53">
                  <c:v>204050000</c:v>
                </c:pt>
                <c:pt idx="54">
                  <c:v>207900000</c:v>
                </c:pt>
                <c:pt idx="55">
                  <c:v>211750000</c:v>
                </c:pt>
                <c:pt idx="56">
                  <c:v>215600000</c:v>
                </c:pt>
                <c:pt idx="57">
                  <c:v>219450000</c:v>
                </c:pt>
                <c:pt idx="58">
                  <c:v>223300000</c:v>
                </c:pt>
                <c:pt idx="59">
                  <c:v>227150000</c:v>
                </c:pt>
                <c:pt idx="60">
                  <c:v>231000000</c:v>
                </c:pt>
                <c:pt idx="61">
                  <c:v>234850000</c:v>
                </c:pt>
                <c:pt idx="62">
                  <c:v>238700000</c:v>
                </c:pt>
                <c:pt idx="63">
                  <c:v>242550000</c:v>
                </c:pt>
                <c:pt idx="64">
                  <c:v>246400000</c:v>
                </c:pt>
                <c:pt idx="65">
                  <c:v>250250000</c:v>
                </c:pt>
                <c:pt idx="66">
                  <c:v>254100000</c:v>
                </c:pt>
                <c:pt idx="67">
                  <c:v>257950000</c:v>
                </c:pt>
                <c:pt idx="68">
                  <c:v>261800000</c:v>
                </c:pt>
                <c:pt idx="69">
                  <c:v>265650000</c:v>
                </c:pt>
                <c:pt idx="70">
                  <c:v>269500000</c:v>
                </c:pt>
                <c:pt idx="71">
                  <c:v>273350000</c:v>
                </c:pt>
                <c:pt idx="72">
                  <c:v>277200000</c:v>
                </c:pt>
                <c:pt idx="73">
                  <c:v>281050000</c:v>
                </c:pt>
                <c:pt idx="74">
                  <c:v>284900000</c:v>
                </c:pt>
                <c:pt idx="75">
                  <c:v>288750000</c:v>
                </c:pt>
                <c:pt idx="76">
                  <c:v>292600000</c:v>
                </c:pt>
                <c:pt idx="77">
                  <c:v>296450000</c:v>
                </c:pt>
                <c:pt idx="78">
                  <c:v>300300000</c:v>
                </c:pt>
                <c:pt idx="79">
                  <c:v>304150000</c:v>
                </c:pt>
                <c:pt idx="80">
                  <c:v>308000000</c:v>
                </c:pt>
                <c:pt idx="81">
                  <c:v>311850000</c:v>
                </c:pt>
                <c:pt idx="82">
                  <c:v>315700000</c:v>
                </c:pt>
                <c:pt idx="83">
                  <c:v>319550000</c:v>
                </c:pt>
                <c:pt idx="84">
                  <c:v>323400000</c:v>
                </c:pt>
                <c:pt idx="85">
                  <c:v>327250000</c:v>
                </c:pt>
                <c:pt idx="86">
                  <c:v>331100000</c:v>
                </c:pt>
                <c:pt idx="87">
                  <c:v>334950000</c:v>
                </c:pt>
                <c:pt idx="88">
                  <c:v>338800000</c:v>
                </c:pt>
                <c:pt idx="89">
                  <c:v>342650000</c:v>
                </c:pt>
                <c:pt idx="90">
                  <c:v>346500000</c:v>
                </c:pt>
                <c:pt idx="91">
                  <c:v>350350000</c:v>
                </c:pt>
                <c:pt idx="92">
                  <c:v>354200000</c:v>
                </c:pt>
                <c:pt idx="93">
                  <c:v>358050000</c:v>
                </c:pt>
                <c:pt idx="94">
                  <c:v>361900000</c:v>
                </c:pt>
                <c:pt idx="95">
                  <c:v>365750000</c:v>
                </c:pt>
                <c:pt idx="96">
                  <c:v>369600000</c:v>
                </c:pt>
                <c:pt idx="97">
                  <c:v>373450000</c:v>
                </c:pt>
                <c:pt idx="98">
                  <c:v>377300000</c:v>
                </c:pt>
                <c:pt idx="99">
                  <c:v>381150000</c:v>
                </c:pt>
                <c:pt idx="100">
                  <c:v>385000000</c:v>
                </c:pt>
                <c:pt idx="101">
                  <c:v>388850000</c:v>
                </c:pt>
                <c:pt idx="102">
                  <c:v>392700000</c:v>
                </c:pt>
                <c:pt idx="103">
                  <c:v>396550000</c:v>
                </c:pt>
                <c:pt idx="104">
                  <c:v>400400000</c:v>
                </c:pt>
                <c:pt idx="105">
                  <c:v>404250000</c:v>
                </c:pt>
                <c:pt idx="106">
                  <c:v>408100000</c:v>
                </c:pt>
                <c:pt idx="107">
                  <c:v>411950000</c:v>
                </c:pt>
                <c:pt idx="108">
                  <c:v>415800000</c:v>
                </c:pt>
                <c:pt idx="109">
                  <c:v>419650000</c:v>
                </c:pt>
                <c:pt idx="110">
                  <c:v>423500000</c:v>
                </c:pt>
                <c:pt idx="111">
                  <c:v>427350000</c:v>
                </c:pt>
                <c:pt idx="112">
                  <c:v>431200000</c:v>
                </c:pt>
                <c:pt idx="113">
                  <c:v>435050000</c:v>
                </c:pt>
                <c:pt idx="114">
                  <c:v>438900000</c:v>
                </c:pt>
                <c:pt idx="115">
                  <c:v>442750000</c:v>
                </c:pt>
                <c:pt idx="116">
                  <c:v>446600000</c:v>
                </c:pt>
                <c:pt idx="117">
                  <c:v>450450000</c:v>
                </c:pt>
                <c:pt idx="118">
                  <c:v>454300000</c:v>
                </c:pt>
                <c:pt idx="119">
                  <c:v>458150000</c:v>
                </c:pt>
                <c:pt idx="120">
                  <c:v>462000000</c:v>
                </c:pt>
                <c:pt idx="121">
                  <c:v>465850000</c:v>
                </c:pt>
                <c:pt idx="122">
                  <c:v>469700000</c:v>
                </c:pt>
                <c:pt idx="123">
                  <c:v>473550000</c:v>
                </c:pt>
                <c:pt idx="124">
                  <c:v>477400000</c:v>
                </c:pt>
                <c:pt idx="125">
                  <c:v>481250000</c:v>
                </c:pt>
                <c:pt idx="126">
                  <c:v>485100000</c:v>
                </c:pt>
                <c:pt idx="127">
                  <c:v>488950000</c:v>
                </c:pt>
                <c:pt idx="128">
                  <c:v>492800000</c:v>
                </c:pt>
                <c:pt idx="129">
                  <c:v>496650000</c:v>
                </c:pt>
                <c:pt idx="130">
                  <c:v>500500000</c:v>
                </c:pt>
                <c:pt idx="131">
                  <c:v>504350000</c:v>
                </c:pt>
                <c:pt idx="132">
                  <c:v>508200000</c:v>
                </c:pt>
                <c:pt idx="133">
                  <c:v>512050000</c:v>
                </c:pt>
                <c:pt idx="134">
                  <c:v>515900000</c:v>
                </c:pt>
                <c:pt idx="135">
                  <c:v>519750000</c:v>
                </c:pt>
                <c:pt idx="136">
                  <c:v>523600000</c:v>
                </c:pt>
                <c:pt idx="137">
                  <c:v>527450000</c:v>
                </c:pt>
                <c:pt idx="138">
                  <c:v>531300000</c:v>
                </c:pt>
                <c:pt idx="139">
                  <c:v>535150000</c:v>
                </c:pt>
                <c:pt idx="140">
                  <c:v>539000000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8-4FC2-9B7E-3D531930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4492543"/>
        <c:axId val="1314495903"/>
      </c:lineChart>
      <c:catAx>
        <c:axId val="131449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4495903"/>
        <c:crosses val="autoZero"/>
        <c:auto val="1"/>
        <c:lblAlgn val="ctr"/>
        <c:lblOffset val="100"/>
        <c:noMultiLvlLbl val="0"/>
      </c:catAx>
      <c:valAx>
        <c:axId val="131449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449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Flujo!$A$34</c:f>
              <c:strCache>
                <c:ptCount val="1"/>
                <c:pt idx="0">
                  <c:v>Flujo Neto de efectivo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Flujo!$B$34:$L$34</c:f>
              <c:numCache>
                <c:formatCode>#,##0.00_ ;[Red]\-#,##0.00\ </c:formatCode>
                <c:ptCount val="11"/>
                <c:pt idx="0">
                  <c:v>-18284347.151063204</c:v>
                </c:pt>
                <c:pt idx="1">
                  <c:v>-16687730.376854897</c:v>
                </c:pt>
                <c:pt idx="2">
                  <c:v>-6583725.3561633825</c:v>
                </c:pt>
                <c:pt idx="3">
                  <c:v>7358332.8984242678</c:v>
                </c:pt>
                <c:pt idx="4">
                  <c:v>25366005.441689849</c:v>
                </c:pt>
                <c:pt idx="5">
                  <c:v>53114729.885423303</c:v>
                </c:pt>
                <c:pt idx="6">
                  <c:v>85018556.883690119</c:v>
                </c:pt>
                <c:pt idx="7">
                  <c:v>121562515.07490325</c:v>
                </c:pt>
                <c:pt idx="8">
                  <c:v>163515931.01841474</c:v>
                </c:pt>
                <c:pt idx="9">
                  <c:v>208895094.54670525</c:v>
                </c:pt>
                <c:pt idx="10">
                  <c:v>259785879.6764679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2-4AC4-8380-4B3E94F4E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154848"/>
        <c:axId val="1661155328"/>
      </c:barChart>
      <c:catAx>
        <c:axId val="16611548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61155328"/>
        <c:crosses val="autoZero"/>
        <c:auto val="1"/>
        <c:lblAlgn val="ctr"/>
        <c:lblOffset val="100"/>
        <c:noMultiLvlLbl val="0"/>
      </c:catAx>
      <c:valAx>
        <c:axId val="16611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FNE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_ ;[Red]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6115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Rentabilidad sobre las ventas</a:t>
            </a:r>
          </a:p>
        </c:rich>
      </c:tx>
      <c:layout>
        <c:manualLayout>
          <c:xMode val="edge"/>
          <c:yMode val="edge"/>
          <c:x val="0.27198707592891763"/>
          <c:y val="5.1724137931034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Razones!$B$26:$L$26</c:f>
              <c:numCache>
                <c:formatCode>0.00</c:formatCode>
                <c:ptCount val="11"/>
                <c:pt idx="0">
                  <c:v>-0.35070472150700632</c:v>
                </c:pt>
                <c:pt idx="1">
                  <c:v>-4.3374038013098941</c:v>
                </c:pt>
                <c:pt idx="2">
                  <c:v>1.1620803752760091E-2</c:v>
                </c:pt>
                <c:pt idx="3">
                  <c:v>1.5143125999250879E-2</c:v>
                </c:pt>
                <c:pt idx="4">
                  <c:v>1.8129515886783611E-2</c:v>
                </c:pt>
                <c:pt idx="5">
                  <c:v>2.6005783822486219E-2</c:v>
                </c:pt>
                <c:pt idx="6">
                  <c:v>2.7214200589841794E-2</c:v>
                </c:pt>
                <c:pt idx="7">
                  <c:v>2.8340946444768214E-2</c:v>
                </c:pt>
                <c:pt idx="8">
                  <c:v>2.9447478950870194E-2</c:v>
                </c:pt>
                <c:pt idx="9">
                  <c:v>2.9923788416416033E-2</c:v>
                </c:pt>
                <c:pt idx="10">
                  <c:v>3.073726358093334E-2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F-4EBA-8108-90B642F41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892223"/>
        <c:axId val="1035894623"/>
      </c:barChart>
      <c:catAx>
        <c:axId val="103589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5894623"/>
        <c:crosses val="autoZero"/>
        <c:auto val="1"/>
        <c:lblAlgn val="ctr"/>
        <c:lblOffset val="100"/>
        <c:noMultiLvlLbl val="0"/>
      </c:catAx>
      <c:valAx>
        <c:axId val="103589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589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Rendimiento sobre la Inversión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val>
            <c:numRef>
              <c:f>Razones!$B$30:$L$30</c:f>
              <c:numCache>
                <c:formatCode>_("$"* #,##0.00_);_("$"* \(#,##0.00\);_("$"* "-"??_);_(@_)</c:formatCode>
                <c:ptCount val="11"/>
                <c:pt idx="0">
                  <c:v>22.397144351453608</c:v>
                </c:pt>
                <c:pt idx="1">
                  <c:v>146.50356930032819</c:v>
                </c:pt>
                <c:pt idx="2">
                  <c:v>1.7584375569247532</c:v>
                </c:pt>
                <c:pt idx="3">
                  <c:v>0.71712855654775232</c:v>
                </c:pt>
                <c:pt idx="4">
                  <c:v>0.4871459586792663</c:v>
                </c:pt>
                <c:pt idx="5">
                  <c:v>0.43602767163160061</c:v>
                </c:pt>
                <c:pt idx="6">
                  <c:v>0.33547188104606457</c:v>
                </c:pt>
                <c:pt idx="7">
                  <c:v>0.27877400959651083</c:v>
                </c:pt>
                <c:pt idx="8">
                  <c:v>0.24339989595314285</c:v>
                </c:pt>
                <c:pt idx="9">
                  <c:v>0.20884120593793842</c:v>
                </c:pt>
                <c:pt idx="10">
                  <c:v>0.19029842498281213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C-46C9-8DD1-D5D83FC8A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898463"/>
        <c:axId val="1035899423"/>
      </c:barChart>
      <c:catAx>
        <c:axId val="1035898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5899423"/>
        <c:crosses val="autoZero"/>
        <c:auto val="1"/>
        <c:lblAlgn val="ctr"/>
        <c:lblOffset val="100"/>
        <c:noMultiLvlLbl val="0"/>
      </c:catAx>
      <c:valAx>
        <c:axId val="103589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589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Parta Data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Parta Data Cost</a:t>
          </a:r>
        </a:p>
      </cx:txPr>
    </cx:title>
    <cx:plotArea>
      <cx:plotAreaRegion>
        <cx:series layoutId="sunburst" uniqueId="{88CE8888-7784-4254-B0B8-34F3885AB0B4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180975</xdr:rowOff>
    </xdr:from>
    <xdr:to>
      <xdr:col>6</xdr:col>
      <xdr:colOff>311150</xdr:colOff>
      <xdr:row>35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66AE72-0B3B-345D-4766-6EBF34EF0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3175</xdr:colOff>
      <xdr:row>21</xdr:row>
      <xdr:rowOff>9525</xdr:rowOff>
    </xdr:from>
    <xdr:to>
      <xdr:col>12</xdr:col>
      <xdr:colOff>739775</xdr:colOff>
      <xdr:row>35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BEFEDB-72F8-44D1-F405-8A3A87F43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46403</xdr:colOff>
      <xdr:row>45</xdr:row>
      <xdr:rowOff>26622</xdr:rowOff>
    </xdr:from>
    <xdr:to>
      <xdr:col>4</xdr:col>
      <xdr:colOff>838932</xdr:colOff>
      <xdr:row>60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DE8033-1896-9041-9526-12B6566DE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403832</xdr:colOff>
      <xdr:row>28</xdr:row>
      <xdr:rowOff>12559</xdr:rowOff>
    </xdr:from>
    <xdr:to>
      <xdr:col>5</xdr:col>
      <xdr:colOff>702068</xdr:colOff>
      <xdr:row>42</xdr:row>
      <xdr:rowOff>158680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05F3346-FA27-9499-4EEE-D5AC4DF416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3832" y="5133199"/>
              <a:ext cx="4519716" cy="27064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31750</xdr:colOff>
      <xdr:row>1</xdr:row>
      <xdr:rowOff>139700</xdr:rowOff>
    </xdr:from>
    <xdr:to>
      <xdr:col>27</xdr:col>
      <xdr:colOff>406400</xdr:colOff>
      <xdr:row>22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12653-077D-40A8-A510-9A9849DC1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6950" y="323850"/>
          <a:ext cx="7080250" cy="382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866774</xdr:colOff>
      <xdr:row>155</xdr:row>
      <xdr:rowOff>34925</xdr:rowOff>
    </xdr:from>
    <xdr:to>
      <xdr:col>6</xdr:col>
      <xdr:colOff>107949</xdr:colOff>
      <xdr:row>172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DED3CB-06AD-157F-C823-0DA86BBB7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62</xdr:row>
      <xdr:rowOff>60325</xdr:rowOff>
    </xdr:from>
    <xdr:to>
      <xdr:col>8</xdr:col>
      <xdr:colOff>365125</xdr:colOff>
      <xdr:row>77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D911B5-4980-B3CD-A2D1-94E435889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48</xdr:row>
      <xdr:rowOff>136525</xdr:rowOff>
    </xdr:from>
    <xdr:to>
      <xdr:col>3</xdr:col>
      <xdr:colOff>41275</xdr:colOff>
      <xdr:row>63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1FC14-B3C5-C0FD-7424-4284EF7C9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</xdr:row>
      <xdr:rowOff>12700</xdr:rowOff>
    </xdr:from>
    <xdr:to>
      <xdr:col>6</xdr:col>
      <xdr:colOff>571500</xdr:colOff>
      <xdr:row>14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7A2F0-C326-4C74-9B11-AE78AB849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577850</xdr:colOff>
      <xdr:row>1</xdr:row>
      <xdr:rowOff>12700</xdr:rowOff>
    </xdr:from>
    <xdr:to>
      <xdr:col>14</xdr:col>
      <xdr:colOff>25400</xdr:colOff>
      <xdr:row>14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925946-D448-49F8-A469-B706E91A7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rchivos%20Tec/Clases%20Tec/Agosto%202021/IN2006B/Analisis%20de%20capacidad%20y%20Edos%20Financieros.xlsx" TargetMode="External"/><Relationship Id="rId2" Type="http://schemas.openxmlformats.org/officeDocument/2006/relationships/externalLinkPath" Target="file:///C:\Archivos%20Tec\Clases%20Tec\Agosto%202021\IN2006B\Analisis%20de%20capacidad%20y%20Edos%20Financieros.xlsx" TargetMode="External"/><Relationship Id="rId1" Type="http://schemas.openxmlformats.org/officeDocument/2006/relationships/externalLinkPath" Target="/Archivos%20Tec/Clases%20Tec/Agosto%202021/IN2006B/Analisis%20de%20capacidad%20y%20Edos%20Financiero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rchivos%20Tec/Clases%20Tec/Febrero%202025/IN3001B%20Dron%20Finanzas%20230525.xlsx" TargetMode="External"/><Relationship Id="rId2" Type="http://schemas.openxmlformats.org/officeDocument/2006/relationships/externalLinkPath" Target="file:///C:\Archivos%20Tec\Clases%20Tec\Febrero%202025\IN3001B%20Dron%20Finanzas%20230525.xlsx" TargetMode="External"/><Relationship Id="rId1" Type="http://schemas.openxmlformats.org/officeDocument/2006/relationships/externalLinkPath" Target="/Archivos%20Tec/Clases%20Tec/Febrero%202025/IN3001B%20Dron%20Finanzas%202305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afica"/>
      <sheetName val="Premisas"/>
      <sheetName val="volumenes"/>
      <sheetName val="Entradas"/>
      <sheetName val="capacidad"/>
      <sheetName val="Depreciación."/>
      <sheetName val="Financiamiento"/>
      <sheetName val="Balance"/>
      <sheetName val="Edo-Re"/>
      <sheetName val="Flujo"/>
      <sheetName val="Razones"/>
    </sheetNames>
    <sheetDataSet>
      <sheetData sheetId="0" refreshError="1"/>
      <sheetData sheetId="1" refreshError="1">
        <row r="5">
          <cell r="F5">
            <v>0.24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misas"/>
      <sheetName val="BOM"/>
      <sheetName val="Demand"/>
      <sheetName val="Capacidad"/>
      <sheetName val="Depreciación."/>
      <sheetName val="Sueldos"/>
      <sheetName val="Costos"/>
      <sheetName val="Inversión"/>
      <sheetName val="Financiamiento"/>
      <sheetName val="Credito"/>
      <sheetName val="Precio"/>
      <sheetName val="Balance"/>
      <sheetName val="Edo-Re"/>
      <sheetName val="Flujo"/>
      <sheetName val="TIR"/>
      <sheetName val="Razones"/>
      <sheetName val="Grafica"/>
    </sheetNames>
    <sheetDataSet>
      <sheetData sheetId="0">
        <row r="4">
          <cell r="B4">
            <v>0.16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016FE-26D0-432C-AF96-65F9BD3D18E3}">
  <dimension ref="A1:L30"/>
  <sheetViews>
    <sheetView topLeftCell="A7" zoomScale="99" zoomScaleNormal="99" workbookViewId="0">
      <selection activeCell="C24" sqref="C24"/>
    </sheetView>
  </sheetViews>
  <sheetFormatPr baseColWidth="10" defaultColWidth="8.88671875" defaultRowHeight="14.4" x14ac:dyDescent="0.3"/>
  <cols>
    <col min="1" max="1" width="38.77734375" bestFit="1" customWidth="1"/>
  </cols>
  <sheetData>
    <row r="1" spans="1:12" x14ac:dyDescent="0.3">
      <c r="A1" t="s">
        <v>162</v>
      </c>
    </row>
    <row r="2" spans="1:12" x14ac:dyDescent="0.3">
      <c r="B2" s="34">
        <v>2025</v>
      </c>
      <c r="C2" s="34">
        <f>B2+1</f>
        <v>2026</v>
      </c>
      <c r="D2" s="34">
        <f t="shared" ref="D2:J2" si="0">C2+1</f>
        <v>2027</v>
      </c>
      <c r="E2" s="34">
        <f t="shared" si="0"/>
        <v>2028</v>
      </c>
      <c r="F2" s="34">
        <f t="shared" si="0"/>
        <v>2029</v>
      </c>
      <c r="G2" s="34">
        <f t="shared" si="0"/>
        <v>2030</v>
      </c>
      <c r="H2" s="34">
        <f t="shared" si="0"/>
        <v>2031</v>
      </c>
      <c r="I2" s="34">
        <f t="shared" si="0"/>
        <v>2032</v>
      </c>
      <c r="J2" s="34">
        <f t="shared" si="0"/>
        <v>2033</v>
      </c>
      <c r="K2" s="34">
        <f t="shared" ref="K2" si="1">J2+1</f>
        <v>2034</v>
      </c>
      <c r="L2" s="34">
        <f t="shared" ref="L2" si="2">K2+1</f>
        <v>2035</v>
      </c>
    </row>
    <row r="3" spans="1:12" x14ac:dyDescent="0.3">
      <c r="A3" t="s">
        <v>163</v>
      </c>
      <c r="B3">
        <v>16.66</v>
      </c>
      <c r="C3">
        <v>9.35</v>
      </c>
      <c r="D3">
        <v>9.9499999999999993</v>
      </c>
      <c r="E3">
        <v>10.45</v>
      </c>
      <c r="F3">
        <v>11.2</v>
      </c>
      <c r="G3">
        <v>12</v>
      </c>
      <c r="H3">
        <v>12.3</v>
      </c>
      <c r="I3">
        <v>12.3</v>
      </c>
      <c r="J3">
        <v>12.3</v>
      </c>
      <c r="K3">
        <v>12.3</v>
      </c>
      <c r="L3">
        <v>12.3</v>
      </c>
    </row>
    <row r="4" spans="1:12" x14ac:dyDescent="0.3">
      <c r="A4" t="s">
        <v>164</v>
      </c>
      <c r="B4">
        <v>0.16</v>
      </c>
      <c r="C4">
        <v>0.3</v>
      </c>
      <c r="D4">
        <v>0.28000000000000003</v>
      </c>
      <c r="E4">
        <v>0.21</v>
      </c>
      <c r="F4">
        <v>0.18</v>
      </c>
      <c r="G4">
        <v>0.16</v>
      </c>
      <c r="H4">
        <v>0.15</v>
      </c>
      <c r="I4">
        <v>0.15</v>
      </c>
      <c r="J4">
        <v>0.15</v>
      </c>
      <c r="K4">
        <v>0.15</v>
      </c>
      <c r="L4">
        <v>0.15</v>
      </c>
    </row>
    <row r="5" spans="1:12" x14ac:dyDescent="0.3">
      <c r="A5" t="s">
        <v>165</v>
      </c>
      <c r="B5">
        <v>0.28000000000000003</v>
      </c>
      <c r="C5">
        <v>0.28000000000000003</v>
      </c>
      <c r="D5">
        <v>0.27</v>
      </c>
      <c r="E5">
        <v>0.27</v>
      </c>
      <c r="F5">
        <v>0.28000000000000003</v>
      </c>
      <c r="G5">
        <v>0.24</v>
      </c>
      <c r="H5">
        <v>0.25</v>
      </c>
      <c r="I5">
        <v>0.25</v>
      </c>
      <c r="J5">
        <v>0.25</v>
      </c>
      <c r="K5">
        <v>0.25</v>
      </c>
      <c r="L5">
        <v>0.25</v>
      </c>
    </row>
    <row r="6" spans="1:12" x14ac:dyDescent="0.3">
      <c r="A6" t="s">
        <v>166</v>
      </c>
      <c r="B6">
        <v>0.33200000000000002</v>
      </c>
      <c r="C6">
        <v>0.28699999999999998</v>
      </c>
      <c r="D6">
        <v>0.28000000000000003</v>
      </c>
      <c r="E6">
        <v>0.28299999999999997</v>
      </c>
      <c r="F6">
        <v>0.27200000000000002</v>
      </c>
      <c r="G6">
        <v>0.27</v>
      </c>
      <c r="H6">
        <v>0.26800000000000002</v>
      </c>
      <c r="I6">
        <v>0.26800000000000002</v>
      </c>
      <c r="J6">
        <v>0.26</v>
      </c>
      <c r="K6">
        <v>0.26800000000000002</v>
      </c>
      <c r="L6">
        <v>0.26</v>
      </c>
    </row>
    <row r="7" spans="1:12" x14ac:dyDescent="0.3">
      <c r="A7" t="s">
        <v>167</v>
      </c>
      <c r="B7">
        <v>7.6999999999999999E-2</v>
      </c>
      <c r="C7">
        <v>7.9000000000000001E-2</v>
      </c>
      <c r="D7">
        <v>7.5999999999999998E-2</v>
      </c>
      <c r="E7">
        <v>7.1999999999999995E-2</v>
      </c>
      <c r="F7">
        <v>6.8500000000000005E-2</v>
      </c>
      <c r="G7">
        <v>6.9000000000000006E-2</v>
      </c>
      <c r="H7">
        <v>7.2999999999999995E-2</v>
      </c>
      <c r="I7">
        <v>7.2999999999999995E-2</v>
      </c>
      <c r="J7">
        <v>7.2999999999999995E-2</v>
      </c>
      <c r="K7">
        <v>7.2999999999999995E-2</v>
      </c>
      <c r="L7">
        <v>7.2999999999999995E-2</v>
      </c>
    </row>
    <row r="11" spans="1:12" x14ac:dyDescent="0.3">
      <c r="B11" s="34">
        <v>2025</v>
      </c>
      <c r="C11" s="34">
        <f>B11+1</f>
        <v>2026</v>
      </c>
      <c r="D11" s="34">
        <f t="shared" ref="D11:J11" si="3">C11+1</f>
        <v>2027</v>
      </c>
      <c r="E11" s="34">
        <f t="shared" si="3"/>
        <v>2028</v>
      </c>
      <c r="F11" s="34">
        <f t="shared" si="3"/>
        <v>2029</v>
      </c>
      <c r="G11" s="34">
        <f t="shared" si="3"/>
        <v>2030</v>
      </c>
      <c r="H11" s="34">
        <f t="shared" si="3"/>
        <v>2031</v>
      </c>
      <c r="I11" s="34">
        <f t="shared" si="3"/>
        <v>2032</v>
      </c>
      <c r="J11" s="34">
        <f t="shared" si="3"/>
        <v>2033</v>
      </c>
      <c r="K11" s="34">
        <f t="shared" ref="K11" si="4">J11+1</f>
        <v>2034</v>
      </c>
      <c r="L11" s="34">
        <f t="shared" ref="L11" si="5">K11+1</f>
        <v>2035</v>
      </c>
    </row>
    <row r="12" spans="1:12" x14ac:dyDescent="0.3">
      <c r="A12" t="s">
        <v>168</v>
      </c>
      <c r="B12">
        <v>4.2999999999999997E-2</v>
      </c>
      <c r="C12">
        <v>3.4000000000000002E-2</v>
      </c>
      <c r="D12">
        <v>3.4000000000000002E-2</v>
      </c>
      <c r="E12">
        <v>3.4000000000000002E-2</v>
      </c>
      <c r="F12">
        <v>3.4000000000000002E-2</v>
      </c>
      <c r="G12">
        <v>3.4000000000000002E-2</v>
      </c>
      <c r="H12">
        <v>3.4000000000000002E-2</v>
      </c>
      <c r="I12">
        <v>3.4000000000000002E-2</v>
      </c>
      <c r="J12">
        <v>3.4000000000000002E-2</v>
      </c>
      <c r="K12">
        <v>3.4000000000000002E-2</v>
      </c>
      <c r="L12">
        <v>3.4000000000000002E-2</v>
      </c>
    </row>
    <row r="13" spans="1:12" x14ac:dyDescent="0.3">
      <c r="A13" t="s">
        <v>169</v>
      </c>
      <c r="B13">
        <v>0.34</v>
      </c>
      <c r="C13">
        <v>0.34</v>
      </c>
      <c r="D13">
        <v>0.34</v>
      </c>
      <c r="E13">
        <v>0.34</v>
      </c>
      <c r="F13">
        <v>0.34</v>
      </c>
      <c r="G13">
        <v>0.34</v>
      </c>
      <c r="H13">
        <v>0.34</v>
      </c>
      <c r="I13">
        <v>0.34</v>
      </c>
      <c r="J13">
        <v>0.34</v>
      </c>
      <c r="K13">
        <v>0.34</v>
      </c>
      <c r="L13">
        <v>0.34</v>
      </c>
    </row>
    <row r="14" spans="1:12" x14ac:dyDescent="0.3">
      <c r="A14" t="s">
        <v>170</v>
      </c>
      <c r="B14">
        <v>1.8</v>
      </c>
      <c r="C14">
        <v>1.8</v>
      </c>
      <c r="D14">
        <v>1.8</v>
      </c>
      <c r="E14">
        <v>1.8</v>
      </c>
      <c r="F14">
        <v>1.8</v>
      </c>
      <c r="G14">
        <v>1.8</v>
      </c>
      <c r="H14">
        <v>1.8</v>
      </c>
      <c r="I14">
        <v>1.8</v>
      </c>
      <c r="J14">
        <v>1.8</v>
      </c>
      <c r="K14">
        <v>1.8</v>
      </c>
      <c r="L14">
        <v>1.8</v>
      </c>
    </row>
    <row r="15" spans="1:12" x14ac:dyDescent="0.3">
      <c r="A15" t="s">
        <v>171</v>
      </c>
      <c r="B15">
        <v>0.1</v>
      </c>
      <c r="C15">
        <v>0.1</v>
      </c>
      <c r="D15">
        <v>0.1</v>
      </c>
      <c r="E15">
        <v>0.1</v>
      </c>
      <c r="F15">
        <v>0.1</v>
      </c>
      <c r="G15">
        <v>0.1</v>
      </c>
      <c r="H15">
        <v>0.1</v>
      </c>
      <c r="I15">
        <v>0.1</v>
      </c>
      <c r="J15">
        <v>0.1</v>
      </c>
      <c r="K15">
        <v>0.1</v>
      </c>
      <c r="L15">
        <v>0.1</v>
      </c>
    </row>
    <row r="16" spans="1:12" x14ac:dyDescent="0.3">
      <c r="A16" t="s">
        <v>172</v>
      </c>
    </row>
    <row r="19" spans="1:12" x14ac:dyDescent="0.3">
      <c r="A19" t="s">
        <v>173</v>
      </c>
      <c r="B19" s="34">
        <v>2025</v>
      </c>
      <c r="C19" s="34">
        <f>B19+1</f>
        <v>2026</v>
      </c>
      <c r="D19" s="34">
        <f t="shared" ref="D19:J19" si="6">C19+1</f>
        <v>2027</v>
      </c>
      <c r="E19" s="34">
        <f t="shared" si="6"/>
        <v>2028</v>
      </c>
      <c r="F19" s="34">
        <f t="shared" si="6"/>
        <v>2029</v>
      </c>
      <c r="G19" s="34">
        <f t="shared" si="6"/>
        <v>2030</v>
      </c>
      <c r="H19" s="34">
        <f t="shared" si="6"/>
        <v>2031</v>
      </c>
      <c r="I19" s="34">
        <f t="shared" si="6"/>
        <v>2032</v>
      </c>
      <c r="J19" s="34">
        <f t="shared" si="6"/>
        <v>2033</v>
      </c>
      <c r="K19" s="34">
        <f t="shared" ref="K19" si="7">J19+1</f>
        <v>2034</v>
      </c>
      <c r="L19" s="34">
        <f t="shared" ref="L19" si="8">K19+1</f>
        <v>2035</v>
      </c>
    </row>
    <row r="20" spans="1:12" x14ac:dyDescent="0.3">
      <c r="A20" t="s">
        <v>174</v>
      </c>
      <c r="B20">
        <v>0.2</v>
      </c>
      <c r="C20">
        <v>0.2</v>
      </c>
      <c r="D20">
        <v>0.2</v>
      </c>
      <c r="E20">
        <v>0.2</v>
      </c>
      <c r="F20">
        <v>0.2</v>
      </c>
      <c r="G20">
        <v>0.2</v>
      </c>
      <c r="H20">
        <v>0.2</v>
      </c>
      <c r="I20">
        <v>0.2</v>
      </c>
      <c r="J20">
        <v>0.2</v>
      </c>
      <c r="K20">
        <v>0.2</v>
      </c>
      <c r="L20">
        <v>0.2</v>
      </c>
    </row>
    <row r="21" spans="1:12" x14ac:dyDescent="0.3">
      <c r="A21" t="s">
        <v>175</v>
      </c>
      <c r="B21">
        <v>0.2</v>
      </c>
      <c r="C21">
        <v>0.2</v>
      </c>
      <c r="D21">
        <v>0.2</v>
      </c>
      <c r="E21">
        <v>0.2</v>
      </c>
      <c r="F21">
        <v>0.2</v>
      </c>
      <c r="G21">
        <v>0.2</v>
      </c>
      <c r="H21">
        <v>0.2</v>
      </c>
      <c r="I21">
        <v>0.2</v>
      </c>
      <c r="J21">
        <v>0.2</v>
      </c>
      <c r="K21">
        <v>0.2</v>
      </c>
      <c r="L21">
        <v>0.2</v>
      </c>
    </row>
    <row r="22" spans="1:12" x14ac:dyDescent="0.3">
      <c r="A22" t="s">
        <v>176</v>
      </c>
      <c r="B22">
        <v>0.03</v>
      </c>
      <c r="C22">
        <v>0.03</v>
      </c>
      <c r="D22">
        <v>0.03</v>
      </c>
      <c r="E22">
        <v>0.03</v>
      </c>
      <c r="F22">
        <v>0.03</v>
      </c>
      <c r="G22">
        <v>0.03</v>
      </c>
      <c r="H22">
        <v>0.03</v>
      </c>
      <c r="I22">
        <v>0.03</v>
      </c>
      <c r="J22">
        <v>0.03</v>
      </c>
      <c r="K22">
        <v>0.03</v>
      </c>
      <c r="L22">
        <v>0.03</v>
      </c>
    </row>
    <row r="23" spans="1:12" x14ac:dyDescent="0.3">
      <c r="A23" t="s">
        <v>177</v>
      </c>
      <c r="B23">
        <v>0.15</v>
      </c>
      <c r="C23">
        <v>0.1</v>
      </c>
      <c r="D23">
        <v>0.1</v>
      </c>
      <c r="E23">
        <v>0.1</v>
      </c>
      <c r="F23">
        <v>0.1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</row>
    <row r="24" spans="1:12" x14ac:dyDescent="0.3">
      <c r="A24" t="s">
        <v>178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</row>
    <row r="25" spans="1:12" x14ac:dyDescent="0.3">
      <c r="A25" t="s">
        <v>179</v>
      </c>
      <c r="B25">
        <v>2E-3</v>
      </c>
      <c r="C25">
        <v>2E-3</v>
      </c>
      <c r="D25">
        <v>2E-3</v>
      </c>
      <c r="E25">
        <v>2E-3</v>
      </c>
      <c r="F25">
        <v>2E-3</v>
      </c>
      <c r="G25">
        <v>2E-3</v>
      </c>
      <c r="H25">
        <v>2E-3</v>
      </c>
      <c r="I25">
        <v>2E-3</v>
      </c>
      <c r="J25">
        <v>2E-3</v>
      </c>
      <c r="K25">
        <v>2E-3</v>
      </c>
      <c r="L25">
        <v>2E-3</v>
      </c>
    </row>
    <row r="26" spans="1:12" x14ac:dyDescent="0.3">
      <c r="A26" t="s">
        <v>180</v>
      </c>
      <c r="B26">
        <v>5.0000000000000001E-3</v>
      </c>
      <c r="C26">
        <v>5.0000000000000001E-3</v>
      </c>
      <c r="D26">
        <v>5.0000000000000001E-3</v>
      </c>
      <c r="E26">
        <v>5.0000000000000001E-3</v>
      </c>
      <c r="F26">
        <v>5.0000000000000001E-3</v>
      </c>
      <c r="G26">
        <v>5.0000000000000001E-3</v>
      </c>
      <c r="H26">
        <v>5.0000000000000001E-3</v>
      </c>
      <c r="I26">
        <v>5.0000000000000001E-3</v>
      </c>
      <c r="J26">
        <v>5.0000000000000001E-3</v>
      </c>
      <c r="K26">
        <v>5.0000000000000001E-3</v>
      </c>
      <c r="L26">
        <v>5.0000000000000001E-3</v>
      </c>
    </row>
    <row r="27" spans="1:12" x14ac:dyDescent="0.3">
      <c r="A27" t="s">
        <v>181</v>
      </c>
      <c r="B27">
        <v>0.05</v>
      </c>
      <c r="C27">
        <v>0.05</v>
      </c>
      <c r="D27">
        <v>0.05</v>
      </c>
      <c r="E27">
        <v>0.05</v>
      </c>
      <c r="F27">
        <v>0.05</v>
      </c>
      <c r="G27">
        <v>0.05</v>
      </c>
      <c r="H27">
        <v>0.05</v>
      </c>
      <c r="I27">
        <v>0.05</v>
      </c>
      <c r="J27">
        <v>0.05</v>
      </c>
      <c r="K27">
        <v>0.05</v>
      </c>
      <c r="L27">
        <v>0.05</v>
      </c>
    </row>
    <row r="28" spans="1:12" x14ac:dyDescent="0.3">
      <c r="A28" t="s">
        <v>182</v>
      </c>
      <c r="B28">
        <v>0.1</v>
      </c>
      <c r="C28">
        <v>0.1</v>
      </c>
      <c r="D28">
        <v>0.1</v>
      </c>
      <c r="E28">
        <v>0.1</v>
      </c>
      <c r="F28">
        <v>0.1</v>
      </c>
      <c r="G28">
        <v>0.1</v>
      </c>
      <c r="H28">
        <v>0.1</v>
      </c>
      <c r="I28">
        <v>0.1</v>
      </c>
      <c r="J28">
        <v>0.1</v>
      </c>
      <c r="K28">
        <v>0.1</v>
      </c>
      <c r="L28">
        <v>0.1</v>
      </c>
    </row>
    <row r="29" spans="1:12" x14ac:dyDescent="0.3">
      <c r="A29" t="s">
        <v>183</v>
      </c>
      <c r="B29">
        <v>0.2</v>
      </c>
      <c r="C29">
        <v>0.2</v>
      </c>
      <c r="D29">
        <v>0.2</v>
      </c>
      <c r="E29">
        <v>0.2</v>
      </c>
      <c r="F29">
        <v>0.2</v>
      </c>
      <c r="G29">
        <v>0.2</v>
      </c>
      <c r="H29">
        <v>0.2</v>
      </c>
      <c r="I29">
        <v>0.2</v>
      </c>
      <c r="J29">
        <v>0.2</v>
      </c>
      <c r="K29">
        <v>0.2</v>
      </c>
      <c r="L29">
        <v>0.2</v>
      </c>
    </row>
    <row r="30" spans="1:12" x14ac:dyDescent="0.3">
      <c r="A30" t="s">
        <v>184</v>
      </c>
      <c r="B30">
        <v>8.5000000000000006E-2</v>
      </c>
      <c r="C30">
        <v>8.5000000000000006E-2</v>
      </c>
      <c r="D30">
        <v>8.5000000000000006E-2</v>
      </c>
      <c r="E30">
        <v>8.5000000000000006E-2</v>
      </c>
      <c r="F30">
        <v>8.5000000000000006E-2</v>
      </c>
      <c r="G30">
        <v>8.5000000000000006E-2</v>
      </c>
      <c r="H30">
        <v>8.5000000000000006E-2</v>
      </c>
      <c r="I30">
        <v>8.5000000000000006E-2</v>
      </c>
      <c r="J30">
        <v>8.5000000000000006E-2</v>
      </c>
      <c r="K30">
        <v>8.5000000000000006E-2</v>
      </c>
      <c r="L30">
        <v>8.5000000000000006E-2</v>
      </c>
    </row>
  </sheetData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A71A-445E-4AAF-8D46-7F885634E62F}">
  <dimension ref="A1:O20"/>
  <sheetViews>
    <sheetView workbookViewId="0">
      <selection activeCell="F18" sqref="F18"/>
    </sheetView>
  </sheetViews>
  <sheetFormatPr baseColWidth="10" defaultColWidth="8.88671875" defaultRowHeight="14.4" x14ac:dyDescent="0.3"/>
  <cols>
    <col min="1" max="1" width="11.44140625" customWidth="1"/>
    <col min="3" max="8" width="10.21875" bestFit="1" customWidth="1"/>
    <col min="9" max="15" width="11.21875" bestFit="1" customWidth="1"/>
  </cols>
  <sheetData>
    <row r="1" spans="1:15" x14ac:dyDescent="0.3">
      <c r="A1" t="s">
        <v>0</v>
      </c>
    </row>
    <row r="2" spans="1:15" x14ac:dyDescent="0.3">
      <c r="A2" t="s">
        <v>1</v>
      </c>
    </row>
    <row r="4" spans="1:15" x14ac:dyDescent="0.3">
      <c r="A4" s="2"/>
      <c r="B4" s="2" t="s">
        <v>16</v>
      </c>
      <c r="C4" s="2"/>
      <c r="D4" s="2"/>
      <c r="E4" s="2" t="s">
        <v>15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7</v>
      </c>
      <c r="M4" s="2">
        <v>8</v>
      </c>
      <c r="N4" s="2">
        <v>9</v>
      </c>
      <c r="O4" s="2">
        <v>10</v>
      </c>
    </row>
    <row r="5" spans="1:15" x14ac:dyDescent="0.3">
      <c r="A5" s="2" t="s">
        <v>2</v>
      </c>
      <c r="B5" s="2"/>
      <c r="C5" s="2">
        <f>D5-1</f>
        <v>2023</v>
      </c>
      <c r="D5" s="2">
        <f>E5-1</f>
        <v>2024</v>
      </c>
      <c r="E5" s="2">
        <v>2025</v>
      </c>
      <c r="F5" s="2">
        <f>E5+1</f>
        <v>2026</v>
      </c>
      <c r="G5" s="2">
        <f t="shared" ref="G5:O5" si="0">F5+1</f>
        <v>2027</v>
      </c>
      <c r="H5" s="2">
        <f t="shared" si="0"/>
        <v>2028</v>
      </c>
      <c r="I5" s="2">
        <f t="shared" si="0"/>
        <v>2029</v>
      </c>
      <c r="J5" s="2">
        <f t="shared" si="0"/>
        <v>2030</v>
      </c>
      <c r="K5" s="2">
        <f t="shared" si="0"/>
        <v>2031</v>
      </c>
      <c r="L5" s="2">
        <f t="shared" si="0"/>
        <v>2032</v>
      </c>
      <c r="M5" s="2">
        <f t="shared" si="0"/>
        <v>2033</v>
      </c>
      <c r="N5" s="2">
        <f>M5+1</f>
        <v>2034</v>
      </c>
      <c r="O5" s="2">
        <f t="shared" si="0"/>
        <v>2035</v>
      </c>
    </row>
    <row r="6" spans="1:15" x14ac:dyDescent="0.3">
      <c r="A6" t="s">
        <v>3</v>
      </c>
      <c r="B6" s="3">
        <v>0.08</v>
      </c>
      <c r="C6" s="7">
        <f>B6*$C$18</f>
        <v>5600</v>
      </c>
      <c r="D6" s="7">
        <f>B6*$C$18</f>
        <v>5600</v>
      </c>
      <c r="E6" s="11">
        <v>0</v>
      </c>
      <c r="F6" s="6">
        <f>B6*$F$18</f>
        <v>6790.4800000000005</v>
      </c>
      <c r="G6" s="6">
        <f>B6*$G$18</f>
        <v>7265.84</v>
      </c>
      <c r="H6" s="6">
        <f>B6*$H$18</f>
        <v>7774.4000000000005</v>
      </c>
      <c r="I6" s="6">
        <f>B6*$I$18</f>
        <v>8318.48</v>
      </c>
      <c r="J6" s="6">
        <f>B6*$J$18</f>
        <v>8900.9600000000009</v>
      </c>
      <c r="K6" s="6">
        <f>B6*$K$18</f>
        <v>9524</v>
      </c>
      <c r="L6" s="6">
        <f>B6*$L$18</f>
        <v>10190.719999999999</v>
      </c>
      <c r="M6" s="6">
        <f>B6*$M$18</f>
        <v>10945.92</v>
      </c>
      <c r="N6" s="6">
        <f>B6*$N$18</f>
        <v>11297.84</v>
      </c>
      <c r="O6" s="6">
        <f>B6*$O$18</f>
        <v>11970.72</v>
      </c>
    </row>
    <row r="7" spans="1:15" x14ac:dyDescent="0.3">
      <c r="A7" t="s">
        <v>4</v>
      </c>
      <c r="B7" s="3">
        <v>0.06</v>
      </c>
      <c r="C7" s="7">
        <f t="shared" ref="C7:C17" si="1">B7*$C$18</f>
        <v>4200</v>
      </c>
      <c r="D7" s="7">
        <f t="shared" ref="D7:D17" si="2">B7*$C$18</f>
        <v>4200</v>
      </c>
      <c r="E7" s="11">
        <v>0</v>
      </c>
      <c r="F7" s="6">
        <f t="shared" ref="F7:F17" si="3">B7*$F$18</f>
        <v>5092.8599999999997</v>
      </c>
      <c r="G7" s="6">
        <f t="shared" ref="G7:G17" si="4">B7*$G$18</f>
        <v>5449.38</v>
      </c>
      <c r="H7" s="6">
        <f t="shared" ref="H7:H17" si="5">B7*$H$18</f>
        <v>5830.8</v>
      </c>
      <c r="I7" s="6">
        <f t="shared" ref="I7:I17" si="6">B7*$I$18</f>
        <v>6238.86</v>
      </c>
      <c r="J7" s="6">
        <f t="shared" ref="J7:J17" si="7">B7*$J$18</f>
        <v>6675.7199999999993</v>
      </c>
      <c r="K7" s="6">
        <f t="shared" ref="K7:K17" si="8">B7*$K$18</f>
        <v>7143</v>
      </c>
      <c r="L7" s="6">
        <f t="shared" ref="L7:L17" si="9">B7*$L$18</f>
        <v>7643.04</v>
      </c>
      <c r="M7" s="6">
        <f t="shared" ref="M7:M17" si="10">B7*$M$18</f>
        <v>8209.44</v>
      </c>
      <c r="N7" s="6">
        <f t="shared" ref="N7:N17" si="11">B7*$N$18</f>
        <v>8473.3799999999992</v>
      </c>
      <c r="O7" s="6">
        <f t="shared" ref="O7:O17" si="12">B7*$O$18</f>
        <v>8978.0399999999991</v>
      </c>
    </row>
    <row r="8" spans="1:15" x14ac:dyDescent="0.3">
      <c r="A8" t="s">
        <v>5</v>
      </c>
      <c r="B8" s="3">
        <v>0.05</v>
      </c>
      <c r="C8" s="7">
        <f t="shared" si="1"/>
        <v>3500</v>
      </c>
      <c r="D8" s="7">
        <f t="shared" si="2"/>
        <v>3500</v>
      </c>
      <c r="E8" s="11">
        <v>0</v>
      </c>
      <c r="F8" s="6">
        <f t="shared" si="3"/>
        <v>4244.05</v>
      </c>
      <c r="G8" s="6">
        <f t="shared" si="4"/>
        <v>4541.1500000000005</v>
      </c>
      <c r="H8" s="6">
        <f t="shared" si="5"/>
        <v>4859</v>
      </c>
      <c r="I8" s="6">
        <f t="shared" si="6"/>
        <v>5199.05</v>
      </c>
      <c r="J8" s="6">
        <f t="shared" si="7"/>
        <v>5563.1</v>
      </c>
      <c r="K8" s="6">
        <f t="shared" si="8"/>
        <v>5952.5</v>
      </c>
      <c r="L8" s="6">
        <f t="shared" si="9"/>
        <v>6369.2000000000007</v>
      </c>
      <c r="M8" s="6">
        <f t="shared" si="10"/>
        <v>6841.2000000000007</v>
      </c>
      <c r="N8" s="6">
        <f t="shared" si="11"/>
        <v>7061.1500000000005</v>
      </c>
      <c r="O8" s="6">
        <f t="shared" si="12"/>
        <v>7481.7000000000007</v>
      </c>
    </row>
    <row r="9" spans="1:15" x14ac:dyDescent="0.3">
      <c r="A9" t="s">
        <v>6</v>
      </c>
      <c r="B9" s="3">
        <v>0.05</v>
      </c>
      <c r="C9" s="7">
        <f t="shared" si="1"/>
        <v>3500</v>
      </c>
      <c r="D9" s="7">
        <f t="shared" si="2"/>
        <v>3500</v>
      </c>
      <c r="E9" s="11">
        <v>0</v>
      </c>
      <c r="F9" s="6">
        <f t="shared" si="3"/>
        <v>4244.05</v>
      </c>
      <c r="G9" s="6">
        <f t="shared" si="4"/>
        <v>4541.1500000000005</v>
      </c>
      <c r="H9" s="6">
        <f t="shared" si="5"/>
        <v>4859</v>
      </c>
      <c r="I9" s="6">
        <f t="shared" si="6"/>
        <v>5199.05</v>
      </c>
      <c r="J9" s="6">
        <f t="shared" si="7"/>
        <v>5563.1</v>
      </c>
      <c r="K9" s="6">
        <f t="shared" si="8"/>
        <v>5952.5</v>
      </c>
      <c r="L9" s="6">
        <f t="shared" si="9"/>
        <v>6369.2000000000007</v>
      </c>
      <c r="M9" s="6">
        <f t="shared" si="10"/>
        <v>6841.2000000000007</v>
      </c>
      <c r="N9" s="6">
        <f t="shared" si="11"/>
        <v>7061.1500000000005</v>
      </c>
      <c r="O9" s="6">
        <f t="shared" si="12"/>
        <v>7481.7000000000007</v>
      </c>
    </row>
    <row r="10" spans="1:15" x14ac:dyDescent="0.3">
      <c r="A10" t="s">
        <v>7</v>
      </c>
      <c r="B10" s="3">
        <v>0.06</v>
      </c>
      <c r="C10" s="7">
        <f t="shared" si="1"/>
        <v>4200</v>
      </c>
      <c r="D10" s="7">
        <f t="shared" si="2"/>
        <v>4200</v>
      </c>
      <c r="E10" s="11">
        <v>0</v>
      </c>
      <c r="F10" s="6">
        <f t="shared" si="3"/>
        <v>5092.8599999999997</v>
      </c>
      <c r="G10" s="6">
        <f t="shared" si="4"/>
        <v>5449.38</v>
      </c>
      <c r="H10" s="6">
        <f t="shared" si="5"/>
        <v>5830.8</v>
      </c>
      <c r="I10" s="6">
        <f t="shared" si="6"/>
        <v>6238.86</v>
      </c>
      <c r="J10" s="6">
        <f t="shared" si="7"/>
        <v>6675.7199999999993</v>
      </c>
      <c r="K10" s="6">
        <f t="shared" si="8"/>
        <v>7143</v>
      </c>
      <c r="L10" s="6">
        <f t="shared" si="9"/>
        <v>7643.04</v>
      </c>
      <c r="M10" s="6">
        <f t="shared" si="10"/>
        <v>8209.44</v>
      </c>
      <c r="N10" s="6">
        <f t="shared" si="11"/>
        <v>8473.3799999999992</v>
      </c>
      <c r="O10" s="6">
        <f t="shared" si="12"/>
        <v>8978.0399999999991</v>
      </c>
    </row>
    <row r="11" spans="1:15" x14ac:dyDescent="0.3">
      <c r="A11" t="s">
        <v>8</v>
      </c>
      <c r="B11" s="3">
        <v>7.0000000000000007E-2</v>
      </c>
      <c r="C11" s="7">
        <f t="shared" si="1"/>
        <v>4900.0000000000009</v>
      </c>
      <c r="D11" s="7">
        <f t="shared" si="2"/>
        <v>4900.0000000000009</v>
      </c>
      <c r="E11" s="11">
        <v>0</v>
      </c>
      <c r="F11" s="6">
        <f t="shared" si="3"/>
        <v>5941.670000000001</v>
      </c>
      <c r="G11" s="6">
        <f t="shared" si="4"/>
        <v>6357.6100000000006</v>
      </c>
      <c r="H11" s="6">
        <f t="shared" si="5"/>
        <v>6802.6</v>
      </c>
      <c r="I11" s="6">
        <f t="shared" si="6"/>
        <v>7278.670000000001</v>
      </c>
      <c r="J11" s="6">
        <f t="shared" si="7"/>
        <v>7788.3400000000011</v>
      </c>
      <c r="K11" s="6">
        <f t="shared" si="8"/>
        <v>8333.5</v>
      </c>
      <c r="L11" s="6">
        <f t="shared" si="9"/>
        <v>8916.880000000001</v>
      </c>
      <c r="M11" s="6">
        <f t="shared" si="10"/>
        <v>9577.68</v>
      </c>
      <c r="N11" s="6">
        <f t="shared" si="11"/>
        <v>9885.61</v>
      </c>
      <c r="O11" s="6">
        <f t="shared" si="12"/>
        <v>10474.380000000001</v>
      </c>
    </row>
    <row r="12" spans="1:15" x14ac:dyDescent="0.3">
      <c r="A12" t="s">
        <v>9</v>
      </c>
      <c r="B12" s="3">
        <v>7.0000000000000007E-2</v>
      </c>
      <c r="C12" s="7">
        <f t="shared" si="1"/>
        <v>4900.0000000000009</v>
      </c>
      <c r="D12" s="7">
        <f t="shared" si="2"/>
        <v>4900.0000000000009</v>
      </c>
      <c r="E12" s="11">
        <v>0</v>
      </c>
      <c r="F12" s="6">
        <f t="shared" si="3"/>
        <v>5941.670000000001</v>
      </c>
      <c r="G12" s="6">
        <f t="shared" si="4"/>
        <v>6357.6100000000006</v>
      </c>
      <c r="H12" s="6">
        <f t="shared" si="5"/>
        <v>6802.6</v>
      </c>
      <c r="I12" s="6">
        <f t="shared" si="6"/>
        <v>7278.670000000001</v>
      </c>
      <c r="J12" s="6">
        <f t="shared" si="7"/>
        <v>7788.3400000000011</v>
      </c>
      <c r="K12" s="6">
        <f t="shared" si="8"/>
        <v>8333.5</v>
      </c>
      <c r="L12" s="6">
        <f t="shared" si="9"/>
        <v>8916.880000000001</v>
      </c>
      <c r="M12" s="6">
        <f t="shared" si="10"/>
        <v>9577.68</v>
      </c>
      <c r="N12" s="6">
        <f t="shared" si="11"/>
        <v>9885.61</v>
      </c>
      <c r="O12" s="6">
        <f t="shared" si="12"/>
        <v>10474.380000000001</v>
      </c>
    </row>
    <row r="13" spans="1:15" x14ac:dyDescent="0.3">
      <c r="A13" t="s">
        <v>10</v>
      </c>
      <c r="B13" s="3">
        <v>0.08</v>
      </c>
      <c r="C13" s="7">
        <f t="shared" si="1"/>
        <v>5600</v>
      </c>
      <c r="D13" s="7">
        <f t="shared" si="2"/>
        <v>5600</v>
      </c>
      <c r="E13" s="11">
        <v>0</v>
      </c>
      <c r="F13" s="6">
        <f t="shared" si="3"/>
        <v>6790.4800000000005</v>
      </c>
      <c r="G13" s="6">
        <f t="shared" si="4"/>
        <v>7265.84</v>
      </c>
      <c r="H13" s="6">
        <f t="shared" si="5"/>
        <v>7774.4000000000005</v>
      </c>
      <c r="I13" s="6">
        <f t="shared" si="6"/>
        <v>8318.48</v>
      </c>
      <c r="J13" s="6">
        <f t="shared" si="7"/>
        <v>8900.9600000000009</v>
      </c>
      <c r="K13" s="6">
        <f t="shared" si="8"/>
        <v>9524</v>
      </c>
      <c r="L13" s="6">
        <f t="shared" si="9"/>
        <v>10190.719999999999</v>
      </c>
      <c r="M13" s="6">
        <f t="shared" si="10"/>
        <v>10945.92</v>
      </c>
      <c r="N13" s="6">
        <f t="shared" si="11"/>
        <v>11297.84</v>
      </c>
      <c r="O13" s="6">
        <f t="shared" si="12"/>
        <v>11970.72</v>
      </c>
    </row>
    <row r="14" spans="1:15" x14ac:dyDescent="0.3">
      <c r="A14" t="s">
        <v>11</v>
      </c>
      <c r="B14" s="3">
        <v>0.11</v>
      </c>
      <c r="C14" s="7">
        <f t="shared" si="1"/>
        <v>7700</v>
      </c>
      <c r="D14" s="7">
        <f t="shared" si="2"/>
        <v>7700</v>
      </c>
      <c r="E14" s="11">
        <v>0</v>
      </c>
      <c r="F14" s="6">
        <f t="shared" si="3"/>
        <v>9336.91</v>
      </c>
      <c r="G14" s="6">
        <f t="shared" si="4"/>
        <v>9990.5300000000007</v>
      </c>
      <c r="H14" s="6">
        <f t="shared" si="5"/>
        <v>10689.8</v>
      </c>
      <c r="I14" s="6">
        <f t="shared" si="6"/>
        <v>11437.91</v>
      </c>
      <c r="J14" s="6">
        <f t="shared" si="7"/>
        <v>12238.82</v>
      </c>
      <c r="K14" s="6">
        <f t="shared" si="8"/>
        <v>13095.5</v>
      </c>
      <c r="L14" s="6">
        <f t="shared" si="9"/>
        <v>14012.24</v>
      </c>
      <c r="M14" s="6">
        <f t="shared" si="10"/>
        <v>15050.64</v>
      </c>
      <c r="N14" s="6">
        <f t="shared" si="11"/>
        <v>15534.53</v>
      </c>
      <c r="O14" s="6">
        <f t="shared" si="12"/>
        <v>16459.740000000002</v>
      </c>
    </row>
    <row r="15" spans="1:15" x14ac:dyDescent="0.3">
      <c r="A15" t="s">
        <v>12</v>
      </c>
      <c r="B15" s="3">
        <v>0.06</v>
      </c>
      <c r="C15" s="7">
        <f t="shared" si="1"/>
        <v>4200</v>
      </c>
      <c r="D15" s="7">
        <f t="shared" si="2"/>
        <v>4200</v>
      </c>
      <c r="E15" s="11">
        <v>2000</v>
      </c>
      <c r="F15" s="6">
        <f t="shared" si="3"/>
        <v>5092.8599999999997</v>
      </c>
      <c r="G15" s="6">
        <f t="shared" si="4"/>
        <v>5449.38</v>
      </c>
      <c r="H15" s="6">
        <f t="shared" si="5"/>
        <v>5830.8</v>
      </c>
      <c r="I15" s="6">
        <f t="shared" si="6"/>
        <v>6238.86</v>
      </c>
      <c r="J15" s="6">
        <f t="shared" si="7"/>
        <v>6675.7199999999993</v>
      </c>
      <c r="K15" s="6">
        <f t="shared" si="8"/>
        <v>7143</v>
      </c>
      <c r="L15" s="6">
        <f t="shared" si="9"/>
        <v>7643.04</v>
      </c>
      <c r="M15" s="6">
        <f t="shared" si="10"/>
        <v>8209.44</v>
      </c>
      <c r="N15" s="6">
        <f t="shared" si="11"/>
        <v>8473.3799999999992</v>
      </c>
      <c r="O15" s="6">
        <f t="shared" si="12"/>
        <v>8978.0399999999991</v>
      </c>
    </row>
    <row r="16" spans="1:15" x14ac:dyDescent="0.3">
      <c r="A16" t="s">
        <v>13</v>
      </c>
      <c r="B16" s="3">
        <v>0.13</v>
      </c>
      <c r="C16" s="7">
        <f t="shared" si="1"/>
        <v>9100</v>
      </c>
      <c r="D16" s="7">
        <f t="shared" si="2"/>
        <v>9100</v>
      </c>
      <c r="E16" s="11">
        <v>6000</v>
      </c>
      <c r="F16" s="6">
        <f t="shared" si="3"/>
        <v>11034.53</v>
      </c>
      <c r="G16" s="6">
        <f t="shared" si="4"/>
        <v>11806.99</v>
      </c>
      <c r="H16" s="6">
        <f t="shared" si="5"/>
        <v>12633.4</v>
      </c>
      <c r="I16" s="6">
        <f t="shared" si="6"/>
        <v>13517.53</v>
      </c>
      <c r="J16" s="6">
        <f t="shared" si="7"/>
        <v>14464.060000000001</v>
      </c>
      <c r="K16" s="6">
        <f t="shared" si="8"/>
        <v>15476.5</v>
      </c>
      <c r="L16" s="6">
        <f t="shared" si="9"/>
        <v>16559.920000000002</v>
      </c>
      <c r="M16" s="6">
        <f t="shared" si="10"/>
        <v>17787.12</v>
      </c>
      <c r="N16" s="6">
        <f t="shared" si="11"/>
        <v>18358.990000000002</v>
      </c>
      <c r="O16" s="6">
        <f t="shared" si="12"/>
        <v>19452.420000000002</v>
      </c>
    </row>
    <row r="17" spans="1:15" ht="15" thickBot="1" x14ac:dyDescent="0.35">
      <c r="A17" t="s">
        <v>14</v>
      </c>
      <c r="B17" s="4">
        <v>0.18</v>
      </c>
      <c r="C17" s="8">
        <f t="shared" si="1"/>
        <v>12600</v>
      </c>
      <c r="D17" s="8">
        <f t="shared" si="2"/>
        <v>12600</v>
      </c>
      <c r="E17" s="12">
        <v>8000</v>
      </c>
      <c r="F17" s="9">
        <f t="shared" si="3"/>
        <v>15278.58</v>
      </c>
      <c r="G17" s="9">
        <f t="shared" si="4"/>
        <v>16348.14</v>
      </c>
      <c r="H17" s="9">
        <f t="shared" si="5"/>
        <v>17492.399999999998</v>
      </c>
      <c r="I17" s="9">
        <f t="shared" si="6"/>
        <v>18716.579999999998</v>
      </c>
      <c r="J17" s="9">
        <f t="shared" si="7"/>
        <v>20027.16</v>
      </c>
      <c r="K17" s="9">
        <f t="shared" si="8"/>
        <v>21429</v>
      </c>
      <c r="L17" s="9">
        <f t="shared" si="9"/>
        <v>22929.119999999999</v>
      </c>
      <c r="M17" s="9">
        <f t="shared" si="10"/>
        <v>24628.32</v>
      </c>
      <c r="N17" s="9">
        <f t="shared" si="11"/>
        <v>25420.14</v>
      </c>
      <c r="O17" s="9">
        <f t="shared" si="12"/>
        <v>26934.12</v>
      </c>
    </row>
    <row r="18" spans="1:15" ht="15" thickTop="1" x14ac:dyDescent="0.3">
      <c r="A18" t="s">
        <v>17</v>
      </c>
      <c r="B18" s="5">
        <f>SUM(B6:B17)</f>
        <v>1</v>
      </c>
      <c r="C18" s="6">
        <v>70000</v>
      </c>
      <c r="D18" s="6">
        <v>66800</v>
      </c>
      <c r="E18" s="6">
        <f>SUM(E6:E17)</f>
        <v>16000</v>
      </c>
      <c r="F18" s="6">
        <v>84881</v>
      </c>
      <c r="G18" s="6">
        <v>90823</v>
      </c>
      <c r="H18" s="6">
        <v>97180</v>
      </c>
      <c r="I18" s="6">
        <v>103981</v>
      </c>
      <c r="J18" s="6">
        <v>111262</v>
      </c>
      <c r="K18" s="6">
        <v>119050</v>
      </c>
      <c r="L18" s="6">
        <v>127384</v>
      </c>
      <c r="M18" s="6">
        <v>136824</v>
      </c>
      <c r="N18" s="6">
        <v>141223</v>
      </c>
      <c r="O18" s="6">
        <v>149634</v>
      </c>
    </row>
    <row r="20" spans="1:15" x14ac:dyDescent="0.3">
      <c r="A20" t="s">
        <v>18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67ED-9379-4D59-954D-5CFA6801DC64}">
  <dimension ref="A2:P45"/>
  <sheetViews>
    <sheetView zoomScale="104" zoomScaleNormal="116" workbookViewId="0">
      <selection activeCell="E17" sqref="E17"/>
    </sheetView>
  </sheetViews>
  <sheetFormatPr baseColWidth="10" defaultColWidth="8.88671875" defaultRowHeight="14.4" x14ac:dyDescent="0.3"/>
  <cols>
    <col min="2" max="2" width="15.33203125" customWidth="1"/>
    <col min="3" max="3" width="11.44140625" customWidth="1"/>
    <col min="4" max="4" width="18.5546875" customWidth="1"/>
    <col min="5" max="15" width="15.77734375" bestFit="1" customWidth="1"/>
  </cols>
  <sheetData>
    <row r="2" spans="4:16" ht="15" thickBot="1" x14ac:dyDescent="0.35">
      <c r="D2" s="25" t="s">
        <v>19</v>
      </c>
      <c r="E2" s="24">
        <f>E15</f>
        <v>2025</v>
      </c>
      <c r="F2" s="24">
        <f>F15</f>
        <v>2026</v>
      </c>
      <c r="G2" s="24">
        <f t="shared" ref="G2:O2" si="0">G15</f>
        <v>2027</v>
      </c>
      <c r="H2" s="24">
        <f t="shared" si="0"/>
        <v>2028</v>
      </c>
      <c r="I2" s="24">
        <f t="shared" si="0"/>
        <v>2029</v>
      </c>
      <c r="J2" s="24">
        <f t="shared" si="0"/>
        <v>2030</v>
      </c>
      <c r="K2" s="24">
        <f t="shared" si="0"/>
        <v>2031</v>
      </c>
      <c r="L2" s="24">
        <f t="shared" si="0"/>
        <v>2032</v>
      </c>
      <c r="M2" s="24">
        <f t="shared" si="0"/>
        <v>2033</v>
      </c>
      <c r="N2" s="24">
        <f t="shared" si="0"/>
        <v>2034</v>
      </c>
      <c r="O2" s="24">
        <f t="shared" si="0"/>
        <v>2035</v>
      </c>
    </row>
    <row r="3" spans="4:16" x14ac:dyDescent="0.3">
      <c r="D3" s="13" t="s">
        <v>20</v>
      </c>
      <c r="E3" s="14">
        <v>0.8</v>
      </c>
      <c r="F3" s="14">
        <v>0.85</v>
      </c>
      <c r="G3" s="14">
        <v>0.9</v>
      </c>
      <c r="H3" s="14">
        <v>0.9</v>
      </c>
      <c r="I3" s="14">
        <v>0.9</v>
      </c>
      <c r="J3" s="14">
        <v>0.9</v>
      </c>
      <c r="K3" s="14">
        <v>0.9</v>
      </c>
      <c r="L3" s="14">
        <v>0.9</v>
      </c>
      <c r="M3" s="14">
        <v>0.9</v>
      </c>
      <c r="N3" s="14">
        <v>0.9</v>
      </c>
      <c r="O3" s="14">
        <v>0.9</v>
      </c>
    </row>
    <row r="4" spans="4:16" x14ac:dyDescent="0.3">
      <c r="D4" s="15" t="s">
        <v>21</v>
      </c>
      <c r="E4" s="16">
        <v>420</v>
      </c>
      <c r="F4" s="16">
        <f t="shared" ref="F4:M4" si="1">F36</f>
        <v>40</v>
      </c>
      <c r="G4" s="16">
        <f t="shared" si="1"/>
        <v>40</v>
      </c>
      <c r="H4" s="16">
        <f t="shared" si="1"/>
        <v>40</v>
      </c>
      <c r="I4" s="16">
        <f t="shared" si="1"/>
        <v>40</v>
      </c>
      <c r="J4" s="16">
        <f t="shared" si="1"/>
        <v>40</v>
      </c>
      <c r="K4" s="16">
        <f t="shared" si="1"/>
        <v>40</v>
      </c>
      <c r="L4" s="16">
        <f t="shared" si="1"/>
        <v>40</v>
      </c>
      <c r="M4" s="16">
        <f t="shared" si="1"/>
        <v>40</v>
      </c>
      <c r="N4" s="16">
        <f t="shared" ref="N4:O4" si="2">N36</f>
        <v>40</v>
      </c>
      <c r="O4" s="16">
        <f t="shared" si="2"/>
        <v>40</v>
      </c>
    </row>
    <row r="5" spans="4:16" x14ac:dyDescent="0.3">
      <c r="D5" s="15" t="s">
        <v>22</v>
      </c>
      <c r="E5" s="17">
        <f>3600/E4</f>
        <v>8.5714285714285712</v>
      </c>
      <c r="F5" s="17">
        <f t="shared" ref="F5:M5" si="3">3600/F4</f>
        <v>90</v>
      </c>
      <c r="G5" s="17">
        <f t="shared" si="3"/>
        <v>90</v>
      </c>
      <c r="H5" s="17">
        <f t="shared" si="3"/>
        <v>90</v>
      </c>
      <c r="I5" s="17">
        <f t="shared" si="3"/>
        <v>90</v>
      </c>
      <c r="J5" s="17">
        <f t="shared" si="3"/>
        <v>90</v>
      </c>
      <c r="K5" s="17">
        <f t="shared" si="3"/>
        <v>90</v>
      </c>
      <c r="L5" s="17">
        <f t="shared" si="3"/>
        <v>90</v>
      </c>
      <c r="M5" s="17">
        <f t="shared" si="3"/>
        <v>90</v>
      </c>
      <c r="N5" s="17">
        <f t="shared" ref="N5:O5" si="4">3600/N4</f>
        <v>90</v>
      </c>
      <c r="O5" s="17">
        <f t="shared" si="4"/>
        <v>90</v>
      </c>
    </row>
    <row r="6" spans="4:16" x14ac:dyDescent="0.3">
      <c r="D6" s="15" t="s">
        <v>23</v>
      </c>
      <c r="E6" s="16">
        <v>7.5</v>
      </c>
      <c r="F6" s="16">
        <v>7.5</v>
      </c>
      <c r="G6" s="16">
        <v>7.5</v>
      </c>
      <c r="H6" s="16">
        <v>7.5</v>
      </c>
      <c r="I6" s="16">
        <v>7.5</v>
      </c>
      <c r="J6" s="16">
        <v>7.5</v>
      </c>
      <c r="K6" s="16">
        <v>7.5</v>
      </c>
      <c r="L6" s="16">
        <v>7.5</v>
      </c>
      <c r="M6" s="16">
        <v>7.5</v>
      </c>
      <c r="N6" s="16">
        <v>7.5</v>
      </c>
      <c r="O6" s="16">
        <v>7.5</v>
      </c>
    </row>
    <row r="7" spans="4:16" x14ac:dyDescent="0.3">
      <c r="D7" s="15" t="s">
        <v>24</v>
      </c>
      <c r="E7" s="16">
        <v>2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</row>
    <row r="8" spans="4:16" x14ac:dyDescent="0.3">
      <c r="D8" s="15" t="s">
        <v>25</v>
      </c>
      <c r="E8" s="16">
        <v>1</v>
      </c>
      <c r="F8" s="16">
        <v>1</v>
      </c>
      <c r="G8" s="16">
        <v>1</v>
      </c>
      <c r="H8" s="16">
        <v>1</v>
      </c>
      <c r="I8" s="16">
        <v>2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</row>
    <row r="9" spans="4:16" x14ac:dyDescent="0.3">
      <c r="D9" s="15" t="s">
        <v>26</v>
      </c>
      <c r="E9" s="16">
        <v>5</v>
      </c>
      <c r="F9" s="16">
        <v>5</v>
      </c>
      <c r="G9" s="16">
        <v>5</v>
      </c>
      <c r="H9" s="16">
        <v>5</v>
      </c>
      <c r="I9" s="16">
        <v>5</v>
      </c>
      <c r="J9" s="16">
        <v>5</v>
      </c>
      <c r="K9" s="16">
        <v>5</v>
      </c>
      <c r="L9" s="16">
        <v>5</v>
      </c>
      <c r="M9" s="16">
        <v>6</v>
      </c>
      <c r="N9" s="16">
        <v>6</v>
      </c>
      <c r="O9" s="16">
        <v>6</v>
      </c>
    </row>
    <row r="10" spans="4:16" x14ac:dyDescent="0.3">
      <c r="D10" s="15" t="s">
        <v>27</v>
      </c>
      <c r="E10" s="16">
        <v>4</v>
      </c>
      <c r="F10" s="16">
        <v>4</v>
      </c>
      <c r="G10" s="16">
        <v>4</v>
      </c>
      <c r="H10" s="16">
        <v>4</v>
      </c>
      <c r="I10" s="16">
        <v>4</v>
      </c>
      <c r="J10" s="16">
        <v>4</v>
      </c>
      <c r="K10" s="16">
        <v>4</v>
      </c>
      <c r="L10" s="16">
        <v>4</v>
      </c>
      <c r="M10" s="16">
        <v>4</v>
      </c>
      <c r="N10" s="16">
        <v>4</v>
      </c>
      <c r="O10" s="16">
        <v>4</v>
      </c>
    </row>
    <row r="11" spans="4:16" x14ac:dyDescent="0.3">
      <c r="D11" s="18" t="s">
        <v>28</v>
      </c>
      <c r="E11" s="19">
        <v>12</v>
      </c>
      <c r="F11" s="19">
        <v>12</v>
      </c>
      <c r="G11" s="19">
        <v>12</v>
      </c>
      <c r="H11" s="19">
        <v>12</v>
      </c>
      <c r="I11" s="19">
        <v>12</v>
      </c>
      <c r="J11" s="19">
        <v>12</v>
      </c>
      <c r="K11" s="19">
        <v>12</v>
      </c>
      <c r="L11" s="19">
        <v>12</v>
      </c>
      <c r="M11" s="19">
        <v>12</v>
      </c>
      <c r="N11" s="19">
        <v>12</v>
      </c>
      <c r="O11" s="19">
        <v>12</v>
      </c>
    </row>
    <row r="12" spans="4:16" x14ac:dyDescent="0.3">
      <c r="D12" s="20" t="s">
        <v>29</v>
      </c>
      <c r="E12" s="21">
        <f>E5*E6*E7*E8*E9*E10*E11</f>
        <v>30857.142857142855</v>
      </c>
      <c r="F12" s="21">
        <f t="shared" ref="F12:M12" si="5">F5*F6*F7*F8*F9*F10*F11</f>
        <v>162000</v>
      </c>
      <c r="G12" s="21">
        <f t="shared" si="5"/>
        <v>162000</v>
      </c>
      <c r="H12" s="21">
        <f t="shared" si="5"/>
        <v>162000</v>
      </c>
      <c r="I12" s="21">
        <f t="shared" si="5"/>
        <v>324000</v>
      </c>
      <c r="J12" s="21">
        <f t="shared" si="5"/>
        <v>162000</v>
      </c>
      <c r="K12" s="21">
        <f t="shared" si="5"/>
        <v>162000</v>
      </c>
      <c r="L12" s="21">
        <f t="shared" si="5"/>
        <v>162000</v>
      </c>
      <c r="M12" s="21">
        <f t="shared" si="5"/>
        <v>194400</v>
      </c>
      <c r="N12" s="21">
        <f t="shared" ref="N12:O12" si="6">N5*N6*N7*N8*N9*N10*N11</f>
        <v>194400</v>
      </c>
      <c r="O12" s="21">
        <f t="shared" si="6"/>
        <v>194400</v>
      </c>
    </row>
    <row r="13" spans="4:16" x14ac:dyDescent="0.3">
      <c r="E13" s="23">
        <f>E12*25%*4</f>
        <v>30857.142857142855</v>
      </c>
      <c r="F13" s="23">
        <f t="shared" ref="F13:M13" si="7">F12*25%*4</f>
        <v>162000</v>
      </c>
      <c r="G13" s="23">
        <f t="shared" si="7"/>
        <v>162000</v>
      </c>
      <c r="H13" s="23">
        <f t="shared" si="7"/>
        <v>162000</v>
      </c>
      <c r="I13" s="23">
        <f t="shared" si="7"/>
        <v>324000</v>
      </c>
      <c r="J13" s="23">
        <f t="shared" si="7"/>
        <v>162000</v>
      </c>
      <c r="K13" s="23">
        <f t="shared" si="7"/>
        <v>162000</v>
      </c>
      <c r="L13" s="23">
        <f t="shared" si="7"/>
        <v>162000</v>
      </c>
      <c r="M13" s="23">
        <f t="shared" si="7"/>
        <v>194400</v>
      </c>
      <c r="N13" s="23">
        <f t="shared" ref="N13:O13" si="8">N12*25%*4</f>
        <v>194400</v>
      </c>
      <c r="O13" s="23">
        <f t="shared" si="8"/>
        <v>194400</v>
      </c>
    </row>
    <row r="14" spans="4:16" x14ac:dyDescent="0.3"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4:16" x14ac:dyDescent="0.3">
      <c r="E15" s="24">
        <f>COs!E5</f>
        <v>2025</v>
      </c>
      <c r="F15" s="24">
        <f>E15+1</f>
        <v>2026</v>
      </c>
      <c r="G15" s="24">
        <f t="shared" ref="G15:M15" si="9">F15+1</f>
        <v>2027</v>
      </c>
      <c r="H15" s="24">
        <f t="shared" si="9"/>
        <v>2028</v>
      </c>
      <c r="I15" s="24">
        <f t="shared" si="9"/>
        <v>2029</v>
      </c>
      <c r="J15" s="24">
        <f t="shared" si="9"/>
        <v>2030</v>
      </c>
      <c r="K15" s="24">
        <f t="shared" si="9"/>
        <v>2031</v>
      </c>
      <c r="L15" s="24">
        <f t="shared" si="9"/>
        <v>2032</v>
      </c>
      <c r="M15" s="24">
        <f t="shared" si="9"/>
        <v>2033</v>
      </c>
      <c r="N15" s="24">
        <f t="shared" ref="N15" si="10">M15+1</f>
        <v>2034</v>
      </c>
      <c r="O15" s="24">
        <f t="shared" ref="O15" si="11">N15+1</f>
        <v>2035</v>
      </c>
    </row>
    <row r="16" spans="4:16" x14ac:dyDescent="0.3">
      <c r="D16" t="s">
        <v>30</v>
      </c>
      <c r="E16" s="22">
        <f>COs!E18</f>
        <v>16000</v>
      </c>
      <c r="F16" s="22">
        <f>COs!F18</f>
        <v>84881</v>
      </c>
      <c r="G16" s="22">
        <f>COs!G18</f>
        <v>90823</v>
      </c>
      <c r="H16" s="22">
        <f>COs!H18</f>
        <v>97180</v>
      </c>
      <c r="I16" s="22">
        <f>COs!I18</f>
        <v>103981</v>
      </c>
      <c r="J16" s="22">
        <f>COs!J18</f>
        <v>111262</v>
      </c>
      <c r="K16" s="22">
        <f>COs!K18</f>
        <v>119050</v>
      </c>
      <c r="L16" s="22">
        <f>COs!L18</f>
        <v>127384</v>
      </c>
      <c r="M16" s="22">
        <f>COs!M18</f>
        <v>136824</v>
      </c>
      <c r="N16" s="22">
        <f>COs!N18</f>
        <v>141223</v>
      </c>
      <c r="O16" s="22">
        <f>COs!O18</f>
        <v>149634</v>
      </c>
      <c r="P16" s="22">
        <f>COs!P18</f>
        <v>0</v>
      </c>
    </row>
    <row r="17" spans="1:15" x14ac:dyDescent="0.3">
      <c r="D17" t="s">
        <v>31</v>
      </c>
      <c r="E17" s="22">
        <f>E16/E3</f>
        <v>20000</v>
      </c>
      <c r="F17" s="22">
        <f>F16/F3</f>
        <v>99860</v>
      </c>
      <c r="G17" s="22">
        <f>G16/G3</f>
        <v>100914.44444444444</v>
      </c>
      <c r="H17" s="22">
        <f t="shared" ref="H17:O17" si="12">H16/H3</f>
        <v>107977.77777777778</v>
      </c>
      <c r="I17" s="22">
        <f t="shared" si="12"/>
        <v>115534.44444444444</v>
      </c>
      <c r="J17" s="22">
        <f t="shared" si="12"/>
        <v>123624.44444444444</v>
      </c>
      <c r="K17" s="22">
        <f t="shared" si="12"/>
        <v>132277.77777777778</v>
      </c>
      <c r="L17" s="22">
        <f t="shared" si="12"/>
        <v>141537.77777777778</v>
      </c>
      <c r="M17" s="22">
        <f t="shared" si="12"/>
        <v>152026.66666666666</v>
      </c>
      <c r="N17" s="22">
        <f t="shared" si="12"/>
        <v>156914.44444444444</v>
      </c>
      <c r="O17" s="22">
        <f t="shared" si="12"/>
        <v>166260</v>
      </c>
    </row>
    <row r="18" spans="1:15" x14ac:dyDescent="0.3">
      <c r="D18" t="s">
        <v>67</v>
      </c>
      <c r="E18" s="26">
        <f>E17/E13</f>
        <v>0.64814814814814814</v>
      </c>
      <c r="F18" s="26">
        <f t="shared" ref="F18:O18" si="13">F17/F13</f>
        <v>0.61641975308641972</v>
      </c>
      <c r="G18" s="26">
        <f t="shared" si="13"/>
        <v>0.6229286694101509</v>
      </c>
      <c r="H18" s="26">
        <f t="shared" si="13"/>
        <v>0.66652949245541837</v>
      </c>
      <c r="I18" s="26">
        <f t="shared" si="13"/>
        <v>0.35658779149519887</v>
      </c>
      <c r="J18" s="26">
        <f t="shared" si="13"/>
        <v>0.76311385459533598</v>
      </c>
      <c r="K18" s="26">
        <f t="shared" si="13"/>
        <v>0.81652949245541839</v>
      </c>
      <c r="L18" s="26">
        <f t="shared" si="13"/>
        <v>0.87368998628257888</v>
      </c>
      <c r="M18" s="26">
        <f t="shared" si="13"/>
        <v>0.78203017832647459</v>
      </c>
      <c r="N18" s="26">
        <f t="shared" si="13"/>
        <v>0.80717306812985823</v>
      </c>
      <c r="O18" s="26">
        <f t="shared" si="13"/>
        <v>0.85524691358024696</v>
      </c>
    </row>
    <row r="19" spans="1:15" x14ac:dyDescent="0.3"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1:15" ht="43.5" customHeight="1" x14ac:dyDescent="0.3">
      <c r="A20" s="27" t="s">
        <v>32</v>
      </c>
      <c r="B20" s="27" t="s">
        <v>33</v>
      </c>
      <c r="C20" s="27" t="s">
        <v>442</v>
      </c>
      <c r="D20" s="27" t="s">
        <v>69</v>
      </c>
      <c r="E20" s="27" t="s">
        <v>443</v>
      </c>
      <c r="F20" s="27" t="s">
        <v>68</v>
      </c>
      <c r="G20" s="27" t="s">
        <v>68</v>
      </c>
      <c r="H20" s="27" t="s">
        <v>68</v>
      </c>
      <c r="I20" s="27" t="s">
        <v>68</v>
      </c>
      <c r="J20" s="27" t="s">
        <v>68</v>
      </c>
      <c r="K20" s="27" t="s">
        <v>68</v>
      </c>
      <c r="L20" s="27" t="s">
        <v>68</v>
      </c>
      <c r="M20" s="27" t="s">
        <v>68</v>
      </c>
      <c r="N20" s="27" t="s">
        <v>68</v>
      </c>
      <c r="O20" s="27" t="s">
        <v>68</v>
      </c>
    </row>
    <row r="21" spans="1:15" x14ac:dyDescent="0.3">
      <c r="A21" t="s">
        <v>34</v>
      </c>
      <c r="B21" t="s">
        <v>35</v>
      </c>
      <c r="C21">
        <v>60</v>
      </c>
      <c r="D21">
        <v>6</v>
      </c>
      <c r="E21">
        <f>C21/D21</f>
        <v>10</v>
      </c>
      <c r="F21">
        <f>C21/D21</f>
        <v>10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</row>
    <row r="22" spans="1:15" x14ac:dyDescent="0.3">
      <c r="A22" t="s">
        <v>36</v>
      </c>
      <c r="B22" t="s">
        <v>37</v>
      </c>
      <c r="C22">
        <v>12</v>
      </c>
      <c r="D22">
        <v>1</v>
      </c>
      <c r="E22">
        <f t="shared" ref="E22:E36" si="14">C22/D22</f>
        <v>12</v>
      </c>
      <c r="F22">
        <f t="shared" ref="F22:F35" si="15">C22/D22</f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</row>
    <row r="23" spans="1:15" x14ac:dyDescent="0.3">
      <c r="A23" t="s">
        <v>38</v>
      </c>
      <c r="B23" t="s">
        <v>39</v>
      </c>
      <c r="C23">
        <v>12</v>
      </c>
      <c r="D23">
        <v>1</v>
      </c>
      <c r="E23">
        <f t="shared" si="14"/>
        <v>12</v>
      </c>
      <c r="F23">
        <f t="shared" si="15"/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</row>
    <row r="24" spans="1:15" x14ac:dyDescent="0.3">
      <c r="A24" t="s">
        <v>40</v>
      </c>
      <c r="B24" t="s">
        <v>41</v>
      </c>
      <c r="C24">
        <v>12</v>
      </c>
      <c r="D24">
        <v>1</v>
      </c>
      <c r="E24">
        <f t="shared" si="14"/>
        <v>12</v>
      </c>
      <c r="F24">
        <f t="shared" si="15"/>
        <v>12</v>
      </c>
      <c r="G24">
        <v>12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12</v>
      </c>
      <c r="N24">
        <v>12</v>
      </c>
      <c r="O24">
        <v>12</v>
      </c>
    </row>
    <row r="25" spans="1:15" x14ac:dyDescent="0.3">
      <c r="A25" t="s">
        <v>42</v>
      </c>
      <c r="B25" t="s">
        <v>43</v>
      </c>
      <c r="C25">
        <v>12</v>
      </c>
      <c r="D25">
        <v>1</v>
      </c>
      <c r="E25">
        <f t="shared" si="14"/>
        <v>12</v>
      </c>
      <c r="F25">
        <f t="shared" si="15"/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</row>
    <row r="26" spans="1:15" x14ac:dyDescent="0.3">
      <c r="A26" t="s">
        <v>44</v>
      </c>
      <c r="B26" t="s">
        <v>45</v>
      </c>
      <c r="C26">
        <v>12</v>
      </c>
      <c r="D26">
        <v>1</v>
      </c>
      <c r="E26">
        <f t="shared" si="14"/>
        <v>12</v>
      </c>
      <c r="F26">
        <f t="shared" si="15"/>
        <v>12</v>
      </c>
      <c r="G26">
        <v>12</v>
      </c>
      <c r="H26">
        <v>12</v>
      </c>
      <c r="I26">
        <v>12</v>
      </c>
      <c r="J26">
        <v>12</v>
      </c>
      <c r="K26">
        <v>12</v>
      </c>
      <c r="L26">
        <v>12</v>
      </c>
      <c r="M26">
        <v>12</v>
      </c>
      <c r="N26">
        <v>12</v>
      </c>
      <c r="O26">
        <v>12</v>
      </c>
    </row>
    <row r="27" spans="1:15" x14ac:dyDescent="0.3">
      <c r="A27" t="s">
        <v>46</v>
      </c>
      <c r="B27" t="s">
        <v>47</v>
      </c>
      <c r="C27">
        <v>12</v>
      </c>
      <c r="D27">
        <v>1</v>
      </c>
      <c r="E27">
        <f t="shared" si="14"/>
        <v>12</v>
      </c>
      <c r="F27">
        <f t="shared" si="15"/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</row>
    <row r="28" spans="1:15" x14ac:dyDescent="0.3">
      <c r="A28" t="s">
        <v>48</v>
      </c>
      <c r="B28" t="s">
        <v>49</v>
      </c>
      <c r="C28">
        <v>12</v>
      </c>
      <c r="D28">
        <v>1</v>
      </c>
      <c r="E28">
        <f t="shared" si="14"/>
        <v>12</v>
      </c>
      <c r="F28">
        <f t="shared" si="15"/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</row>
    <row r="29" spans="1:15" x14ac:dyDescent="0.3">
      <c r="A29" t="s">
        <v>50</v>
      </c>
      <c r="B29" t="s">
        <v>51</v>
      </c>
      <c r="C29">
        <v>12</v>
      </c>
      <c r="D29">
        <v>1</v>
      </c>
      <c r="E29">
        <f t="shared" si="14"/>
        <v>12</v>
      </c>
      <c r="F29">
        <f t="shared" si="15"/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</row>
    <row r="30" spans="1:15" x14ac:dyDescent="0.3">
      <c r="A30" t="s">
        <v>52</v>
      </c>
      <c r="B30" t="s">
        <v>53</v>
      </c>
      <c r="C30">
        <v>12</v>
      </c>
      <c r="D30">
        <v>1</v>
      </c>
      <c r="E30">
        <f t="shared" si="14"/>
        <v>12</v>
      </c>
      <c r="F30">
        <f t="shared" si="15"/>
        <v>12</v>
      </c>
      <c r="G30">
        <v>12</v>
      </c>
      <c r="H30">
        <v>12</v>
      </c>
      <c r="I30">
        <v>12</v>
      </c>
      <c r="J30">
        <v>12</v>
      </c>
      <c r="K30">
        <v>12</v>
      </c>
      <c r="L30">
        <v>12</v>
      </c>
      <c r="M30">
        <v>12</v>
      </c>
      <c r="N30">
        <v>12</v>
      </c>
      <c r="O30">
        <v>12</v>
      </c>
    </row>
    <row r="31" spans="1:15" x14ac:dyDescent="0.3">
      <c r="A31" t="s">
        <v>54</v>
      </c>
      <c r="B31" t="s">
        <v>55</v>
      </c>
      <c r="C31">
        <v>12</v>
      </c>
      <c r="D31">
        <v>1</v>
      </c>
      <c r="E31">
        <f t="shared" si="14"/>
        <v>12</v>
      </c>
      <c r="F31">
        <f t="shared" si="15"/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</row>
    <row r="32" spans="1:15" x14ac:dyDescent="0.3">
      <c r="A32" t="s">
        <v>56</v>
      </c>
      <c r="B32" t="s">
        <v>57</v>
      </c>
      <c r="C32">
        <v>12</v>
      </c>
      <c r="D32">
        <v>1</v>
      </c>
      <c r="E32">
        <f t="shared" si="14"/>
        <v>12</v>
      </c>
      <c r="F32">
        <f t="shared" si="15"/>
        <v>12</v>
      </c>
      <c r="G32">
        <v>12</v>
      </c>
      <c r="H32">
        <v>12</v>
      </c>
      <c r="I32">
        <v>12</v>
      </c>
      <c r="J32">
        <v>12</v>
      </c>
      <c r="K32">
        <v>12</v>
      </c>
      <c r="L32">
        <v>12</v>
      </c>
      <c r="M32">
        <v>12</v>
      </c>
      <c r="N32">
        <v>12</v>
      </c>
      <c r="O32">
        <v>12</v>
      </c>
    </row>
    <row r="33" spans="1:15" x14ac:dyDescent="0.3">
      <c r="A33" t="s">
        <v>58</v>
      </c>
      <c r="B33" t="s">
        <v>59</v>
      </c>
      <c r="C33">
        <v>12</v>
      </c>
      <c r="D33">
        <v>1</v>
      </c>
      <c r="E33">
        <f t="shared" si="14"/>
        <v>12</v>
      </c>
      <c r="F33">
        <f t="shared" si="15"/>
        <v>12</v>
      </c>
      <c r="G33">
        <v>12</v>
      </c>
      <c r="H33">
        <v>12</v>
      </c>
      <c r="I33">
        <v>12</v>
      </c>
      <c r="J33">
        <v>12</v>
      </c>
      <c r="K33">
        <v>12</v>
      </c>
      <c r="L33">
        <v>12</v>
      </c>
      <c r="M33">
        <v>12</v>
      </c>
      <c r="N33">
        <v>12</v>
      </c>
      <c r="O33">
        <v>12</v>
      </c>
    </row>
    <row r="34" spans="1:15" x14ac:dyDescent="0.3">
      <c r="A34" t="s">
        <v>60</v>
      </c>
      <c r="B34" t="s">
        <v>61</v>
      </c>
      <c r="C34">
        <v>12</v>
      </c>
      <c r="D34">
        <v>1</v>
      </c>
      <c r="E34">
        <f t="shared" si="14"/>
        <v>12</v>
      </c>
      <c r="F34">
        <f t="shared" si="15"/>
        <v>12</v>
      </c>
      <c r="G34">
        <v>12</v>
      </c>
      <c r="H34">
        <v>12</v>
      </c>
      <c r="I34">
        <v>12</v>
      </c>
      <c r="J34">
        <v>12</v>
      </c>
      <c r="K34">
        <v>12</v>
      </c>
      <c r="L34">
        <v>12</v>
      </c>
      <c r="M34">
        <v>12</v>
      </c>
      <c r="N34">
        <v>12</v>
      </c>
      <c r="O34">
        <v>12</v>
      </c>
    </row>
    <row r="35" spans="1:15" x14ac:dyDescent="0.3">
      <c r="A35" t="s">
        <v>62</v>
      </c>
      <c r="B35" t="s">
        <v>63</v>
      </c>
      <c r="C35">
        <v>12</v>
      </c>
      <c r="D35">
        <v>1</v>
      </c>
      <c r="E35">
        <f t="shared" si="14"/>
        <v>12</v>
      </c>
      <c r="F35">
        <f t="shared" si="15"/>
        <v>12</v>
      </c>
      <c r="G35">
        <v>12</v>
      </c>
      <c r="H35">
        <v>12</v>
      </c>
      <c r="I35">
        <v>12</v>
      </c>
      <c r="J35">
        <v>12</v>
      </c>
      <c r="K35">
        <v>12</v>
      </c>
      <c r="L35">
        <v>12</v>
      </c>
      <c r="M35">
        <v>12</v>
      </c>
      <c r="N35">
        <v>12</v>
      </c>
      <c r="O35">
        <v>12</v>
      </c>
    </row>
    <row r="36" spans="1:15" x14ac:dyDescent="0.3">
      <c r="A36" t="s">
        <v>64</v>
      </c>
      <c r="B36" t="s">
        <v>65</v>
      </c>
      <c r="C36">
        <v>120</v>
      </c>
      <c r="D36">
        <v>3</v>
      </c>
      <c r="E36">
        <f t="shared" si="14"/>
        <v>40</v>
      </c>
      <c r="F36">
        <f>E36</f>
        <v>40</v>
      </c>
      <c r="G36">
        <f>F36</f>
        <v>40</v>
      </c>
      <c r="H36">
        <f t="shared" ref="H36:M36" si="16">G36</f>
        <v>40</v>
      </c>
      <c r="I36">
        <f t="shared" si="16"/>
        <v>40</v>
      </c>
      <c r="J36">
        <f t="shared" si="16"/>
        <v>40</v>
      </c>
      <c r="K36">
        <f t="shared" si="16"/>
        <v>40</v>
      </c>
      <c r="L36">
        <f t="shared" si="16"/>
        <v>40</v>
      </c>
      <c r="M36">
        <f t="shared" si="16"/>
        <v>40</v>
      </c>
      <c r="N36">
        <f t="shared" ref="N36" si="17">M36</f>
        <v>40</v>
      </c>
      <c r="O36">
        <f t="shared" ref="O36" si="18">N36</f>
        <v>40</v>
      </c>
    </row>
    <row r="37" spans="1:15" x14ac:dyDescent="0.3">
      <c r="C37" t="s">
        <v>70</v>
      </c>
      <c r="D37">
        <f>SUM(D21:D36)</f>
        <v>23</v>
      </c>
      <c r="E37">
        <f>SUM(E21:E36)</f>
        <v>218</v>
      </c>
    </row>
    <row r="39" spans="1:15" x14ac:dyDescent="0.3">
      <c r="A39" t="s">
        <v>71</v>
      </c>
    </row>
    <row r="41" spans="1:15" x14ac:dyDescent="0.3">
      <c r="A41" s="28" t="s">
        <v>70</v>
      </c>
      <c r="B41" s="28"/>
      <c r="C41" s="20">
        <f>D37</f>
        <v>23</v>
      </c>
    </row>
    <row r="42" spans="1:15" x14ac:dyDescent="0.3">
      <c r="A42" s="28" t="s">
        <v>66</v>
      </c>
      <c r="B42" s="28"/>
      <c r="C42" s="20">
        <v>2</v>
      </c>
    </row>
    <row r="45" spans="1:15" x14ac:dyDescent="0.3">
      <c r="A45" t="s">
        <v>114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C359-48B4-44EB-B7FD-17A171B0B422}">
  <dimension ref="A3:G26"/>
  <sheetViews>
    <sheetView tabSelected="1" zoomScale="89" zoomScaleNormal="89" workbookViewId="0">
      <selection activeCell="G6" sqref="G6"/>
    </sheetView>
  </sheetViews>
  <sheetFormatPr baseColWidth="10" defaultColWidth="8.88671875" defaultRowHeight="14.4" x14ac:dyDescent="0.3"/>
  <cols>
    <col min="3" max="3" width="23.44140625" bestFit="1" customWidth="1"/>
    <col min="4" max="4" width="10.109375" bestFit="1" customWidth="1"/>
    <col min="5" max="5" width="10.21875" customWidth="1"/>
    <col min="6" max="6" width="10.88671875" customWidth="1"/>
  </cols>
  <sheetData>
    <row r="3" spans="1:7" x14ac:dyDescent="0.3">
      <c r="B3" t="s">
        <v>72</v>
      </c>
      <c r="C3" t="s">
        <v>113</v>
      </c>
    </row>
    <row r="4" spans="1:7" x14ac:dyDescent="0.3">
      <c r="B4" t="s">
        <v>73</v>
      </c>
      <c r="D4" s="29">
        <f>F26</f>
        <v>6121.03</v>
      </c>
    </row>
    <row r="5" spans="1:7" x14ac:dyDescent="0.3">
      <c r="B5" t="s">
        <v>74</v>
      </c>
      <c r="D5" s="29">
        <v>7600</v>
      </c>
    </row>
    <row r="8" spans="1:7" x14ac:dyDescent="0.3">
      <c r="A8" s="24"/>
      <c r="B8" s="24" t="s">
        <v>75</v>
      </c>
      <c r="C8" s="24" t="s">
        <v>33</v>
      </c>
      <c r="D8" s="24" t="s">
        <v>76</v>
      </c>
      <c r="E8" s="24" t="s">
        <v>77</v>
      </c>
      <c r="F8" s="24" t="s">
        <v>78</v>
      </c>
      <c r="G8" s="24" t="s">
        <v>445</v>
      </c>
    </row>
    <row r="9" spans="1:7" x14ac:dyDescent="0.3">
      <c r="A9">
        <v>1</v>
      </c>
      <c r="B9" t="s">
        <v>79</v>
      </c>
      <c r="C9" t="s">
        <v>80</v>
      </c>
      <c r="D9">
        <v>1</v>
      </c>
      <c r="E9" s="29">
        <v>627</v>
      </c>
      <c r="F9" s="29">
        <f>D9*E9</f>
        <v>627</v>
      </c>
      <c r="G9" s="3">
        <v>1</v>
      </c>
    </row>
    <row r="10" spans="1:7" x14ac:dyDescent="0.3">
      <c r="A10">
        <v>2</v>
      </c>
      <c r="B10" t="s">
        <v>81</v>
      </c>
      <c r="C10" t="s">
        <v>82</v>
      </c>
      <c r="D10">
        <v>1</v>
      </c>
      <c r="E10" s="29">
        <v>214.5</v>
      </c>
      <c r="F10" s="29">
        <f t="shared" ref="F10:F25" si="0">D10*E10</f>
        <v>214.5</v>
      </c>
      <c r="G10" s="3">
        <v>1</v>
      </c>
    </row>
    <row r="11" spans="1:7" x14ac:dyDescent="0.3">
      <c r="A11">
        <v>3</v>
      </c>
      <c r="B11" t="s">
        <v>83</v>
      </c>
      <c r="C11" t="s">
        <v>84</v>
      </c>
      <c r="D11">
        <v>4</v>
      </c>
      <c r="E11" s="29">
        <v>20</v>
      </c>
      <c r="F11" s="29">
        <f t="shared" si="0"/>
        <v>80</v>
      </c>
      <c r="G11" s="3">
        <v>1</v>
      </c>
    </row>
    <row r="12" spans="1:7" x14ac:dyDescent="0.3">
      <c r="A12">
        <v>4</v>
      </c>
      <c r="B12" t="s">
        <v>85</v>
      </c>
      <c r="C12" t="s">
        <v>86</v>
      </c>
      <c r="D12">
        <v>1</v>
      </c>
      <c r="E12" s="29">
        <v>257</v>
      </c>
      <c r="F12" s="29">
        <f t="shared" si="0"/>
        <v>257</v>
      </c>
      <c r="G12" s="3">
        <v>1</v>
      </c>
    </row>
    <row r="13" spans="1:7" x14ac:dyDescent="0.3">
      <c r="A13">
        <v>5</v>
      </c>
      <c r="B13" t="s">
        <v>87</v>
      </c>
      <c r="C13" t="s">
        <v>88</v>
      </c>
      <c r="D13">
        <v>1</v>
      </c>
      <c r="E13" s="29">
        <v>214.5</v>
      </c>
      <c r="F13" s="29">
        <f t="shared" si="0"/>
        <v>214.5</v>
      </c>
      <c r="G13" s="3">
        <v>1</v>
      </c>
    </row>
    <row r="14" spans="1:7" x14ac:dyDescent="0.3">
      <c r="A14">
        <v>6</v>
      </c>
      <c r="B14" t="s">
        <v>89</v>
      </c>
      <c r="C14" t="s">
        <v>90</v>
      </c>
      <c r="D14">
        <v>1</v>
      </c>
      <c r="E14" s="29">
        <v>0.49</v>
      </c>
      <c r="F14" s="29">
        <f t="shared" si="0"/>
        <v>0.49</v>
      </c>
      <c r="G14" s="3">
        <v>1</v>
      </c>
    </row>
    <row r="15" spans="1:7" x14ac:dyDescent="0.3">
      <c r="A15">
        <v>7</v>
      </c>
      <c r="B15" t="s">
        <v>91</v>
      </c>
      <c r="C15" t="s">
        <v>92</v>
      </c>
      <c r="D15">
        <v>1</v>
      </c>
      <c r="E15" s="29">
        <v>0.46</v>
      </c>
      <c r="F15" s="29">
        <f t="shared" si="0"/>
        <v>0.46</v>
      </c>
      <c r="G15" s="3">
        <v>1</v>
      </c>
    </row>
    <row r="16" spans="1:7" x14ac:dyDescent="0.3">
      <c r="A16">
        <v>8</v>
      </c>
      <c r="B16" t="s">
        <v>93</v>
      </c>
      <c r="C16" t="s">
        <v>94</v>
      </c>
      <c r="D16">
        <v>1</v>
      </c>
      <c r="E16" s="29">
        <v>0.84</v>
      </c>
      <c r="F16" s="29">
        <f t="shared" si="0"/>
        <v>0.84</v>
      </c>
      <c r="G16" s="3">
        <v>1</v>
      </c>
    </row>
    <row r="17" spans="1:7" x14ac:dyDescent="0.3">
      <c r="A17">
        <v>9</v>
      </c>
      <c r="B17" t="s">
        <v>95</v>
      </c>
      <c r="C17" t="s">
        <v>96</v>
      </c>
      <c r="D17">
        <v>1</v>
      </c>
      <c r="E17" s="29">
        <v>12.92</v>
      </c>
      <c r="F17" s="29">
        <f t="shared" si="0"/>
        <v>12.92</v>
      </c>
      <c r="G17" s="3">
        <v>1</v>
      </c>
    </row>
    <row r="18" spans="1:7" x14ac:dyDescent="0.3">
      <c r="A18">
        <v>10</v>
      </c>
      <c r="B18" t="s">
        <v>97</v>
      </c>
      <c r="C18" t="s">
        <v>98</v>
      </c>
      <c r="D18">
        <v>4</v>
      </c>
      <c r="E18" s="29">
        <v>0.68</v>
      </c>
      <c r="F18" s="29">
        <f t="shared" si="0"/>
        <v>2.72</v>
      </c>
      <c r="G18" s="3">
        <v>1</v>
      </c>
    </row>
    <row r="19" spans="1:7" x14ac:dyDescent="0.3">
      <c r="A19">
        <v>11</v>
      </c>
      <c r="B19" t="s">
        <v>99</v>
      </c>
      <c r="C19" t="s">
        <v>100</v>
      </c>
      <c r="D19">
        <v>1</v>
      </c>
      <c r="E19" s="29">
        <v>0.84</v>
      </c>
      <c r="F19" s="29">
        <f t="shared" si="0"/>
        <v>0.84</v>
      </c>
      <c r="G19" s="3">
        <v>0.8</v>
      </c>
    </row>
    <row r="20" spans="1:7" x14ac:dyDescent="0.3">
      <c r="A20">
        <v>12</v>
      </c>
      <c r="B20" t="s">
        <v>101</v>
      </c>
      <c r="C20" t="s">
        <v>102</v>
      </c>
      <c r="D20">
        <v>1</v>
      </c>
      <c r="E20" s="29">
        <v>3.84</v>
      </c>
      <c r="F20" s="29">
        <f t="shared" si="0"/>
        <v>3.84</v>
      </c>
      <c r="G20" s="3">
        <v>1</v>
      </c>
    </row>
    <row r="21" spans="1:7" x14ac:dyDescent="0.3">
      <c r="A21">
        <v>13</v>
      </c>
      <c r="B21" t="s">
        <v>103</v>
      </c>
      <c r="C21" t="s">
        <v>104</v>
      </c>
      <c r="D21">
        <v>4</v>
      </c>
      <c r="E21" s="29">
        <v>3.62</v>
      </c>
      <c r="F21" s="29">
        <f t="shared" si="0"/>
        <v>14.48</v>
      </c>
      <c r="G21" s="3">
        <v>1</v>
      </c>
    </row>
    <row r="22" spans="1:7" x14ac:dyDescent="0.3">
      <c r="A22">
        <v>14</v>
      </c>
      <c r="B22" t="s">
        <v>105</v>
      </c>
      <c r="C22" t="s">
        <v>106</v>
      </c>
      <c r="D22">
        <v>4</v>
      </c>
      <c r="E22" s="29">
        <v>1.49</v>
      </c>
      <c r="F22" s="29">
        <f t="shared" si="0"/>
        <v>5.96</v>
      </c>
      <c r="G22" s="3">
        <v>1</v>
      </c>
    </row>
    <row r="23" spans="1:7" x14ac:dyDescent="0.3">
      <c r="A23">
        <v>15</v>
      </c>
      <c r="B23" t="s">
        <v>107</v>
      </c>
      <c r="C23" t="s">
        <v>108</v>
      </c>
      <c r="D23">
        <v>1</v>
      </c>
      <c r="E23" s="29">
        <v>4.4800000000000004</v>
      </c>
      <c r="F23" s="29">
        <f t="shared" si="0"/>
        <v>4.4800000000000004</v>
      </c>
      <c r="G23" s="3">
        <v>1</v>
      </c>
    </row>
    <row r="24" spans="1:7" x14ac:dyDescent="0.3">
      <c r="A24">
        <v>16</v>
      </c>
      <c r="B24" t="s">
        <v>109</v>
      </c>
      <c r="C24" t="s">
        <v>110</v>
      </c>
      <c r="D24">
        <v>1</v>
      </c>
      <c r="E24" s="29">
        <v>181</v>
      </c>
      <c r="F24" s="29">
        <f t="shared" si="0"/>
        <v>181</v>
      </c>
      <c r="G24" s="3">
        <v>1</v>
      </c>
    </row>
    <row r="25" spans="1:7" x14ac:dyDescent="0.3">
      <c r="A25">
        <v>17</v>
      </c>
      <c r="B25" t="s">
        <v>111</v>
      </c>
      <c r="C25" t="s">
        <v>112</v>
      </c>
      <c r="D25">
        <v>1</v>
      </c>
      <c r="E25" s="29">
        <v>4500</v>
      </c>
      <c r="F25" s="29">
        <f t="shared" si="0"/>
        <v>4500</v>
      </c>
      <c r="G25" s="3">
        <v>1</v>
      </c>
    </row>
    <row r="26" spans="1:7" x14ac:dyDescent="0.3">
      <c r="F26" s="29">
        <f>SUM(F9:F25)</f>
        <v>6121.03</v>
      </c>
    </row>
  </sheetData>
  <pageMargins left="0.7" right="0.7" top="0.75" bottom="0.75" header="0.3" footer="0.3"/>
  <pageSetup paperSize="9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4FA2-4EE4-4682-8C9E-8DDD1911FD1E}">
  <dimension ref="B2:M85"/>
  <sheetViews>
    <sheetView topLeftCell="A8" workbookViewId="0">
      <selection activeCell="C25" sqref="C25"/>
    </sheetView>
  </sheetViews>
  <sheetFormatPr baseColWidth="10" defaultColWidth="11.44140625" defaultRowHeight="14.4" x14ac:dyDescent="0.3"/>
  <cols>
    <col min="1" max="16384" width="11.44140625" style="30"/>
  </cols>
  <sheetData>
    <row r="2" spans="2:13" x14ac:dyDescent="0.3">
      <c r="B2" s="30" t="s">
        <v>115</v>
      </c>
    </row>
    <row r="7" spans="2:13" x14ac:dyDescent="0.3">
      <c r="B7" s="31"/>
      <c r="C7" s="31"/>
      <c r="D7" s="31"/>
      <c r="E7" s="31"/>
      <c r="F7" s="31"/>
      <c r="G7" s="31"/>
      <c r="H7" s="31"/>
      <c r="I7" s="31"/>
      <c r="J7" s="31"/>
      <c r="K7" s="31"/>
    </row>
    <row r="8" spans="2:13" x14ac:dyDescent="0.3">
      <c r="B8" s="31" t="s">
        <v>116</v>
      </c>
      <c r="C8" s="31"/>
      <c r="D8" s="31"/>
      <c r="E8" s="31"/>
      <c r="F8" s="31"/>
      <c r="G8" s="31"/>
      <c r="H8" s="31"/>
      <c r="I8" s="31"/>
      <c r="J8" s="31"/>
      <c r="K8" s="31"/>
    </row>
    <row r="9" spans="2:13" x14ac:dyDescent="0.3">
      <c r="B9" s="31" t="s">
        <v>117</v>
      </c>
      <c r="C9" s="31"/>
      <c r="D9" s="31"/>
      <c r="E9" s="31"/>
      <c r="F9" s="31"/>
      <c r="G9" s="31"/>
      <c r="H9" s="31"/>
      <c r="I9" s="31"/>
      <c r="J9" s="31"/>
      <c r="K9" s="31"/>
    </row>
    <row r="10" spans="2:13" x14ac:dyDescent="0.3">
      <c r="B10" s="31"/>
      <c r="C10" s="32">
        <v>2025</v>
      </c>
      <c r="D10" s="32">
        <f>C10+1</f>
        <v>2026</v>
      </c>
      <c r="E10" s="32">
        <f t="shared" ref="E10:M10" si="0">D10+1</f>
        <v>2027</v>
      </c>
      <c r="F10" s="32">
        <f t="shared" si="0"/>
        <v>2028</v>
      </c>
      <c r="G10" s="32">
        <f t="shared" si="0"/>
        <v>2029</v>
      </c>
      <c r="H10" s="32">
        <f t="shared" si="0"/>
        <v>2030</v>
      </c>
      <c r="I10" s="32">
        <f t="shared" si="0"/>
        <v>2031</v>
      </c>
      <c r="J10" s="32">
        <f t="shared" si="0"/>
        <v>2032</v>
      </c>
      <c r="K10" s="32">
        <f t="shared" si="0"/>
        <v>2033</v>
      </c>
      <c r="L10" s="32">
        <f t="shared" si="0"/>
        <v>2034</v>
      </c>
      <c r="M10" s="32">
        <f t="shared" si="0"/>
        <v>2035</v>
      </c>
    </row>
    <row r="11" spans="2:13" x14ac:dyDescent="0.3">
      <c r="B11" s="31" t="s">
        <v>118</v>
      </c>
      <c r="C11" s="31">
        <v>2800000</v>
      </c>
      <c r="D11" s="31">
        <f t="shared" ref="D11:K23" si="1">C11</f>
        <v>2800000</v>
      </c>
      <c r="E11" s="31">
        <f t="shared" si="1"/>
        <v>2800000</v>
      </c>
      <c r="F11" s="31">
        <f t="shared" si="1"/>
        <v>2800000</v>
      </c>
      <c r="G11" s="31">
        <f t="shared" si="1"/>
        <v>2800000</v>
      </c>
      <c r="H11" s="31">
        <f t="shared" si="1"/>
        <v>2800000</v>
      </c>
      <c r="I11" s="31">
        <f t="shared" si="1"/>
        <v>2800000</v>
      </c>
      <c r="J11" s="31">
        <f t="shared" si="1"/>
        <v>2800000</v>
      </c>
      <c r="K11" s="31">
        <f t="shared" si="1"/>
        <v>2800000</v>
      </c>
      <c r="L11" s="31">
        <f t="shared" ref="L11:L23" si="2">K11</f>
        <v>2800000</v>
      </c>
      <c r="M11" s="31">
        <f t="shared" ref="M11:M23" si="3">L11</f>
        <v>2800000</v>
      </c>
    </row>
    <row r="12" spans="2:13" x14ac:dyDescent="0.3">
      <c r="B12" s="31" t="s">
        <v>119</v>
      </c>
      <c r="C12" s="31">
        <v>112000</v>
      </c>
      <c r="D12" s="31">
        <f t="shared" si="1"/>
        <v>112000</v>
      </c>
      <c r="E12" s="31">
        <f t="shared" si="1"/>
        <v>112000</v>
      </c>
      <c r="F12" s="31">
        <f t="shared" si="1"/>
        <v>112000</v>
      </c>
      <c r="G12" s="31">
        <f t="shared" si="1"/>
        <v>112000</v>
      </c>
      <c r="H12" s="31">
        <f t="shared" si="1"/>
        <v>112000</v>
      </c>
      <c r="I12" s="31">
        <f t="shared" si="1"/>
        <v>112000</v>
      </c>
      <c r="J12" s="31">
        <f t="shared" si="1"/>
        <v>112000</v>
      </c>
      <c r="K12" s="31">
        <f>J12</f>
        <v>112000</v>
      </c>
      <c r="L12" s="31">
        <f t="shared" si="2"/>
        <v>112000</v>
      </c>
      <c r="M12" s="31">
        <f t="shared" si="3"/>
        <v>112000</v>
      </c>
    </row>
    <row r="13" spans="2:13" x14ac:dyDescent="0.3">
      <c r="B13" s="31" t="s">
        <v>120</v>
      </c>
      <c r="C13" s="31">
        <v>112000</v>
      </c>
      <c r="D13" s="31">
        <f t="shared" si="1"/>
        <v>112000</v>
      </c>
      <c r="E13" s="31">
        <f t="shared" si="1"/>
        <v>112000</v>
      </c>
      <c r="F13" s="31">
        <f t="shared" si="1"/>
        <v>112000</v>
      </c>
      <c r="G13" s="31">
        <f t="shared" si="1"/>
        <v>112000</v>
      </c>
      <c r="H13" s="31">
        <f t="shared" si="1"/>
        <v>112000</v>
      </c>
      <c r="I13" s="31">
        <f t="shared" si="1"/>
        <v>112000</v>
      </c>
      <c r="J13" s="31">
        <f t="shared" si="1"/>
        <v>112000</v>
      </c>
      <c r="K13" s="31">
        <f t="shared" si="1"/>
        <v>112000</v>
      </c>
      <c r="L13" s="31">
        <f t="shared" si="2"/>
        <v>112000</v>
      </c>
      <c r="M13" s="31">
        <f t="shared" si="3"/>
        <v>112000</v>
      </c>
    </row>
    <row r="14" spans="2:13" x14ac:dyDescent="0.3">
      <c r="B14" s="31" t="s">
        <v>121</v>
      </c>
      <c r="C14" s="31">
        <v>112000</v>
      </c>
      <c r="D14" s="31">
        <f t="shared" si="1"/>
        <v>112000</v>
      </c>
      <c r="E14" s="31">
        <f t="shared" si="1"/>
        <v>112000</v>
      </c>
      <c r="F14" s="31">
        <f t="shared" si="1"/>
        <v>112000</v>
      </c>
      <c r="G14" s="31">
        <f t="shared" si="1"/>
        <v>112000</v>
      </c>
      <c r="H14" s="31">
        <f t="shared" si="1"/>
        <v>112000</v>
      </c>
      <c r="I14" s="31">
        <f t="shared" si="1"/>
        <v>112000</v>
      </c>
      <c r="J14" s="31">
        <f t="shared" si="1"/>
        <v>112000</v>
      </c>
      <c r="K14" s="31">
        <f t="shared" si="1"/>
        <v>112000</v>
      </c>
      <c r="L14" s="31">
        <f t="shared" si="2"/>
        <v>112000</v>
      </c>
      <c r="M14" s="31">
        <f t="shared" si="3"/>
        <v>112000</v>
      </c>
    </row>
    <row r="15" spans="2:13" x14ac:dyDescent="0.3">
      <c r="B15" s="31" t="s">
        <v>122</v>
      </c>
      <c r="C15" s="31">
        <v>112000</v>
      </c>
      <c r="D15" s="31">
        <f t="shared" si="1"/>
        <v>112000</v>
      </c>
      <c r="E15" s="31">
        <f t="shared" si="1"/>
        <v>112000</v>
      </c>
      <c r="F15" s="31">
        <f t="shared" si="1"/>
        <v>112000</v>
      </c>
      <c r="G15" s="31">
        <f t="shared" si="1"/>
        <v>112000</v>
      </c>
      <c r="H15" s="31">
        <f t="shared" si="1"/>
        <v>112000</v>
      </c>
      <c r="I15" s="31">
        <f t="shared" si="1"/>
        <v>112000</v>
      </c>
      <c r="J15" s="31">
        <f t="shared" si="1"/>
        <v>112000</v>
      </c>
      <c r="K15" s="31">
        <f t="shared" si="1"/>
        <v>112000</v>
      </c>
      <c r="L15" s="31">
        <f t="shared" si="2"/>
        <v>112000</v>
      </c>
      <c r="M15" s="31">
        <f t="shared" si="3"/>
        <v>112000</v>
      </c>
    </row>
    <row r="16" spans="2:13" x14ac:dyDescent="0.3">
      <c r="B16" s="31" t="s">
        <v>123</v>
      </c>
      <c r="C16" s="31">
        <v>112000</v>
      </c>
      <c r="D16" s="31">
        <f t="shared" si="1"/>
        <v>112000</v>
      </c>
      <c r="E16" s="31">
        <f t="shared" si="1"/>
        <v>112000</v>
      </c>
      <c r="F16" s="31">
        <f t="shared" si="1"/>
        <v>112000</v>
      </c>
      <c r="G16" s="31">
        <f t="shared" si="1"/>
        <v>112000</v>
      </c>
      <c r="H16" s="31">
        <f t="shared" si="1"/>
        <v>112000</v>
      </c>
      <c r="I16" s="31">
        <f t="shared" si="1"/>
        <v>112000</v>
      </c>
      <c r="J16" s="31">
        <f t="shared" si="1"/>
        <v>112000</v>
      </c>
      <c r="K16" s="31">
        <f t="shared" si="1"/>
        <v>112000</v>
      </c>
      <c r="L16" s="31">
        <f t="shared" si="2"/>
        <v>112000</v>
      </c>
      <c r="M16" s="31">
        <f t="shared" si="3"/>
        <v>112000</v>
      </c>
    </row>
    <row r="17" spans="2:13" x14ac:dyDescent="0.3">
      <c r="B17" s="31" t="s">
        <v>124</v>
      </c>
      <c r="C17" s="31">
        <v>2400000</v>
      </c>
      <c r="D17" s="31">
        <f t="shared" si="1"/>
        <v>2400000</v>
      </c>
      <c r="E17" s="31">
        <f t="shared" si="1"/>
        <v>2400000</v>
      </c>
      <c r="F17" s="31">
        <f t="shared" si="1"/>
        <v>2400000</v>
      </c>
      <c r="G17" s="31">
        <f t="shared" si="1"/>
        <v>2400000</v>
      </c>
      <c r="H17" s="31">
        <f t="shared" si="1"/>
        <v>2400000</v>
      </c>
      <c r="I17" s="31">
        <f t="shared" si="1"/>
        <v>2400000</v>
      </c>
      <c r="J17" s="31">
        <f t="shared" si="1"/>
        <v>2400000</v>
      </c>
      <c r="K17" s="31">
        <f t="shared" si="1"/>
        <v>2400000</v>
      </c>
      <c r="L17" s="31">
        <f t="shared" si="2"/>
        <v>2400000</v>
      </c>
      <c r="M17" s="31">
        <f t="shared" si="3"/>
        <v>2400000</v>
      </c>
    </row>
    <row r="18" spans="2:13" x14ac:dyDescent="0.3">
      <c r="B18" s="31" t="s">
        <v>125</v>
      </c>
      <c r="C18" s="31">
        <v>2000000</v>
      </c>
      <c r="D18" s="31">
        <f t="shared" si="1"/>
        <v>2000000</v>
      </c>
      <c r="E18" s="31">
        <f t="shared" si="1"/>
        <v>2000000</v>
      </c>
      <c r="F18" s="31">
        <f t="shared" si="1"/>
        <v>2000000</v>
      </c>
      <c r="G18" s="31">
        <f t="shared" si="1"/>
        <v>2000000</v>
      </c>
      <c r="H18" s="31">
        <f t="shared" si="1"/>
        <v>2000000</v>
      </c>
      <c r="I18" s="31">
        <f t="shared" si="1"/>
        <v>2000000</v>
      </c>
      <c r="J18" s="31">
        <f t="shared" si="1"/>
        <v>2000000</v>
      </c>
      <c r="K18" s="31">
        <f t="shared" si="1"/>
        <v>2000000</v>
      </c>
      <c r="L18" s="31">
        <f t="shared" si="2"/>
        <v>2000000</v>
      </c>
      <c r="M18" s="31">
        <f t="shared" si="3"/>
        <v>2000000</v>
      </c>
    </row>
    <row r="19" spans="2:13" x14ac:dyDescent="0.3">
      <c r="B19" s="31" t="s">
        <v>126</v>
      </c>
      <c r="C19" s="31">
        <v>300000</v>
      </c>
      <c r="D19" s="31">
        <f t="shared" si="1"/>
        <v>300000</v>
      </c>
      <c r="E19" s="31">
        <f t="shared" si="1"/>
        <v>300000</v>
      </c>
      <c r="F19" s="31">
        <f t="shared" si="1"/>
        <v>300000</v>
      </c>
      <c r="G19" s="31">
        <f t="shared" si="1"/>
        <v>300000</v>
      </c>
      <c r="H19" s="31">
        <f t="shared" si="1"/>
        <v>300000</v>
      </c>
      <c r="I19" s="31">
        <f t="shared" si="1"/>
        <v>300000</v>
      </c>
      <c r="J19" s="31">
        <f t="shared" si="1"/>
        <v>300000</v>
      </c>
      <c r="K19" s="31">
        <f t="shared" si="1"/>
        <v>300000</v>
      </c>
      <c r="L19" s="31">
        <f t="shared" si="2"/>
        <v>300000</v>
      </c>
      <c r="M19" s="31">
        <f t="shared" si="3"/>
        <v>300000</v>
      </c>
    </row>
    <row r="20" spans="2:13" x14ac:dyDescent="0.3">
      <c r="B20" s="31" t="s">
        <v>127</v>
      </c>
      <c r="C20" s="31">
        <v>0</v>
      </c>
      <c r="D20" s="31">
        <f>C20</f>
        <v>0</v>
      </c>
      <c r="E20" s="31">
        <v>0</v>
      </c>
      <c r="F20" s="31">
        <f t="shared" si="1"/>
        <v>0</v>
      </c>
      <c r="G20" s="31">
        <f t="shared" si="1"/>
        <v>0</v>
      </c>
      <c r="H20" s="31">
        <f t="shared" si="1"/>
        <v>0</v>
      </c>
      <c r="I20" s="31">
        <f t="shared" si="1"/>
        <v>0</v>
      </c>
      <c r="J20" s="31">
        <f t="shared" si="1"/>
        <v>0</v>
      </c>
      <c r="K20" s="31">
        <f t="shared" si="1"/>
        <v>0</v>
      </c>
      <c r="L20" s="31">
        <f t="shared" si="2"/>
        <v>0</v>
      </c>
      <c r="M20" s="31">
        <f t="shared" si="3"/>
        <v>0</v>
      </c>
    </row>
    <row r="21" spans="2:13" x14ac:dyDescent="0.3">
      <c r="B21" s="31" t="s">
        <v>128</v>
      </c>
      <c r="C21" s="31">
        <v>0</v>
      </c>
      <c r="D21" s="31">
        <f>C21</f>
        <v>0</v>
      </c>
      <c r="E21" s="31">
        <f>D21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2"/>
        <v>0</v>
      </c>
      <c r="M21" s="31">
        <f t="shared" si="3"/>
        <v>0</v>
      </c>
    </row>
    <row r="22" spans="2:13" x14ac:dyDescent="0.3">
      <c r="B22" s="31" t="s">
        <v>129</v>
      </c>
      <c r="C22" s="31">
        <v>0</v>
      </c>
      <c r="D22" s="31">
        <f>C22</f>
        <v>0</v>
      </c>
      <c r="E22" s="31">
        <f>D22</f>
        <v>0</v>
      </c>
      <c r="F22" s="31">
        <f t="shared" si="1"/>
        <v>0</v>
      </c>
      <c r="G22" s="31">
        <f t="shared" si="1"/>
        <v>0</v>
      </c>
      <c r="H22" s="31">
        <f t="shared" si="1"/>
        <v>0</v>
      </c>
      <c r="I22" s="31">
        <f t="shared" si="1"/>
        <v>0</v>
      </c>
      <c r="J22" s="31">
        <f t="shared" si="1"/>
        <v>0</v>
      </c>
      <c r="K22" s="31">
        <f t="shared" si="1"/>
        <v>0</v>
      </c>
      <c r="L22" s="31">
        <f t="shared" si="2"/>
        <v>0</v>
      </c>
      <c r="M22" s="31">
        <f t="shared" si="3"/>
        <v>0</v>
      </c>
    </row>
    <row r="23" spans="2:13" x14ac:dyDescent="0.3">
      <c r="B23" s="31" t="s">
        <v>130</v>
      </c>
      <c r="C23" s="31">
        <v>0</v>
      </c>
      <c r="D23" s="31">
        <f>C23</f>
        <v>0</v>
      </c>
      <c r="E23" s="31">
        <f>D23</f>
        <v>0</v>
      </c>
      <c r="F23" s="31">
        <f t="shared" si="1"/>
        <v>0</v>
      </c>
      <c r="G23" s="31">
        <f t="shared" si="1"/>
        <v>0</v>
      </c>
      <c r="H23" s="31">
        <f t="shared" si="1"/>
        <v>0</v>
      </c>
      <c r="I23" s="31">
        <f t="shared" si="1"/>
        <v>0</v>
      </c>
      <c r="J23" s="31">
        <f t="shared" si="1"/>
        <v>0</v>
      </c>
      <c r="K23" s="31">
        <f t="shared" si="1"/>
        <v>0</v>
      </c>
      <c r="L23" s="31">
        <f t="shared" si="2"/>
        <v>0</v>
      </c>
      <c r="M23" s="31">
        <f t="shared" si="3"/>
        <v>0</v>
      </c>
    </row>
    <row r="24" spans="2:13" x14ac:dyDescent="0.3">
      <c r="B24" s="31"/>
      <c r="C24" s="31"/>
      <c r="D24" s="31"/>
      <c r="E24" s="31"/>
      <c r="F24" s="31"/>
      <c r="G24" s="31"/>
      <c r="H24" s="31"/>
      <c r="I24" s="31"/>
      <c r="J24" s="31"/>
      <c r="K24" s="31"/>
    </row>
    <row r="25" spans="2:13" x14ac:dyDescent="0.3">
      <c r="B25" s="31" t="s">
        <v>17</v>
      </c>
      <c r="C25" s="31">
        <f>SUM(C11:C24)</f>
        <v>8060000</v>
      </c>
      <c r="D25" s="31">
        <f t="shared" ref="D25:J25" si="4">SUM(D11:D24)</f>
        <v>8060000</v>
      </c>
      <c r="E25" s="31">
        <f t="shared" si="4"/>
        <v>8060000</v>
      </c>
      <c r="F25" s="31">
        <f t="shared" si="4"/>
        <v>8060000</v>
      </c>
      <c r="G25" s="31">
        <f t="shared" si="4"/>
        <v>8060000</v>
      </c>
      <c r="H25" s="31">
        <f t="shared" si="4"/>
        <v>8060000</v>
      </c>
      <c r="I25" s="31">
        <f t="shared" si="4"/>
        <v>8060000</v>
      </c>
      <c r="J25" s="31">
        <f t="shared" si="4"/>
        <v>8060000</v>
      </c>
      <c r="K25" s="31">
        <f>SUM(K11:K24)</f>
        <v>8060000</v>
      </c>
      <c r="L25" s="31">
        <f t="shared" ref="L25:M25" si="5">SUM(L11:L24)</f>
        <v>8060000</v>
      </c>
      <c r="M25" s="31">
        <f t="shared" si="5"/>
        <v>8060000</v>
      </c>
    </row>
    <row r="26" spans="2:13" x14ac:dyDescent="0.3">
      <c r="B26" s="31" t="s">
        <v>132</v>
      </c>
      <c r="C26" s="31">
        <f>C25*Premisas!B28</f>
        <v>806000</v>
      </c>
      <c r="D26" s="31">
        <f>D25*Premisas!C28</f>
        <v>806000</v>
      </c>
      <c r="E26" s="31">
        <f>E25*Premisas!D28</f>
        <v>806000</v>
      </c>
      <c r="F26" s="31">
        <f>F25*Premisas!E28</f>
        <v>806000</v>
      </c>
      <c r="G26" s="31">
        <f>G25*Premisas!F28</f>
        <v>806000</v>
      </c>
      <c r="H26" s="31">
        <f>H25*Premisas!G28</f>
        <v>806000</v>
      </c>
      <c r="I26" s="31">
        <f>I25*Premisas!H28</f>
        <v>806000</v>
      </c>
      <c r="J26" s="31">
        <f>J25*Premisas!I28</f>
        <v>806000</v>
      </c>
      <c r="K26" s="31">
        <f>K25*Premisas!J28</f>
        <v>806000</v>
      </c>
      <c r="L26" s="31">
        <f>L25*Premisas!K28</f>
        <v>806000</v>
      </c>
      <c r="M26" s="31">
        <f>M25*Premisas!L28</f>
        <v>806000</v>
      </c>
    </row>
    <row r="28" spans="2:13" x14ac:dyDescent="0.3">
      <c r="B28" s="31" t="s">
        <v>133</v>
      </c>
      <c r="C28" s="31"/>
      <c r="D28" s="31"/>
      <c r="E28" s="31"/>
      <c r="F28" s="31"/>
      <c r="G28" s="31"/>
      <c r="H28" s="31"/>
      <c r="I28" s="31"/>
      <c r="J28" s="31"/>
      <c r="K28" s="31"/>
    </row>
    <row r="29" spans="2:13" x14ac:dyDescent="0.3">
      <c r="B29" s="31"/>
      <c r="C29" s="32">
        <v>2025</v>
      </c>
      <c r="D29" s="32">
        <v>2025</v>
      </c>
      <c r="E29" s="32">
        <v>2026</v>
      </c>
      <c r="F29" s="32">
        <v>2027</v>
      </c>
      <c r="G29" s="32">
        <v>2028</v>
      </c>
      <c r="H29" s="32">
        <v>2029</v>
      </c>
      <c r="I29" s="32">
        <v>2030</v>
      </c>
      <c r="J29" s="32">
        <v>2031</v>
      </c>
      <c r="K29" s="32">
        <v>2032</v>
      </c>
      <c r="L29" s="32">
        <v>2033</v>
      </c>
      <c r="M29" s="32">
        <v>2034</v>
      </c>
    </row>
    <row r="30" spans="2:13" x14ac:dyDescent="0.3">
      <c r="B30" s="31" t="s">
        <v>134</v>
      </c>
      <c r="C30" s="31">
        <v>300000</v>
      </c>
      <c r="D30" s="31">
        <f t="shared" ref="D30:M44" si="6">C30</f>
        <v>300000</v>
      </c>
      <c r="E30" s="31">
        <f t="shared" si="6"/>
        <v>300000</v>
      </c>
      <c r="F30" s="31">
        <f t="shared" si="6"/>
        <v>300000</v>
      </c>
      <c r="G30" s="31">
        <f t="shared" si="6"/>
        <v>300000</v>
      </c>
      <c r="H30" s="31">
        <f t="shared" si="6"/>
        <v>300000</v>
      </c>
      <c r="I30" s="31">
        <f t="shared" si="6"/>
        <v>300000</v>
      </c>
      <c r="J30" s="31">
        <f t="shared" si="6"/>
        <v>300000</v>
      </c>
      <c r="K30" s="31">
        <f t="shared" si="6"/>
        <v>300000</v>
      </c>
      <c r="L30" s="31">
        <f t="shared" si="6"/>
        <v>300000</v>
      </c>
      <c r="M30" s="31">
        <f t="shared" si="6"/>
        <v>300000</v>
      </c>
    </row>
    <row r="31" spans="2:13" x14ac:dyDescent="0.3">
      <c r="B31" s="31" t="s">
        <v>135</v>
      </c>
      <c r="C31" s="31">
        <v>70000</v>
      </c>
      <c r="D31" s="31">
        <f t="shared" si="6"/>
        <v>70000</v>
      </c>
      <c r="E31" s="31">
        <f t="shared" si="6"/>
        <v>70000</v>
      </c>
      <c r="F31" s="31">
        <f t="shared" si="6"/>
        <v>70000</v>
      </c>
      <c r="G31" s="31">
        <f t="shared" si="6"/>
        <v>70000</v>
      </c>
      <c r="H31" s="31">
        <f t="shared" si="6"/>
        <v>70000</v>
      </c>
      <c r="I31" s="31">
        <f t="shared" si="6"/>
        <v>70000</v>
      </c>
      <c r="J31" s="31">
        <f t="shared" si="6"/>
        <v>70000</v>
      </c>
      <c r="K31" s="31">
        <f t="shared" si="6"/>
        <v>70000</v>
      </c>
      <c r="L31" s="31">
        <f t="shared" si="6"/>
        <v>70000</v>
      </c>
      <c r="M31" s="31">
        <f t="shared" si="6"/>
        <v>70000</v>
      </c>
    </row>
    <row r="32" spans="2:13" x14ac:dyDescent="0.3">
      <c r="B32" s="31" t="s">
        <v>136</v>
      </c>
      <c r="C32" s="31">
        <v>70000</v>
      </c>
      <c r="D32" s="31">
        <f t="shared" si="6"/>
        <v>70000</v>
      </c>
      <c r="E32" s="31">
        <f t="shared" si="6"/>
        <v>70000</v>
      </c>
      <c r="F32" s="31">
        <f t="shared" si="6"/>
        <v>70000</v>
      </c>
      <c r="G32" s="31">
        <f t="shared" si="6"/>
        <v>70000</v>
      </c>
      <c r="H32" s="31">
        <f t="shared" si="6"/>
        <v>70000</v>
      </c>
      <c r="I32" s="31">
        <f t="shared" si="6"/>
        <v>70000</v>
      </c>
      <c r="J32" s="31">
        <f t="shared" si="6"/>
        <v>70000</v>
      </c>
      <c r="K32" s="31">
        <f t="shared" si="6"/>
        <v>70000</v>
      </c>
      <c r="L32" s="31">
        <f t="shared" si="6"/>
        <v>70000</v>
      </c>
      <c r="M32" s="31">
        <f t="shared" si="6"/>
        <v>70000</v>
      </c>
    </row>
    <row r="33" spans="2:13" x14ac:dyDescent="0.3">
      <c r="B33" s="31" t="s">
        <v>137</v>
      </c>
      <c r="C33" s="31">
        <v>0</v>
      </c>
      <c r="D33" s="31">
        <f t="shared" si="6"/>
        <v>0</v>
      </c>
      <c r="E33" s="31">
        <f t="shared" si="6"/>
        <v>0</v>
      </c>
      <c r="F33" s="31">
        <f t="shared" si="6"/>
        <v>0</v>
      </c>
      <c r="G33" s="31">
        <f t="shared" si="6"/>
        <v>0</v>
      </c>
      <c r="H33" s="31">
        <f t="shared" si="6"/>
        <v>0</v>
      </c>
      <c r="I33" s="31">
        <f t="shared" si="6"/>
        <v>0</v>
      </c>
      <c r="J33" s="31">
        <f t="shared" si="6"/>
        <v>0</v>
      </c>
      <c r="K33" s="31">
        <f t="shared" si="6"/>
        <v>0</v>
      </c>
      <c r="L33" s="31">
        <f t="shared" si="6"/>
        <v>0</v>
      </c>
      <c r="M33" s="31">
        <f t="shared" si="6"/>
        <v>0</v>
      </c>
    </row>
    <row r="34" spans="2:13" x14ac:dyDescent="0.3">
      <c r="B34" s="31" t="s">
        <v>138</v>
      </c>
      <c r="C34" s="31">
        <v>400000</v>
      </c>
      <c r="D34" s="31">
        <f t="shared" si="6"/>
        <v>400000</v>
      </c>
      <c r="E34" s="31">
        <f t="shared" si="6"/>
        <v>400000</v>
      </c>
      <c r="F34" s="31">
        <f t="shared" si="6"/>
        <v>400000</v>
      </c>
      <c r="G34" s="31">
        <f t="shared" si="6"/>
        <v>400000</v>
      </c>
      <c r="H34" s="31">
        <f t="shared" si="6"/>
        <v>400000</v>
      </c>
      <c r="I34" s="31">
        <f t="shared" si="6"/>
        <v>400000</v>
      </c>
      <c r="J34" s="31">
        <f t="shared" si="6"/>
        <v>400000</v>
      </c>
      <c r="K34" s="31">
        <f t="shared" si="6"/>
        <v>400000</v>
      </c>
      <c r="L34" s="31">
        <f t="shared" si="6"/>
        <v>400000</v>
      </c>
      <c r="M34" s="31">
        <f t="shared" si="6"/>
        <v>400000</v>
      </c>
    </row>
    <row r="35" spans="2:13" x14ac:dyDescent="0.3">
      <c r="B35" s="31" t="s">
        <v>139</v>
      </c>
      <c r="C35" s="31">
        <v>600000</v>
      </c>
      <c r="D35" s="31">
        <f t="shared" si="6"/>
        <v>600000</v>
      </c>
      <c r="E35" s="31">
        <f t="shared" si="6"/>
        <v>600000</v>
      </c>
      <c r="F35" s="31">
        <f t="shared" si="6"/>
        <v>600000</v>
      </c>
      <c r="G35" s="31">
        <f t="shared" si="6"/>
        <v>600000</v>
      </c>
      <c r="H35" s="31">
        <f t="shared" si="6"/>
        <v>600000</v>
      </c>
      <c r="I35" s="31">
        <f t="shared" si="6"/>
        <v>600000</v>
      </c>
      <c r="J35" s="31">
        <f t="shared" si="6"/>
        <v>600000</v>
      </c>
      <c r="K35" s="31">
        <f t="shared" si="6"/>
        <v>600000</v>
      </c>
      <c r="L35" s="31">
        <f t="shared" si="6"/>
        <v>600000</v>
      </c>
      <c r="M35" s="31">
        <f t="shared" si="6"/>
        <v>600000</v>
      </c>
    </row>
    <row r="36" spans="2:13" x14ac:dyDescent="0.3">
      <c r="B36" s="31" t="s">
        <v>140</v>
      </c>
      <c r="C36" s="31"/>
      <c r="D36" s="31">
        <f t="shared" si="6"/>
        <v>0</v>
      </c>
      <c r="E36" s="31">
        <f t="shared" si="6"/>
        <v>0</v>
      </c>
      <c r="F36" s="31">
        <f t="shared" si="6"/>
        <v>0</v>
      </c>
      <c r="G36" s="31">
        <f t="shared" si="6"/>
        <v>0</v>
      </c>
      <c r="H36" s="31">
        <f t="shared" si="6"/>
        <v>0</v>
      </c>
      <c r="I36" s="31">
        <f t="shared" si="6"/>
        <v>0</v>
      </c>
      <c r="J36" s="31">
        <f t="shared" si="6"/>
        <v>0</v>
      </c>
      <c r="K36" s="31">
        <f t="shared" si="6"/>
        <v>0</v>
      </c>
      <c r="L36" s="31">
        <f t="shared" si="6"/>
        <v>0</v>
      </c>
      <c r="M36" s="31">
        <f t="shared" si="6"/>
        <v>0</v>
      </c>
    </row>
    <row r="37" spans="2:13" x14ac:dyDescent="0.3">
      <c r="B37" s="31" t="s">
        <v>141</v>
      </c>
      <c r="C37" s="31">
        <v>0</v>
      </c>
      <c r="D37" s="31">
        <f t="shared" si="6"/>
        <v>0</v>
      </c>
      <c r="E37" s="31">
        <f t="shared" si="6"/>
        <v>0</v>
      </c>
      <c r="F37" s="31">
        <f t="shared" si="6"/>
        <v>0</v>
      </c>
      <c r="G37" s="31">
        <f t="shared" si="6"/>
        <v>0</v>
      </c>
      <c r="H37" s="31">
        <f t="shared" si="6"/>
        <v>0</v>
      </c>
      <c r="I37" s="31">
        <f t="shared" si="6"/>
        <v>0</v>
      </c>
      <c r="J37" s="31">
        <f t="shared" si="6"/>
        <v>0</v>
      </c>
      <c r="K37" s="31">
        <f t="shared" si="6"/>
        <v>0</v>
      </c>
      <c r="L37" s="31">
        <f t="shared" si="6"/>
        <v>0</v>
      </c>
      <c r="M37" s="31">
        <f t="shared" si="6"/>
        <v>0</v>
      </c>
    </row>
    <row r="38" spans="2:13" x14ac:dyDescent="0.3">
      <c r="B38" s="31" t="s">
        <v>142</v>
      </c>
      <c r="C38" s="31">
        <v>0</v>
      </c>
      <c r="D38" s="31">
        <f t="shared" si="6"/>
        <v>0</v>
      </c>
      <c r="E38" s="31">
        <f t="shared" si="6"/>
        <v>0</v>
      </c>
      <c r="F38" s="31">
        <f t="shared" si="6"/>
        <v>0</v>
      </c>
      <c r="G38" s="31">
        <f t="shared" si="6"/>
        <v>0</v>
      </c>
      <c r="H38" s="31">
        <f t="shared" si="6"/>
        <v>0</v>
      </c>
      <c r="I38" s="31">
        <f t="shared" si="6"/>
        <v>0</v>
      </c>
      <c r="J38" s="31">
        <f t="shared" si="6"/>
        <v>0</v>
      </c>
      <c r="K38" s="31">
        <f t="shared" si="6"/>
        <v>0</v>
      </c>
      <c r="L38" s="31">
        <f t="shared" si="6"/>
        <v>0</v>
      </c>
      <c r="M38" s="31">
        <f t="shared" si="6"/>
        <v>0</v>
      </c>
    </row>
    <row r="39" spans="2:13" x14ac:dyDescent="0.3">
      <c r="B39" s="31" t="s">
        <v>143</v>
      </c>
      <c r="C39" s="31">
        <v>0</v>
      </c>
      <c r="D39" s="31">
        <f t="shared" si="6"/>
        <v>0</v>
      </c>
      <c r="E39" s="31">
        <f t="shared" si="6"/>
        <v>0</v>
      </c>
      <c r="F39" s="31">
        <f t="shared" si="6"/>
        <v>0</v>
      </c>
      <c r="G39" s="31">
        <f t="shared" si="6"/>
        <v>0</v>
      </c>
      <c r="H39" s="31">
        <f t="shared" si="6"/>
        <v>0</v>
      </c>
      <c r="I39" s="31">
        <f t="shared" si="6"/>
        <v>0</v>
      </c>
      <c r="J39" s="31">
        <f t="shared" si="6"/>
        <v>0</v>
      </c>
      <c r="K39" s="31">
        <f t="shared" si="6"/>
        <v>0</v>
      </c>
      <c r="L39" s="31">
        <f t="shared" si="6"/>
        <v>0</v>
      </c>
      <c r="M39" s="31">
        <f t="shared" si="6"/>
        <v>0</v>
      </c>
    </row>
    <row r="40" spans="2:13" x14ac:dyDescent="0.3">
      <c r="B40" s="31" t="s">
        <v>144</v>
      </c>
      <c r="C40" s="31">
        <v>0</v>
      </c>
      <c r="D40" s="31">
        <f t="shared" si="6"/>
        <v>0</v>
      </c>
      <c r="E40" s="31">
        <f t="shared" si="6"/>
        <v>0</v>
      </c>
      <c r="F40" s="31">
        <f t="shared" si="6"/>
        <v>0</v>
      </c>
      <c r="G40" s="31">
        <f t="shared" si="6"/>
        <v>0</v>
      </c>
      <c r="H40" s="31">
        <f t="shared" si="6"/>
        <v>0</v>
      </c>
      <c r="I40" s="31">
        <f t="shared" si="6"/>
        <v>0</v>
      </c>
      <c r="J40" s="31">
        <f t="shared" si="6"/>
        <v>0</v>
      </c>
      <c r="K40" s="31">
        <f t="shared" si="6"/>
        <v>0</v>
      </c>
      <c r="L40" s="31">
        <f t="shared" si="6"/>
        <v>0</v>
      </c>
      <c r="M40" s="31">
        <f t="shared" si="6"/>
        <v>0</v>
      </c>
    </row>
    <row r="41" spans="2:13" x14ac:dyDescent="0.3">
      <c r="B41" s="31" t="s">
        <v>145</v>
      </c>
      <c r="C41" s="31">
        <v>0</v>
      </c>
      <c r="D41" s="31">
        <f t="shared" si="6"/>
        <v>0</v>
      </c>
      <c r="E41" s="31">
        <f t="shared" si="6"/>
        <v>0</v>
      </c>
      <c r="F41" s="31">
        <f t="shared" si="6"/>
        <v>0</v>
      </c>
      <c r="G41" s="31">
        <f t="shared" si="6"/>
        <v>0</v>
      </c>
      <c r="H41" s="31">
        <f t="shared" si="6"/>
        <v>0</v>
      </c>
      <c r="I41" s="31">
        <f t="shared" si="6"/>
        <v>0</v>
      </c>
      <c r="J41" s="31">
        <f t="shared" si="6"/>
        <v>0</v>
      </c>
      <c r="K41" s="31">
        <f t="shared" si="6"/>
        <v>0</v>
      </c>
      <c r="L41" s="31">
        <f t="shared" si="6"/>
        <v>0</v>
      </c>
      <c r="M41" s="31">
        <f t="shared" si="6"/>
        <v>0</v>
      </c>
    </row>
    <row r="42" spans="2:13" x14ac:dyDescent="0.3">
      <c r="B42" s="31" t="s">
        <v>146</v>
      </c>
      <c r="C42" s="31">
        <v>0</v>
      </c>
      <c r="D42" s="31">
        <f t="shared" si="6"/>
        <v>0</v>
      </c>
      <c r="E42" s="31">
        <f t="shared" si="6"/>
        <v>0</v>
      </c>
      <c r="F42" s="31">
        <f t="shared" si="6"/>
        <v>0</v>
      </c>
      <c r="G42" s="31">
        <f t="shared" si="6"/>
        <v>0</v>
      </c>
      <c r="H42" s="31">
        <f t="shared" si="6"/>
        <v>0</v>
      </c>
      <c r="I42" s="31">
        <f t="shared" si="6"/>
        <v>0</v>
      </c>
      <c r="J42" s="31">
        <f t="shared" si="6"/>
        <v>0</v>
      </c>
      <c r="K42" s="31">
        <f t="shared" si="6"/>
        <v>0</v>
      </c>
      <c r="L42" s="31">
        <f t="shared" si="6"/>
        <v>0</v>
      </c>
      <c r="M42" s="31">
        <f t="shared" si="6"/>
        <v>0</v>
      </c>
    </row>
    <row r="43" spans="2:13" x14ac:dyDescent="0.3">
      <c r="B43" s="31" t="s">
        <v>147</v>
      </c>
      <c r="C43" s="31">
        <v>0</v>
      </c>
      <c r="D43" s="31">
        <f t="shared" si="6"/>
        <v>0</v>
      </c>
      <c r="E43" s="31">
        <f t="shared" si="6"/>
        <v>0</v>
      </c>
      <c r="F43" s="31">
        <f t="shared" si="6"/>
        <v>0</v>
      </c>
      <c r="G43" s="31">
        <f t="shared" si="6"/>
        <v>0</v>
      </c>
      <c r="H43" s="31">
        <f t="shared" si="6"/>
        <v>0</v>
      </c>
      <c r="I43" s="31">
        <f t="shared" si="6"/>
        <v>0</v>
      </c>
      <c r="J43" s="31">
        <f t="shared" si="6"/>
        <v>0</v>
      </c>
      <c r="K43" s="31">
        <f t="shared" si="6"/>
        <v>0</v>
      </c>
      <c r="L43" s="31">
        <f t="shared" si="6"/>
        <v>0</v>
      </c>
      <c r="M43" s="31">
        <f t="shared" si="6"/>
        <v>0</v>
      </c>
    </row>
    <row r="44" spans="2:13" x14ac:dyDescent="0.3">
      <c r="B44" s="31" t="s">
        <v>148</v>
      </c>
      <c r="C44" s="31">
        <v>0</v>
      </c>
      <c r="D44" s="31">
        <f t="shared" si="6"/>
        <v>0</v>
      </c>
      <c r="E44" s="31">
        <f t="shared" si="6"/>
        <v>0</v>
      </c>
      <c r="F44" s="31">
        <f t="shared" si="6"/>
        <v>0</v>
      </c>
      <c r="G44" s="31">
        <f t="shared" si="6"/>
        <v>0</v>
      </c>
      <c r="H44" s="31">
        <f t="shared" si="6"/>
        <v>0</v>
      </c>
      <c r="I44" s="31">
        <f t="shared" si="6"/>
        <v>0</v>
      </c>
      <c r="J44" s="31">
        <f t="shared" si="6"/>
        <v>0</v>
      </c>
      <c r="K44" s="31">
        <f t="shared" si="6"/>
        <v>0</v>
      </c>
      <c r="L44" s="31">
        <f t="shared" si="6"/>
        <v>0</v>
      </c>
      <c r="M44" s="31">
        <f t="shared" si="6"/>
        <v>0</v>
      </c>
    </row>
    <row r="45" spans="2:13" x14ac:dyDescent="0.3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2:13" x14ac:dyDescent="0.3">
      <c r="B46" s="31" t="s">
        <v>131</v>
      </c>
      <c r="C46" s="31">
        <f t="shared" ref="C46:K46" si="7">SUM(C30:C45)</f>
        <v>1440000</v>
      </c>
      <c r="D46" s="31">
        <f t="shared" si="7"/>
        <v>1440000</v>
      </c>
      <c r="E46" s="31">
        <f t="shared" si="7"/>
        <v>1440000</v>
      </c>
      <c r="F46" s="31">
        <f t="shared" si="7"/>
        <v>1440000</v>
      </c>
      <c r="G46" s="31">
        <f t="shared" si="7"/>
        <v>1440000</v>
      </c>
      <c r="H46" s="31">
        <f t="shared" si="7"/>
        <v>1440000</v>
      </c>
      <c r="I46" s="31">
        <f t="shared" si="7"/>
        <v>1440000</v>
      </c>
      <c r="J46" s="31">
        <f t="shared" si="7"/>
        <v>1440000</v>
      </c>
      <c r="K46" s="31">
        <f t="shared" si="7"/>
        <v>1440000</v>
      </c>
      <c r="L46" s="31">
        <f t="shared" ref="L46:M46" si="8">SUM(L30:L45)</f>
        <v>1440000</v>
      </c>
      <c r="M46" s="31">
        <f t="shared" si="8"/>
        <v>1440000</v>
      </c>
    </row>
    <row r="47" spans="2:13" x14ac:dyDescent="0.3">
      <c r="B47" s="31" t="s">
        <v>132</v>
      </c>
      <c r="C47" s="31">
        <f>C46*Premisas!B29</f>
        <v>288000</v>
      </c>
      <c r="D47" s="31">
        <f>D46*Premisas!C29</f>
        <v>288000</v>
      </c>
      <c r="E47" s="31">
        <f>E46*Premisas!D29</f>
        <v>288000</v>
      </c>
      <c r="F47" s="31">
        <f>F46*Premisas!E29</f>
        <v>288000</v>
      </c>
      <c r="G47" s="31">
        <f>G46*Premisas!F29</f>
        <v>288000</v>
      </c>
      <c r="H47" s="31">
        <f>H46*Premisas!G29</f>
        <v>288000</v>
      </c>
      <c r="I47" s="31">
        <f>I46*Premisas!H29</f>
        <v>288000</v>
      </c>
      <c r="J47" s="31">
        <f>J46*Premisas!I29</f>
        <v>288000</v>
      </c>
      <c r="K47" s="31">
        <f>K46*Premisas!J29</f>
        <v>288000</v>
      </c>
      <c r="L47" s="31">
        <f>L46*Premisas!K29</f>
        <v>288000</v>
      </c>
      <c r="M47" s="31">
        <f>M46*Premisas!L29</f>
        <v>288000</v>
      </c>
    </row>
    <row r="50" spans="2:13" x14ac:dyDescent="0.3">
      <c r="B50" s="31" t="s">
        <v>116</v>
      </c>
      <c r="C50" s="31"/>
      <c r="D50" s="31"/>
      <c r="E50" s="31"/>
      <c r="F50" s="31"/>
      <c r="G50" s="31"/>
      <c r="H50" s="31"/>
      <c r="I50" s="31"/>
      <c r="J50" s="31"/>
      <c r="K50" s="31"/>
    </row>
    <row r="51" spans="2:13" x14ac:dyDescent="0.3">
      <c r="B51" s="31" t="s">
        <v>149</v>
      </c>
      <c r="C51" s="31"/>
      <c r="D51" s="31"/>
      <c r="E51" s="31"/>
      <c r="F51" s="31"/>
      <c r="G51" s="31"/>
      <c r="H51" s="31"/>
      <c r="I51" s="31"/>
      <c r="J51" s="31"/>
      <c r="K51" s="31"/>
    </row>
    <row r="52" spans="2:13" x14ac:dyDescent="0.3">
      <c r="B52" s="31"/>
      <c r="C52" s="32">
        <v>2025</v>
      </c>
      <c r="D52" s="32">
        <v>2025</v>
      </c>
      <c r="E52" s="32">
        <v>2026</v>
      </c>
      <c r="F52" s="32">
        <v>2027</v>
      </c>
      <c r="G52" s="32">
        <v>2028</v>
      </c>
      <c r="H52" s="32">
        <v>2029</v>
      </c>
      <c r="I52" s="32">
        <v>2030</v>
      </c>
      <c r="J52" s="32">
        <v>2031</v>
      </c>
      <c r="K52" s="32">
        <v>2032</v>
      </c>
      <c r="L52" s="32">
        <v>2033</v>
      </c>
      <c r="M52" s="32">
        <v>2034</v>
      </c>
    </row>
    <row r="53" spans="2:13" x14ac:dyDescent="0.3">
      <c r="B53" s="31" t="s">
        <v>150</v>
      </c>
      <c r="C53" s="31">
        <v>5800000</v>
      </c>
      <c r="D53" s="31">
        <f t="shared" ref="D53:M62" si="9">C53</f>
        <v>5800000</v>
      </c>
      <c r="E53" s="31">
        <f t="shared" si="9"/>
        <v>5800000</v>
      </c>
      <c r="F53" s="31">
        <f t="shared" si="9"/>
        <v>5800000</v>
      </c>
      <c r="G53" s="31">
        <f t="shared" si="9"/>
        <v>5800000</v>
      </c>
      <c r="H53" s="31">
        <f t="shared" si="9"/>
        <v>5800000</v>
      </c>
      <c r="I53" s="31">
        <f t="shared" si="9"/>
        <v>5800000</v>
      </c>
      <c r="J53" s="31">
        <f t="shared" si="9"/>
        <v>5800000</v>
      </c>
      <c r="K53" s="31">
        <f t="shared" si="9"/>
        <v>5800000</v>
      </c>
      <c r="L53" s="31">
        <f t="shared" si="9"/>
        <v>5800000</v>
      </c>
      <c r="M53" s="31">
        <f t="shared" si="9"/>
        <v>5800000</v>
      </c>
    </row>
    <row r="54" spans="2:13" x14ac:dyDescent="0.3">
      <c r="B54" s="31" t="s">
        <v>151</v>
      </c>
      <c r="C54" s="31">
        <v>112000</v>
      </c>
      <c r="D54" s="31">
        <f t="shared" si="9"/>
        <v>112000</v>
      </c>
      <c r="E54" s="31">
        <f t="shared" si="9"/>
        <v>112000</v>
      </c>
      <c r="F54" s="31">
        <f t="shared" si="9"/>
        <v>112000</v>
      </c>
      <c r="G54" s="31">
        <f t="shared" si="9"/>
        <v>112000</v>
      </c>
      <c r="H54" s="31">
        <f t="shared" si="9"/>
        <v>112000</v>
      </c>
      <c r="I54" s="31">
        <f t="shared" si="9"/>
        <v>112000</v>
      </c>
      <c r="J54" s="31">
        <f t="shared" si="9"/>
        <v>112000</v>
      </c>
      <c r="K54" s="31">
        <f t="shared" si="9"/>
        <v>112000</v>
      </c>
      <c r="L54" s="31">
        <f t="shared" si="9"/>
        <v>112000</v>
      </c>
      <c r="M54" s="31">
        <f t="shared" si="9"/>
        <v>112000</v>
      </c>
    </row>
    <row r="55" spans="2:13" x14ac:dyDescent="0.3">
      <c r="B55" s="31" t="s">
        <v>152</v>
      </c>
      <c r="C55" s="31">
        <v>45000</v>
      </c>
      <c r="D55" s="31">
        <f t="shared" si="9"/>
        <v>45000</v>
      </c>
      <c r="E55" s="31">
        <f t="shared" si="9"/>
        <v>45000</v>
      </c>
      <c r="F55" s="31">
        <f t="shared" si="9"/>
        <v>45000</v>
      </c>
      <c r="G55" s="31">
        <f t="shared" si="9"/>
        <v>45000</v>
      </c>
      <c r="H55" s="31">
        <f t="shared" si="9"/>
        <v>45000</v>
      </c>
      <c r="I55" s="31">
        <f t="shared" si="9"/>
        <v>45000</v>
      </c>
      <c r="J55" s="31">
        <f t="shared" si="9"/>
        <v>45000</v>
      </c>
      <c r="K55" s="31">
        <f t="shared" si="9"/>
        <v>45000</v>
      </c>
      <c r="L55" s="31">
        <f t="shared" si="9"/>
        <v>45000</v>
      </c>
      <c r="M55" s="31">
        <f t="shared" si="9"/>
        <v>45000</v>
      </c>
    </row>
    <row r="56" spans="2:13" x14ac:dyDescent="0.3">
      <c r="B56" s="31" t="s">
        <v>153</v>
      </c>
      <c r="C56" s="31">
        <v>96000</v>
      </c>
      <c r="D56" s="31">
        <f t="shared" si="9"/>
        <v>96000</v>
      </c>
      <c r="E56" s="31">
        <f t="shared" si="9"/>
        <v>96000</v>
      </c>
      <c r="F56" s="31">
        <f t="shared" si="9"/>
        <v>96000</v>
      </c>
      <c r="G56" s="31">
        <f t="shared" si="9"/>
        <v>96000</v>
      </c>
      <c r="H56" s="31">
        <f t="shared" si="9"/>
        <v>96000</v>
      </c>
      <c r="I56" s="31">
        <f t="shared" si="9"/>
        <v>96000</v>
      </c>
      <c r="J56" s="31">
        <f t="shared" si="9"/>
        <v>96000</v>
      </c>
      <c r="K56" s="31">
        <f t="shared" si="9"/>
        <v>96000</v>
      </c>
      <c r="L56" s="31">
        <f t="shared" si="9"/>
        <v>96000</v>
      </c>
      <c r="M56" s="31">
        <f t="shared" si="9"/>
        <v>96000</v>
      </c>
    </row>
    <row r="57" spans="2:13" x14ac:dyDescent="0.3">
      <c r="B57" s="31" t="s">
        <v>154</v>
      </c>
      <c r="C57" s="31">
        <v>0</v>
      </c>
      <c r="D57" s="31">
        <f t="shared" si="9"/>
        <v>0</v>
      </c>
      <c r="E57" s="31">
        <f t="shared" si="9"/>
        <v>0</v>
      </c>
      <c r="F57" s="31">
        <f t="shared" si="9"/>
        <v>0</v>
      </c>
      <c r="G57" s="31">
        <f t="shared" si="9"/>
        <v>0</v>
      </c>
      <c r="H57" s="31">
        <f t="shared" si="9"/>
        <v>0</v>
      </c>
      <c r="I57" s="31">
        <f t="shared" si="9"/>
        <v>0</v>
      </c>
      <c r="J57" s="31">
        <f t="shared" si="9"/>
        <v>0</v>
      </c>
      <c r="K57" s="31">
        <f t="shared" si="9"/>
        <v>0</v>
      </c>
      <c r="L57" s="31">
        <f t="shared" si="9"/>
        <v>0</v>
      </c>
      <c r="M57" s="31">
        <f t="shared" si="9"/>
        <v>0</v>
      </c>
    </row>
    <row r="58" spans="2:13" x14ac:dyDescent="0.3">
      <c r="B58" s="31" t="s">
        <v>155</v>
      </c>
      <c r="C58" s="31">
        <v>0</v>
      </c>
      <c r="D58" s="31">
        <f t="shared" si="9"/>
        <v>0</v>
      </c>
      <c r="E58" s="31">
        <f t="shared" si="9"/>
        <v>0</v>
      </c>
      <c r="F58" s="31">
        <f t="shared" si="9"/>
        <v>0</v>
      </c>
      <c r="G58" s="31">
        <f t="shared" si="9"/>
        <v>0</v>
      </c>
      <c r="H58" s="31">
        <f t="shared" si="9"/>
        <v>0</v>
      </c>
      <c r="I58" s="31">
        <f t="shared" si="9"/>
        <v>0</v>
      </c>
      <c r="J58" s="31">
        <f t="shared" si="9"/>
        <v>0</v>
      </c>
      <c r="K58" s="31">
        <f t="shared" si="9"/>
        <v>0</v>
      </c>
      <c r="L58" s="31">
        <f t="shared" si="9"/>
        <v>0</v>
      </c>
      <c r="M58" s="31">
        <f t="shared" si="9"/>
        <v>0</v>
      </c>
    </row>
    <row r="59" spans="2:13" x14ac:dyDescent="0.3">
      <c r="B59" s="31" t="s">
        <v>156</v>
      </c>
      <c r="C59" s="31">
        <v>0</v>
      </c>
      <c r="D59" s="31">
        <f>C59</f>
        <v>0</v>
      </c>
      <c r="E59" s="31">
        <v>0</v>
      </c>
      <c r="F59" s="31">
        <f t="shared" si="9"/>
        <v>0</v>
      </c>
      <c r="G59" s="31">
        <f t="shared" si="9"/>
        <v>0</v>
      </c>
      <c r="H59" s="31">
        <f t="shared" si="9"/>
        <v>0</v>
      </c>
      <c r="I59" s="31">
        <f t="shared" si="9"/>
        <v>0</v>
      </c>
      <c r="J59" s="31">
        <f t="shared" si="9"/>
        <v>0</v>
      </c>
      <c r="K59" s="31">
        <f t="shared" si="9"/>
        <v>0</v>
      </c>
      <c r="L59" s="31">
        <f t="shared" si="9"/>
        <v>0</v>
      </c>
      <c r="M59" s="31">
        <f t="shared" si="9"/>
        <v>0</v>
      </c>
    </row>
    <row r="60" spans="2:13" x14ac:dyDescent="0.3">
      <c r="B60" s="31" t="s">
        <v>157</v>
      </c>
      <c r="C60" s="31">
        <v>0</v>
      </c>
      <c r="D60" s="31">
        <f>C60</f>
        <v>0</v>
      </c>
      <c r="E60" s="31">
        <f>D60</f>
        <v>0</v>
      </c>
      <c r="F60" s="31">
        <f t="shared" si="9"/>
        <v>0</v>
      </c>
      <c r="G60" s="31">
        <f t="shared" si="9"/>
        <v>0</v>
      </c>
      <c r="H60" s="31">
        <f t="shared" si="9"/>
        <v>0</v>
      </c>
      <c r="I60" s="31">
        <f t="shared" si="9"/>
        <v>0</v>
      </c>
      <c r="J60" s="31">
        <f t="shared" si="9"/>
        <v>0</v>
      </c>
      <c r="K60" s="31">
        <f t="shared" si="9"/>
        <v>0</v>
      </c>
      <c r="L60" s="31">
        <f t="shared" si="9"/>
        <v>0</v>
      </c>
      <c r="M60" s="31">
        <f t="shared" si="9"/>
        <v>0</v>
      </c>
    </row>
    <row r="61" spans="2:13" x14ac:dyDescent="0.3">
      <c r="B61" s="31" t="s">
        <v>158</v>
      </c>
      <c r="C61" s="31">
        <v>0</v>
      </c>
      <c r="D61" s="31">
        <f>C61</f>
        <v>0</v>
      </c>
      <c r="E61" s="31">
        <f>D61</f>
        <v>0</v>
      </c>
      <c r="F61" s="31">
        <f t="shared" si="9"/>
        <v>0</v>
      </c>
      <c r="G61" s="31">
        <f t="shared" si="9"/>
        <v>0</v>
      </c>
      <c r="H61" s="31">
        <f t="shared" si="9"/>
        <v>0</v>
      </c>
      <c r="I61" s="31">
        <f t="shared" si="9"/>
        <v>0</v>
      </c>
      <c r="J61" s="31">
        <f t="shared" si="9"/>
        <v>0</v>
      </c>
      <c r="K61" s="31">
        <f t="shared" si="9"/>
        <v>0</v>
      </c>
      <c r="L61" s="31">
        <f t="shared" si="9"/>
        <v>0</v>
      </c>
      <c r="M61" s="31">
        <f t="shared" si="9"/>
        <v>0</v>
      </c>
    </row>
    <row r="62" spans="2:13" x14ac:dyDescent="0.3">
      <c r="B62" s="31" t="s">
        <v>159</v>
      </c>
      <c r="C62" s="31">
        <v>0</v>
      </c>
      <c r="D62" s="31">
        <f>C62</f>
        <v>0</v>
      </c>
      <c r="E62" s="31">
        <f>D62</f>
        <v>0</v>
      </c>
      <c r="F62" s="31">
        <f t="shared" si="9"/>
        <v>0</v>
      </c>
      <c r="G62" s="31">
        <f t="shared" si="9"/>
        <v>0</v>
      </c>
      <c r="H62" s="31">
        <f t="shared" si="9"/>
        <v>0</v>
      </c>
      <c r="I62" s="31">
        <f t="shared" si="9"/>
        <v>0</v>
      </c>
      <c r="J62" s="31">
        <f t="shared" si="9"/>
        <v>0</v>
      </c>
      <c r="K62" s="31">
        <f t="shared" si="9"/>
        <v>0</v>
      </c>
      <c r="L62" s="31">
        <f t="shared" si="9"/>
        <v>0</v>
      </c>
      <c r="M62" s="31">
        <f t="shared" si="9"/>
        <v>0</v>
      </c>
    </row>
    <row r="63" spans="2:13" x14ac:dyDescent="0.3">
      <c r="B63" s="31"/>
      <c r="C63" s="31"/>
      <c r="D63" s="31"/>
      <c r="E63" s="31"/>
      <c r="F63" s="31"/>
      <c r="G63" s="31"/>
      <c r="H63" s="31"/>
      <c r="I63" s="31"/>
      <c r="J63" s="31"/>
      <c r="K63" s="31"/>
    </row>
    <row r="64" spans="2:13" x14ac:dyDescent="0.3">
      <c r="B64" s="31" t="s">
        <v>131</v>
      </c>
      <c r="C64" s="31">
        <f t="shared" ref="C64:K64" si="10">SUM(C53:C63)</f>
        <v>6053000</v>
      </c>
      <c r="D64" s="31">
        <f t="shared" si="10"/>
        <v>6053000</v>
      </c>
      <c r="E64" s="31">
        <f t="shared" si="10"/>
        <v>6053000</v>
      </c>
      <c r="F64" s="31">
        <f t="shared" si="10"/>
        <v>6053000</v>
      </c>
      <c r="G64" s="31">
        <f t="shared" si="10"/>
        <v>6053000</v>
      </c>
      <c r="H64" s="31">
        <f t="shared" si="10"/>
        <v>6053000</v>
      </c>
      <c r="I64" s="31">
        <f t="shared" si="10"/>
        <v>6053000</v>
      </c>
      <c r="J64" s="31">
        <f t="shared" si="10"/>
        <v>6053000</v>
      </c>
      <c r="K64" s="31">
        <f t="shared" si="10"/>
        <v>6053000</v>
      </c>
      <c r="L64" s="31">
        <f t="shared" ref="L64:M64" si="11">SUM(L53:L63)</f>
        <v>6053000</v>
      </c>
      <c r="M64" s="31">
        <f t="shared" si="11"/>
        <v>6053000</v>
      </c>
    </row>
    <row r="65" spans="2:13" x14ac:dyDescent="0.3">
      <c r="B65" s="31" t="s">
        <v>132</v>
      </c>
      <c r="C65" s="31">
        <f>C64*Premisas!B27</f>
        <v>302650</v>
      </c>
      <c r="D65" s="31">
        <f>D64*Premisas!C27</f>
        <v>302650</v>
      </c>
      <c r="E65" s="31">
        <f>E64*Premisas!D27</f>
        <v>302650</v>
      </c>
      <c r="F65" s="31">
        <f>F64*Premisas!E27</f>
        <v>302650</v>
      </c>
      <c r="G65" s="31">
        <f>G64*Premisas!F27</f>
        <v>302650</v>
      </c>
      <c r="H65" s="31">
        <f>H64*Premisas!G27</f>
        <v>302650</v>
      </c>
      <c r="I65" s="31">
        <f>I64*Premisas!H27</f>
        <v>302650</v>
      </c>
      <c r="J65" s="31">
        <f>J64*Premisas!I27</f>
        <v>302650</v>
      </c>
      <c r="K65" s="31">
        <f>K64*Premisas!J27</f>
        <v>302650</v>
      </c>
      <c r="L65" s="31">
        <f>L64*Premisas!K27</f>
        <v>302650</v>
      </c>
      <c r="M65" s="31">
        <f>M64*Premisas!L27</f>
        <v>302650</v>
      </c>
    </row>
    <row r="68" spans="2:13" x14ac:dyDescent="0.3">
      <c r="B68" s="31" t="s">
        <v>116</v>
      </c>
      <c r="C68" s="31"/>
      <c r="D68" s="31"/>
      <c r="E68" s="31"/>
      <c r="F68" s="31"/>
      <c r="G68" s="31"/>
      <c r="H68" s="31"/>
      <c r="I68" s="31"/>
      <c r="J68" s="31"/>
      <c r="K68" s="31"/>
    </row>
    <row r="69" spans="2:13" x14ac:dyDescent="0.3">
      <c r="B69" s="31" t="s">
        <v>160</v>
      </c>
      <c r="C69" s="31"/>
      <c r="D69" s="31"/>
      <c r="E69" s="31"/>
      <c r="F69" s="31"/>
      <c r="G69" s="31"/>
      <c r="H69" s="31"/>
      <c r="I69" s="31"/>
      <c r="J69" s="31"/>
      <c r="K69" s="31"/>
    </row>
    <row r="70" spans="2:13" x14ac:dyDescent="0.3">
      <c r="B70" s="31"/>
      <c r="C70" s="32">
        <v>2025</v>
      </c>
      <c r="D70" s="32">
        <v>2025</v>
      </c>
      <c r="E70" s="32">
        <v>2026</v>
      </c>
      <c r="F70" s="32">
        <v>2027</v>
      </c>
      <c r="G70" s="32">
        <v>2028</v>
      </c>
      <c r="H70" s="32">
        <v>2029</v>
      </c>
      <c r="I70" s="32">
        <v>2030</v>
      </c>
      <c r="J70" s="32">
        <v>2031</v>
      </c>
      <c r="K70" s="32">
        <v>2032</v>
      </c>
      <c r="L70" s="32">
        <v>2033</v>
      </c>
      <c r="M70" s="32">
        <v>2034</v>
      </c>
    </row>
    <row r="71" spans="2:13" x14ac:dyDescent="0.3">
      <c r="B71" s="31" t="s">
        <v>161</v>
      </c>
      <c r="C71" s="31">
        <v>15500</v>
      </c>
      <c r="D71" s="31">
        <f t="shared" ref="D71:M82" si="12">C71</f>
        <v>15500</v>
      </c>
      <c r="E71" s="31">
        <f t="shared" si="12"/>
        <v>15500</v>
      </c>
      <c r="F71" s="31">
        <f t="shared" si="12"/>
        <v>15500</v>
      </c>
      <c r="G71" s="31">
        <f t="shared" si="12"/>
        <v>15500</v>
      </c>
      <c r="H71" s="31">
        <f t="shared" si="12"/>
        <v>15500</v>
      </c>
      <c r="I71" s="31">
        <f t="shared" si="12"/>
        <v>15500</v>
      </c>
      <c r="J71" s="31">
        <f t="shared" si="12"/>
        <v>15500</v>
      </c>
      <c r="K71" s="31">
        <f t="shared" si="12"/>
        <v>15500</v>
      </c>
      <c r="L71" s="31">
        <f t="shared" si="12"/>
        <v>15500</v>
      </c>
      <c r="M71" s="31">
        <f t="shared" si="12"/>
        <v>15500</v>
      </c>
    </row>
    <row r="72" spans="2:13" x14ac:dyDescent="0.3">
      <c r="B72" s="31" t="s">
        <v>161</v>
      </c>
      <c r="C72" s="31">
        <v>16500</v>
      </c>
      <c r="D72" s="31">
        <f t="shared" si="12"/>
        <v>16500</v>
      </c>
      <c r="E72" s="31">
        <f t="shared" si="12"/>
        <v>16500</v>
      </c>
      <c r="F72" s="31">
        <f t="shared" si="12"/>
        <v>16500</v>
      </c>
      <c r="G72" s="31">
        <f t="shared" si="12"/>
        <v>16500</v>
      </c>
      <c r="H72" s="31">
        <f t="shared" si="12"/>
        <v>16500</v>
      </c>
      <c r="I72" s="31">
        <f t="shared" si="12"/>
        <v>16500</v>
      </c>
      <c r="J72" s="31">
        <f t="shared" si="12"/>
        <v>16500</v>
      </c>
      <c r="K72" s="31">
        <f t="shared" si="12"/>
        <v>16500</v>
      </c>
      <c r="L72" s="31">
        <f t="shared" si="12"/>
        <v>16500</v>
      </c>
      <c r="M72" s="31">
        <f t="shared" si="12"/>
        <v>16500</v>
      </c>
    </row>
    <row r="73" spans="2:13" x14ac:dyDescent="0.3">
      <c r="B73" s="31" t="s">
        <v>161</v>
      </c>
      <c r="C73" s="31">
        <v>120000</v>
      </c>
      <c r="D73" s="31">
        <f t="shared" si="12"/>
        <v>120000</v>
      </c>
      <c r="E73" s="31">
        <f t="shared" si="12"/>
        <v>120000</v>
      </c>
      <c r="F73" s="31">
        <f t="shared" si="12"/>
        <v>120000</v>
      </c>
      <c r="G73" s="31">
        <f t="shared" si="12"/>
        <v>120000</v>
      </c>
      <c r="H73" s="31">
        <f t="shared" si="12"/>
        <v>120000</v>
      </c>
      <c r="I73" s="31">
        <f t="shared" si="12"/>
        <v>120000</v>
      </c>
      <c r="J73" s="31">
        <f t="shared" si="12"/>
        <v>120000</v>
      </c>
      <c r="K73" s="31">
        <f t="shared" si="12"/>
        <v>120000</v>
      </c>
      <c r="L73" s="31">
        <f t="shared" si="12"/>
        <v>120000</v>
      </c>
      <c r="M73" s="31">
        <f t="shared" si="12"/>
        <v>120000</v>
      </c>
    </row>
    <row r="74" spans="2:13" x14ac:dyDescent="0.3">
      <c r="B74" s="31" t="s">
        <v>161</v>
      </c>
      <c r="C74" s="31">
        <v>15400</v>
      </c>
      <c r="D74" s="31">
        <f t="shared" si="12"/>
        <v>15400</v>
      </c>
      <c r="E74" s="31">
        <f t="shared" si="12"/>
        <v>15400</v>
      </c>
      <c r="F74" s="31">
        <f t="shared" si="12"/>
        <v>15400</v>
      </c>
      <c r="G74" s="31">
        <f t="shared" si="12"/>
        <v>15400</v>
      </c>
      <c r="H74" s="31">
        <f t="shared" si="12"/>
        <v>15400</v>
      </c>
      <c r="I74" s="31">
        <f t="shared" si="12"/>
        <v>15400</v>
      </c>
      <c r="J74" s="31">
        <f t="shared" si="12"/>
        <v>15400</v>
      </c>
      <c r="K74" s="31">
        <f t="shared" si="12"/>
        <v>15400</v>
      </c>
      <c r="L74" s="31">
        <f t="shared" si="12"/>
        <v>15400</v>
      </c>
      <c r="M74" s="31">
        <f t="shared" si="12"/>
        <v>15400</v>
      </c>
    </row>
    <row r="75" spans="2:13" x14ac:dyDescent="0.3">
      <c r="B75" s="31" t="s">
        <v>161</v>
      </c>
      <c r="C75" s="31">
        <v>13450</v>
      </c>
      <c r="D75" s="31">
        <f t="shared" si="12"/>
        <v>13450</v>
      </c>
      <c r="E75" s="31">
        <f t="shared" si="12"/>
        <v>13450</v>
      </c>
      <c r="F75" s="31">
        <f t="shared" si="12"/>
        <v>13450</v>
      </c>
      <c r="G75" s="31">
        <f t="shared" si="12"/>
        <v>13450</v>
      </c>
      <c r="H75" s="31">
        <f t="shared" si="12"/>
        <v>13450</v>
      </c>
      <c r="I75" s="31">
        <f t="shared" si="12"/>
        <v>13450</v>
      </c>
      <c r="J75" s="31">
        <f t="shared" si="12"/>
        <v>13450</v>
      </c>
      <c r="K75" s="31">
        <f t="shared" si="12"/>
        <v>13450</v>
      </c>
      <c r="L75" s="31">
        <f t="shared" si="12"/>
        <v>13450</v>
      </c>
      <c r="M75" s="31">
        <f t="shared" si="12"/>
        <v>13450</v>
      </c>
    </row>
    <row r="76" spans="2:13" x14ac:dyDescent="0.3">
      <c r="B76" s="31" t="s">
        <v>161</v>
      </c>
      <c r="C76" s="31">
        <v>24000</v>
      </c>
      <c r="D76" s="31">
        <f t="shared" si="12"/>
        <v>24000</v>
      </c>
      <c r="E76" s="31">
        <f t="shared" si="12"/>
        <v>24000</v>
      </c>
      <c r="F76" s="31">
        <f t="shared" si="12"/>
        <v>24000</v>
      </c>
      <c r="G76" s="31">
        <f t="shared" si="12"/>
        <v>24000</v>
      </c>
      <c r="H76" s="31">
        <f t="shared" si="12"/>
        <v>24000</v>
      </c>
      <c r="I76" s="31">
        <f t="shared" si="12"/>
        <v>24000</v>
      </c>
      <c r="J76" s="31">
        <f t="shared" si="12"/>
        <v>24000</v>
      </c>
      <c r="K76" s="31">
        <f t="shared" si="12"/>
        <v>24000</v>
      </c>
      <c r="L76" s="31">
        <f t="shared" si="12"/>
        <v>24000</v>
      </c>
      <c r="M76" s="31">
        <f t="shared" si="12"/>
        <v>24000</v>
      </c>
    </row>
    <row r="77" spans="2:13" x14ac:dyDescent="0.3">
      <c r="B77" s="31" t="s">
        <v>161</v>
      </c>
      <c r="C77" s="31">
        <v>12500</v>
      </c>
      <c r="D77" s="31">
        <f t="shared" si="12"/>
        <v>12500</v>
      </c>
      <c r="E77" s="31">
        <f t="shared" si="12"/>
        <v>12500</v>
      </c>
      <c r="F77" s="31">
        <f t="shared" si="12"/>
        <v>12500</v>
      </c>
      <c r="G77" s="31">
        <f t="shared" si="12"/>
        <v>12500</v>
      </c>
      <c r="H77" s="31">
        <f t="shared" si="12"/>
        <v>12500</v>
      </c>
      <c r="I77" s="31">
        <f t="shared" si="12"/>
        <v>12500</v>
      </c>
      <c r="J77" s="31">
        <f t="shared" si="12"/>
        <v>12500</v>
      </c>
      <c r="K77" s="31">
        <f t="shared" si="12"/>
        <v>12500</v>
      </c>
      <c r="L77" s="31">
        <f t="shared" si="12"/>
        <v>12500</v>
      </c>
      <c r="M77" s="31">
        <f t="shared" si="12"/>
        <v>12500</v>
      </c>
    </row>
    <row r="78" spans="2:13" x14ac:dyDescent="0.3">
      <c r="B78" s="31" t="s">
        <v>154</v>
      </c>
      <c r="C78" s="31">
        <v>0</v>
      </c>
      <c r="D78" s="31">
        <f t="shared" si="12"/>
        <v>0</v>
      </c>
      <c r="E78" s="31">
        <f t="shared" si="12"/>
        <v>0</v>
      </c>
      <c r="F78" s="31">
        <f t="shared" si="12"/>
        <v>0</v>
      </c>
      <c r="G78" s="31">
        <f t="shared" si="12"/>
        <v>0</v>
      </c>
      <c r="H78" s="31">
        <f t="shared" si="12"/>
        <v>0</v>
      </c>
      <c r="I78" s="31">
        <f t="shared" si="12"/>
        <v>0</v>
      </c>
      <c r="J78" s="31">
        <f t="shared" si="12"/>
        <v>0</v>
      </c>
      <c r="K78" s="31">
        <f t="shared" si="12"/>
        <v>0</v>
      </c>
      <c r="L78" s="31">
        <f t="shared" si="12"/>
        <v>0</v>
      </c>
      <c r="M78" s="31">
        <f t="shared" si="12"/>
        <v>0</v>
      </c>
    </row>
    <row r="79" spans="2:13" x14ac:dyDescent="0.3">
      <c r="B79" s="31" t="s">
        <v>155</v>
      </c>
      <c r="C79" s="31">
        <v>0</v>
      </c>
      <c r="D79" s="31">
        <f t="shared" si="12"/>
        <v>0</v>
      </c>
      <c r="E79" s="31">
        <f t="shared" si="12"/>
        <v>0</v>
      </c>
      <c r="F79" s="31">
        <f t="shared" si="12"/>
        <v>0</v>
      </c>
      <c r="G79" s="31">
        <f t="shared" si="12"/>
        <v>0</v>
      </c>
      <c r="H79" s="31">
        <f t="shared" si="12"/>
        <v>0</v>
      </c>
      <c r="I79" s="31">
        <f t="shared" si="12"/>
        <v>0</v>
      </c>
      <c r="J79" s="31">
        <f t="shared" si="12"/>
        <v>0</v>
      </c>
      <c r="K79" s="31">
        <f t="shared" si="12"/>
        <v>0</v>
      </c>
      <c r="L79" s="31">
        <f t="shared" si="12"/>
        <v>0</v>
      </c>
      <c r="M79" s="31">
        <f t="shared" si="12"/>
        <v>0</v>
      </c>
    </row>
    <row r="80" spans="2:13" x14ac:dyDescent="0.3">
      <c r="B80" s="31" t="s">
        <v>156</v>
      </c>
      <c r="C80" s="31">
        <v>0</v>
      </c>
      <c r="D80" s="31">
        <f t="shared" si="12"/>
        <v>0</v>
      </c>
      <c r="E80" s="31">
        <f t="shared" si="12"/>
        <v>0</v>
      </c>
      <c r="F80" s="31">
        <f t="shared" si="12"/>
        <v>0</v>
      </c>
      <c r="G80" s="31">
        <f t="shared" si="12"/>
        <v>0</v>
      </c>
      <c r="H80" s="31">
        <f t="shared" si="12"/>
        <v>0</v>
      </c>
      <c r="I80" s="31">
        <f t="shared" si="12"/>
        <v>0</v>
      </c>
      <c r="J80" s="31">
        <f t="shared" si="12"/>
        <v>0</v>
      </c>
      <c r="K80" s="31">
        <f t="shared" si="12"/>
        <v>0</v>
      </c>
      <c r="L80" s="31">
        <f t="shared" si="12"/>
        <v>0</v>
      </c>
      <c r="M80" s="31">
        <f t="shared" si="12"/>
        <v>0</v>
      </c>
    </row>
    <row r="81" spans="2:13" x14ac:dyDescent="0.3">
      <c r="B81" s="31" t="s">
        <v>157</v>
      </c>
      <c r="C81" s="31">
        <v>0</v>
      </c>
      <c r="D81" s="31">
        <f t="shared" si="12"/>
        <v>0</v>
      </c>
      <c r="E81" s="31">
        <f t="shared" si="12"/>
        <v>0</v>
      </c>
      <c r="F81" s="31">
        <f t="shared" si="12"/>
        <v>0</v>
      </c>
      <c r="G81" s="31">
        <f t="shared" si="12"/>
        <v>0</v>
      </c>
      <c r="H81" s="31">
        <f t="shared" si="12"/>
        <v>0</v>
      </c>
      <c r="I81" s="31">
        <f t="shared" si="12"/>
        <v>0</v>
      </c>
      <c r="J81" s="31">
        <f t="shared" si="12"/>
        <v>0</v>
      </c>
      <c r="K81" s="31">
        <f t="shared" si="12"/>
        <v>0</v>
      </c>
      <c r="L81" s="31">
        <f t="shared" si="12"/>
        <v>0</v>
      </c>
      <c r="M81" s="31">
        <f t="shared" si="12"/>
        <v>0</v>
      </c>
    </row>
    <row r="82" spans="2:13" x14ac:dyDescent="0.3">
      <c r="B82" s="31" t="s">
        <v>158</v>
      </c>
      <c r="C82" s="31">
        <v>0</v>
      </c>
      <c r="D82" s="31">
        <f t="shared" si="12"/>
        <v>0</v>
      </c>
      <c r="E82" s="31">
        <f t="shared" si="12"/>
        <v>0</v>
      </c>
      <c r="F82" s="31">
        <f t="shared" si="12"/>
        <v>0</v>
      </c>
      <c r="G82" s="31">
        <f t="shared" si="12"/>
        <v>0</v>
      </c>
      <c r="H82" s="31">
        <f t="shared" si="12"/>
        <v>0</v>
      </c>
      <c r="I82" s="31">
        <f t="shared" si="12"/>
        <v>0</v>
      </c>
      <c r="J82" s="31">
        <f t="shared" si="12"/>
        <v>0</v>
      </c>
      <c r="K82" s="31">
        <f t="shared" si="12"/>
        <v>0</v>
      </c>
      <c r="L82" s="31">
        <f t="shared" si="12"/>
        <v>0</v>
      </c>
      <c r="M82" s="31">
        <f t="shared" si="12"/>
        <v>0</v>
      </c>
    </row>
    <row r="83" spans="2:13" x14ac:dyDescent="0.3"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 spans="2:13" x14ac:dyDescent="0.3">
      <c r="B84" s="31" t="s">
        <v>131</v>
      </c>
      <c r="C84" s="31">
        <f t="shared" ref="C84:M84" si="13">SUM(C71:C83)</f>
        <v>217350</v>
      </c>
      <c r="D84" s="31">
        <f t="shared" si="13"/>
        <v>217350</v>
      </c>
      <c r="E84" s="31">
        <f t="shared" si="13"/>
        <v>217350</v>
      </c>
      <c r="F84" s="31">
        <f t="shared" si="13"/>
        <v>217350</v>
      </c>
      <c r="G84" s="31">
        <f t="shared" si="13"/>
        <v>217350</v>
      </c>
      <c r="H84" s="31">
        <f t="shared" si="13"/>
        <v>217350</v>
      </c>
      <c r="I84" s="31">
        <f t="shared" si="13"/>
        <v>217350</v>
      </c>
      <c r="J84" s="31">
        <f t="shared" si="13"/>
        <v>217350</v>
      </c>
      <c r="K84" s="31">
        <f t="shared" si="13"/>
        <v>217350</v>
      </c>
      <c r="L84" s="31">
        <f t="shared" si="13"/>
        <v>217350</v>
      </c>
      <c r="M84" s="31">
        <f t="shared" si="13"/>
        <v>217350</v>
      </c>
    </row>
    <row r="85" spans="2:13" x14ac:dyDescent="0.3">
      <c r="B85" s="31" t="s">
        <v>132</v>
      </c>
      <c r="C85" s="31">
        <f>C84*Premisas!B30</f>
        <v>18474.75</v>
      </c>
      <c r="D85" s="31">
        <f>D84*Premisas!C30</f>
        <v>18474.75</v>
      </c>
      <c r="E85" s="31">
        <f>E84*Premisas!D30</f>
        <v>18474.75</v>
      </c>
      <c r="F85" s="31">
        <f>F84*Premisas!E30</f>
        <v>18474.75</v>
      </c>
      <c r="G85" s="31">
        <f>G84*Premisas!F30</f>
        <v>18474.75</v>
      </c>
      <c r="H85" s="31">
        <f>H84*Premisas!G30</f>
        <v>18474.75</v>
      </c>
      <c r="I85" s="31">
        <f>I84*Premisas!H30</f>
        <v>18474.75</v>
      </c>
      <c r="J85" s="31">
        <f>J84*Premisas!I30</f>
        <v>18474.75</v>
      </c>
      <c r="K85" s="31">
        <f>K84*Premisas!J30</f>
        <v>18474.75</v>
      </c>
      <c r="L85" s="31">
        <f>L84*Premisas!K30</f>
        <v>18474.75</v>
      </c>
      <c r="M85" s="31">
        <f>M84*Premisas!L30</f>
        <v>18474.75</v>
      </c>
    </row>
  </sheetData>
  <pageMargins left="0.75" right="0.75" top="1" bottom="1" header="0.511811024" footer="0.511811024"/>
  <pageSetup paperSize="9" orientation="portrait" verticalDpi="1200" r:id="rId1"/>
  <headerFooter alignWithMargins="0">
    <oddHeader>&amp;A</oddHeader>
    <oddFooter>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9177-0CCB-4BB3-A970-81F7EC8205FE}">
  <dimension ref="A1:P76"/>
  <sheetViews>
    <sheetView workbookViewId="0">
      <selection activeCell="E27" sqref="E27"/>
    </sheetView>
  </sheetViews>
  <sheetFormatPr baseColWidth="10" defaultColWidth="11.44140625" defaultRowHeight="14.4" x14ac:dyDescent="0.3"/>
  <cols>
    <col min="1" max="1" width="11.5546875" style="30" bestFit="1" customWidth="1"/>
    <col min="2" max="10" width="14.6640625" style="30" bestFit="1" customWidth="1"/>
    <col min="11" max="14" width="13.6640625" style="30" bestFit="1" customWidth="1"/>
    <col min="15" max="15" width="12.33203125" style="30" bestFit="1" customWidth="1"/>
    <col min="16" max="16384" width="11.44140625" style="30"/>
  </cols>
  <sheetData>
    <row r="1" spans="1:16" ht="15" thickBot="1" x14ac:dyDescent="0.35">
      <c r="A1" s="30" t="s">
        <v>295</v>
      </c>
      <c r="B1" s="71">
        <f>Egresos!B215</f>
        <v>41098699.788599998</v>
      </c>
      <c r="C1" s="30" t="s">
        <v>296</v>
      </c>
      <c r="D1" s="70">
        <v>60</v>
      </c>
    </row>
    <row r="2" spans="1:16" ht="15" thickBot="1" x14ac:dyDescent="0.35">
      <c r="A2" s="30" t="s">
        <v>297</v>
      </c>
      <c r="B2" s="69">
        <f>[2]Premisas!B4</f>
        <v>0.16</v>
      </c>
    </row>
    <row r="4" spans="1:16" x14ac:dyDescent="0.3">
      <c r="A4" s="68">
        <v>2025</v>
      </c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 t="s">
        <v>298</v>
      </c>
    </row>
    <row r="5" spans="1:16" x14ac:dyDescent="0.3">
      <c r="A5" s="30" t="s">
        <v>295</v>
      </c>
      <c r="B5" s="43">
        <f>B1-B6</f>
        <v>40413721.458789997</v>
      </c>
      <c r="C5" s="43">
        <f>B5-B6</f>
        <v>39728743.128979996</v>
      </c>
      <c r="D5" s="43">
        <f t="shared" ref="D5:M5" si="0">C5-C6</f>
        <v>39043764.799169995</v>
      </c>
      <c r="E5" s="43">
        <f t="shared" si="0"/>
        <v>38358786.469359994</v>
      </c>
      <c r="F5" s="43">
        <f t="shared" si="0"/>
        <v>37673808.139549993</v>
      </c>
      <c r="G5" s="43">
        <f t="shared" si="0"/>
        <v>36988829.809739992</v>
      </c>
      <c r="H5" s="43">
        <f t="shared" si="0"/>
        <v>36303851.479929991</v>
      </c>
      <c r="I5" s="43">
        <f t="shared" si="0"/>
        <v>35618873.15011999</v>
      </c>
      <c r="J5" s="43">
        <f t="shared" si="0"/>
        <v>34933894.820309989</v>
      </c>
      <c r="K5" s="43">
        <f t="shared" si="0"/>
        <v>34248916.490499988</v>
      </c>
      <c r="L5" s="43">
        <f t="shared" si="0"/>
        <v>33563938.160689987</v>
      </c>
      <c r="M5" s="43">
        <f t="shared" si="0"/>
        <v>32878959.830879986</v>
      </c>
      <c r="N5" s="43">
        <f>M5</f>
        <v>32878959.830879986</v>
      </c>
    </row>
    <row r="6" spans="1:16" x14ac:dyDescent="0.3">
      <c r="A6" s="30" t="s">
        <v>299</v>
      </c>
      <c r="B6" s="43">
        <f>B1/D1</f>
        <v>684978.32980999991</v>
      </c>
      <c r="C6" s="43">
        <f t="shared" ref="C6:M6" si="1">B6</f>
        <v>684978.32980999991</v>
      </c>
      <c r="D6" s="43">
        <f t="shared" si="1"/>
        <v>684978.32980999991</v>
      </c>
      <c r="E6" s="43">
        <f t="shared" si="1"/>
        <v>684978.32980999991</v>
      </c>
      <c r="F6" s="43">
        <f t="shared" si="1"/>
        <v>684978.32980999991</v>
      </c>
      <c r="G6" s="43">
        <f t="shared" si="1"/>
        <v>684978.32980999991</v>
      </c>
      <c r="H6" s="43">
        <f t="shared" si="1"/>
        <v>684978.32980999991</v>
      </c>
      <c r="I6" s="43">
        <f t="shared" si="1"/>
        <v>684978.32980999991</v>
      </c>
      <c r="J6" s="43">
        <f t="shared" si="1"/>
        <v>684978.32980999991</v>
      </c>
      <c r="K6" s="43">
        <f t="shared" si="1"/>
        <v>684978.32980999991</v>
      </c>
      <c r="L6" s="43">
        <f t="shared" si="1"/>
        <v>684978.32980999991</v>
      </c>
      <c r="M6" s="43">
        <f t="shared" si="1"/>
        <v>684978.32980999991</v>
      </c>
      <c r="N6" s="43">
        <f>SUM(B6:M6)</f>
        <v>8219739.9577199994</v>
      </c>
      <c r="O6" s="33">
        <f>N5+N6</f>
        <v>41098699.788599983</v>
      </c>
    </row>
    <row r="7" spans="1:16" x14ac:dyDescent="0.3">
      <c r="A7" s="30" t="s">
        <v>300</v>
      </c>
      <c r="B7" s="43">
        <f>$B$2/12*B1</f>
        <v>547982.663848</v>
      </c>
      <c r="C7" s="43">
        <f>$B$2/12*B5</f>
        <v>538849.6194505333</v>
      </c>
      <c r="D7" s="43">
        <f t="shared" ref="D7:M7" si="2">$B$2/12*C5</f>
        <v>529716.5750530666</v>
      </c>
      <c r="E7" s="43">
        <f t="shared" si="2"/>
        <v>520583.53065559996</v>
      </c>
      <c r="F7" s="43">
        <f t="shared" si="2"/>
        <v>511450.48625813326</v>
      </c>
      <c r="G7" s="43">
        <f t="shared" si="2"/>
        <v>502317.44186066661</v>
      </c>
      <c r="H7" s="43">
        <f t="shared" si="2"/>
        <v>493184.39746319992</v>
      </c>
      <c r="I7" s="43">
        <f t="shared" si="2"/>
        <v>484051.35306573327</v>
      </c>
      <c r="J7" s="43">
        <f t="shared" si="2"/>
        <v>474918.30866826657</v>
      </c>
      <c r="K7" s="43">
        <f t="shared" si="2"/>
        <v>465785.26427079987</v>
      </c>
      <c r="L7" s="43">
        <f t="shared" si="2"/>
        <v>456652.21987333323</v>
      </c>
      <c r="M7" s="43">
        <f t="shared" si="2"/>
        <v>447519.17547586653</v>
      </c>
      <c r="N7" s="43">
        <f>SUM(B7:M7)</f>
        <v>5973011.0359431999</v>
      </c>
    </row>
    <row r="8" spans="1:16" ht="15" thickBot="1" x14ac:dyDescent="0.35">
      <c r="A8" s="30" t="s">
        <v>17</v>
      </c>
      <c r="B8" s="44">
        <f>SUM(B6:B7)</f>
        <v>1232960.9936579999</v>
      </c>
      <c r="C8" s="44">
        <f t="shared" ref="C8:M8" si="3">SUM(C6:C7)</f>
        <v>1223827.9492605333</v>
      </c>
      <c r="D8" s="44">
        <f t="shared" si="3"/>
        <v>1214694.9048630665</v>
      </c>
      <c r="E8" s="44">
        <f t="shared" si="3"/>
        <v>1205561.8604655999</v>
      </c>
      <c r="F8" s="44">
        <f t="shared" si="3"/>
        <v>1196428.8160681331</v>
      </c>
      <c r="G8" s="44">
        <f t="shared" si="3"/>
        <v>1187295.7716706665</v>
      </c>
      <c r="H8" s="44">
        <f t="shared" si="3"/>
        <v>1178162.7272731997</v>
      </c>
      <c r="I8" s="44">
        <f t="shared" si="3"/>
        <v>1169029.6828757331</v>
      </c>
      <c r="J8" s="44">
        <f t="shared" si="3"/>
        <v>1159896.6384782665</v>
      </c>
      <c r="K8" s="44">
        <f t="shared" si="3"/>
        <v>1150763.5940807997</v>
      </c>
      <c r="L8" s="44">
        <f t="shared" si="3"/>
        <v>1141630.5496833331</v>
      </c>
      <c r="M8" s="44">
        <f t="shared" si="3"/>
        <v>1132497.5052858666</v>
      </c>
      <c r="N8" s="44">
        <f>SUM(B8:M8)</f>
        <v>14192750.993663199</v>
      </c>
    </row>
    <row r="9" spans="1:16" ht="15" thickTop="1" x14ac:dyDescent="0.3"/>
    <row r="10" spans="1:16" x14ac:dyDescent="0.3">
      <c r="A10" s="68">
        <f>A4+1</f>
        <v>2026</v>
      </c>
      <c r="B10" s="68">
        <f>M4+1</f>
        <v>13</v>
      </c>
      <c r="C10" s="68">
        <f>B10+1</f>
        <v>14</v>
      </c>
      <c r="D10" s="68">
        <f t="shared" ref="D10:M10" si="4">C10+1</f>
        <v>15</v>
      </c>
      <c r="E10" s="68">
        <f t="shared" si="4"/>
        <v>16</v>
      </c>
      <c r="F10" s="68">
        <f t="shared" si="4"/>
        <v>17</v>
      </c>
      <c r="G10" s="68">
        <f t="shared" si="4"/>
        <v>18</v>
      </c>
      <c r="H10" s="68">
        <f t="shared" si="4"/>
        <v>19</v>
      </c>
      <c r="I10" s="68">
        <f t="shared" si="4"/>
        <v>20</v>
      </c>
      <c r="J10" s="68">
        <f t="shared" si="4"/>
        <v>21</v>
      </c>
      <c r="K10" s="68">
        <f t="shared" si="4"/>
        <v>22</v>
      </c>
      <c r="L10" s="68">
        <f t="shared" si="4"/>
        <v>23</v>
      </c>
      <c r="M10" s="68">
        <f t="shared" si="4"/>
        <v>24</v>
      </c>
      <c r="N10" s="68" t="s">
        <v>446</v>
      </c>
    </row>
    <row r="11" spans="1:16" x14ac:dyDescent="0.3">
      <c r="A11" s="30" t="s">
        <v>295</v>
      </c>
      <c r="B11" s="43">
        <f>M5-B12</f>
        <v>32193981.501069985</v>
      </c>
      <c r="C11" s="43">
        <f>B11-B12</f>
        <v>31509003.171259984</v>
      </c>
      <c r="D11" s="43">
        <f t="shared" ref="D11:M11" si="5">C11-C12</f>
        <v>30824024.841449983</v>
      </c>
      <c r="E11" s="43">
        <f t="shared" si="5"/>
        <v>30139046.511639982</v>
      </c>
      <c r="F11" s="43">
        <f t="shared" si="5"/>
        <v>29454068.181829982</v>
      </c>
      <c r="G11" s="43">
        <f t="shared" si="5"/>
        <v>28769089.852019981</v>
      </c>
      <c r="H11" s="43">
        <f t="shared" si="5"/>
        <v>28084111.52220998</v>
      </c>
      <c r="I11" s="43">
        <f t="shared" si="5"/>
        <v>27399133.192399979</v>
      </c>
      <c r="J11" s="43">
        <f t="shared" si="5"/>
        <v>26714154.862589978</v>
      </c>
      <c r="K11" s="43">
        <f t="shared" si="5"/>
        <v>26029176.532779977</v>
      </c>
      <c r="L11" s="43">
        <f t="shared" si="5"/>
        <v>25344198.202969976</v>
      </c>
      <c r="M11" s="43">
        <f t="shared" si="5"/>
        <v>24659219.873159975</v>
      </c>
      <c r="N11" s="43">
        <f>M11</f>
        <v>24659219.873159975</v>
      </c>
    </row>
    <row r="12" spans="1:16" x14ac:dyDescent="0.3">
      <c r="A12" s="30" t="s">
        <v>299</v>
      </c>
      <c r="B12" s="43">
        <f>M6</f>
        <v>684978.32980999991</v>
      </c>
      <c r="C12" s="43">
        <f t="shared" ref="C12:M12" si="6">B12</f>
        <v>684978.32980999991</v>
      </c>
      <c r="D12" s="43">
        <f t="shared" si="6"/>
        <v>684978.32980999991</v>
      </c>
      <c r="E12" s="43">
        <f t="shared" si="6"/>
        <v>684978.32980999991</v>
      </c>
      <c r="F12" s="43">
        <f t="shared" si="6"/>
        <v>684978.32980999991</v>
      </c>
      <c r="G12" s="43">
        <f t="shared" si="6"/>
        <v>684978.32980999991</v>
      </c>
      <c r="H12" s="43">
        <f t="shared" si="6"/>
        <v>684978.32980999991</v>
      </c>
      <c r="I12" s="43">
        <f t="shared" si="6"/>
        <v>684978.32980999991</v>
      </c>
      <c r="J12" s="43">
        <f t="shared" si="6"/>
        <v>684978.32980999991</v>
      </c>
      <c r="K12" s="43">
        <f t="shared" si="6"/>
        <v>684978.32980999991</v>
      </c>
      <c r="L12" s="43">
        <f t="shared" si="6"/>
        <v>684978.32980999991</v>
      </c>
      <c r="M12" s="43">
        <f t="shared" si="6"/>
        <v>684978.32980999991</v>
      </c>
      <c r="N12" s="43">
        <f>SUM(B12:M12)</f>
        <v>8219739.9577199994</v>
      </c>
      <c r="O12" s="33">
        <f>N11+N12</f>
        <v>32878959.830879975</v>
      </c>
      <c r="P12" s="33">
        <f>N5-O12</f>
        <v>0</v>
      </c>
    </row>
    <row r="13" spans="1:16" x14ac:dyDescent="0.3">
      <c r="A13" s="30" t="s">
        <v>300</v>
      </c>
      <c r="B13" s="43">
        <f>$B$2/12*M5</f>
        <v>438386.13107839983</v>
      </c>
      <c r="C13" s="43">
        <f>$B$2/12*B11</f>
        <v>429253.08668093319</v>
      </c>
      <c r="D13" s="43">
        <f t="shared" ref="D13:M13" si="7">$B$2/12*C11</f>
        <v>420120.04228346649</v>
      </c>
      <c r="E13" s="43">
        <f t="shared" si="7"/>
        <v>410986.99788599979</v>
      </c>
      <c r="F13" s="43">
        <f t="shared" si="7"/>
        <v>401853.95348853315</v>
      </c>
      <c r="G13" s="43">
        <f t="shared" si="7"/>
        <v>392720.90909106645</v>
      </c>
      <c r="H13" s="43">
        <f t="shared" si="7"/>
        <v>383587.86469359975</v>
      </c>
      <c r="I13" s="43">
        <f t="shared" si="7"/>
        <v>374454.82029613311</v>
      </c>
      <c r="J13" s="43">
        <f t="shared" si="7"/>
        <v>365321.77589866641</v>
      </c>
      <c r="K13" s="43">
        <f t="shared" si="7"/>
        <v>356188.73150119971</v>
      </c>
      <c r="L13" s="43">
        <f t="shared" si="7"/>
        <v>347055.68710373307</v>
      </c>
      <c r="M13" s="43">
        <f t="shared" si="7"/>
        <v>337922.64270626637</v>
      </c>
      <c r="N13" s="43">
        <f>SUM(B13:M13)</f>
        <v>4657852.6427079979</v>
      </c>
    </row>
    <row r="14" spans="1:16" ht="12.75" customHeight="1" thickBot="1" x14ac:dyDescent="0.35">
      <c r="A14" s="30" t="s">
        <v>17</v>
      </c>
      <c r="B14" s="44">
        <f>SUM(B12:B13)</f>
        <v>1123364.4608883997</v>
      </c>
      <c r="C14" s="44">
        <f t="shared" ref="C14:M14" si="8">SUM(C12:C13)</f>
        <v>1114231.4164909332</v>
      </c>
      <c r="D14" s="44">
        <f t="shared" si="8"/>
        <v>1105098.3720934663</v>
      </c>
      <c r="E14" s="44">
        <f t="shared" si="8"/>
        <v>1095965.3276959998</v>
      </c>
      <c r="F14" s="44">
        <f t="shared" si="8"/>
        <v>1086832.2832985329</v>
      </c>
      <c r="G14" s="44">
        <f t="shared" si="8"/>
        <v>1077699.2389010664</v>
      </c>
      <c r="H14" s="44">
        <f t="shared" si="8"/>
        <v>1068566.1945035998</v>
      </c>
      <c r="I14" s="44">
        <f t="shared" si="8"/>
        <v>1059433.150106133</v>
      </c>
      <c r="J14" s="44">
        <f t="shared" si="8"/>
        <v>1050300.1057086664</v>
      </c>
      <c r="K14" s="44">
        <f t="shared" si="8"/>
        <v>1041167.0613111996</v>
      </c>
      <c r="L14" s="44">
        <f t="shared" si="8"/>
        <v>1032034.016913733</v>
      </c>
      <c r="M14" s="44">
        <f t="shared" si="8"/>
        <v>1022900.9725162663</v>
      </c>
      <c r="N14" s="44">
        <f>SUM(B14:M14)</f>
        <v>12877592.600427996</v>
      </c>
    </row>
    <row r="15" spans="1:16" ht="15" thickTop="1" x14ac:dyDescent="0.3"/>
    <row r="16" spans="1:16" x14ac:dyDescent="0.3">
      <c r="A16" s="68">
        <f>A10+1</f>
        <v>2027</v>
      </c>
      <c r="B16" s="68">
        <f>M10+1</f>
        <v>25</v>
      </c>
      <c r="C16" s="68">
        <f>B16+1</f>
        <v>26</v>
      </c>
      <c r="D16" s="68">
        <f t="shared" ref="D16:M16" si="9">C16+1</f>
        <v>27</v>
      </c>
      <c r="E16" s="68">
        <f t="shared" si="9"/>
        <v>28</v>
      </c>
      <c r="F16" s="68">
        <f t="shared" si="9"/>
        <v>29</v>
      </c>
      <c r="G16" s="68">
        <f t="shared" si="9"/>
        <v>30</v>
      </c>
      <c r="H16" s="68">
        <f t="shared" si="9"/>
        <v>31</v>
      </c>
      <c r="I16" s="68">
        <f t="shared" si="9"/>
        <v>32</v>
      </c>
      <c r="J16" s="68">
        <f t="shared" si="9"/>
        <v>33</v>
      </c>
      <c r="K16" s="68">
        <f t="shared" si="9"/>
        <v>34</v>
      </c>
      <c r="L16" s="68">
        <f t="shared" si="9"/>
        <v>35</v>
      </c>
      <c r="M16" s="68">
        <f t="shared" si="9"/>
        <v>36</v>
      </c>
      <c r="N16" s="68"/>
    </row>
    <row r="17" spans="1:16" x14ac:dyDescent="0.3">
      <c r="A17" s="30" t="s">
        <v>295</v>
      </c>
      <c r="B17" s="43">
        <f>N11-M12</f>
        <v>23974241.543349974</v>
      </c>
      <c r="C17" s="43">
        <f>B17-C18</f>
        <v>23289263.213539973</v>
      </c>
      <c r="D17" s="43">
        <f t="shared" ref="D17:M17" si="10">C17-D18</f>
        <v>22604284.883729972</v>
      </c>
      <c r="E17" s="43">
        <f t="shared" si="10"/>
        <v>21919306.553919971</v>
      </c>
      <c r="F17" s="43">
        <f t="shared" si="10"/>
        <v>21234328.22410997</v>
      </c>
      <c r="G17" s="43">
        <f t="shared" si="10"/>
        <v>20549349.894299969</v>
      </c>
      <c r="H17" s="43">
        <f t="shared" si="10"/>
        <v>19864371.564489968</v>
      </c>
      <c r="I17" s="43">
        <f t="shared" si="10"/>
        <v>19179393.234679967</v>
      </c>
      <c r="J17" s="43">
        <f t="shared" si="10"/>
        <v>18494414.904869966</v>
      </c>
      <c r="K17" s="43">
        <f t="shared" si="10"/>
        <v>17809436.575059965</v>
      </c>
      <c r="L17" s="43">
        <f t="shared" si="10"/>
        <v>17124458.245249964</v>
      </c>
      <c r="M17" s="43">
        <f t="shared" si="10"/>
        <v>16439479.915439965</v>
      </c>
      <c r="N17" s="43">
        <f>M17</f>
        <v>16439479.915439965</v>
      </c>
      <c r="O17" s="33">
        <f>N17+N18</f>
        <v>24659219.873159964</v>
      </c>
      <c r="P17" s="33">
        <f>N11-O17</f>
        <v>0</v>
      </c>
    </row>
    <row r="18" spans="1:16" x14ac:dyDescent="0.3">
      <c r="A18" s="30" t="s">
        <v>299</v>
      </c>
      <c r="B18" s="43">
        <f>B12</f>
        <v>684978.32980999991</v>
      </c>
      <c r="C18" s="43">
        <f t="shared" ref="C18:M18" si="11">B18</f>
        <v>684978.32980999991</v>
      </c>
      <c r="D18" s="43">
        <f t="shared" si="11"/>
        <v>684978.32980999991</v>
      </c>
      <c r="E18" s="43">
        <f t="shared" si="11"/>
        <v>684978.32980999991</v>
      </c>
      <c r="F18" s="43">
        <f t="shared" si="11"/>
        <v>684978.32980999991</v>
      </c>
      <c r="G18" s="43">
        <f t="shared" si="11"/>
        <v>684978.32980999991</v>
      </c>
      <c r="H18" s="43">
        <f t="shared" si="11"/>
        <v>684978.32980999991</v>
      </c>
      <c r="I18" s="43">
        <f t="shared" si="11"/>
        <v>684978.32980999991</v>
      </c>
      <c r="J18" s="43">
        <f t="shared" si="11"/>
        <v>684978.32980999991</v>
      </c>
      <c r="K18" s="43">
        <f t="shared" si="11"/>
        <v>684978.32980999991</v>
      </c>
      <c r="L18" s="43">
        <f t="shared" si="11"/>
        <v>684978.32980999991</v>
      </c>
      <c r="M18" s="43">
        <f t="shared" si="11"/>
        <v>684978.32980999991</v>
      </c>
      <c r="N18" s="43">
        <f>SUM(B18:M18)</f>
        <v>8219739.9577199994</v>
      </c>
    </row>
    <row r="19" spans="1:16" x14ac:dyDescent="0.3">
      <c r="A19" s="30" t="s">
        <v>300</v>
      </c>
      <c r="B19" s="43">
        <f>$B$2/12*M11</f>
        <v>328789.59830879967</v>
      </c>
      <c r="C19" s="43">
        <f>$B$2/12*B17</f>
        <v>319656.55391133303</v>
      </c>
      <c r="D19" s="43">
        <f t="shared" ref="D19:M19" si="12">$B$2/12*C17</f>
        <v>310523.50951386633</v>
      </c>
      <c r="E19" s="43">
        <f t="shared" si="12"/>
        <v>301390.46511639963</v>
      </c>
      <c r="F19" s="43">
        <f t="shared" si="12"/>
        <v>292257.42071893299</v>
      </c>
      <c r="G19" s="43">
        <f t="shared" si="12"/>
        <v>283124.37632146629</v>
      </c>
      <c r="H19" s="43">
        <f t="shared" si="12"/>
        <v>273991.33192399959</v>
      </c>
      <c r="I19" s="43">
        <f t="shared" si="12"/>
        <v>264858.28752653295</v>
      </c>
      <c r="J19" s="43">
        <f t="shared" si="12"/>
        <v>255725.24312906625</v>
      </c>
      <c r="K19" s="43">
        <f t="shared" si="12"/>
        <v>246592.19873159958</v>
      </c>
      <c r="L19" s="43">
        <f t="shared" si="12"/>
        <v>237459.15433413288</v>
      </c>
      <c r="M19" s="43">
        <f t="shared" si="12"/>
        <v>228326.10993666621</v>
      </c>
      <c r="N19" s="43">
        <f>SUM(B19:M19)</f>
        <v>3342694.2494727951</v>
      </c>
    </row>
    <row r="20" spans="1:16" ht="15" thickBot="1" x14ac:dyDescent="0.35">
      <c r="A20" s="30" t="s">
        <v>17</v>
      </c>
      <c r="B20" s="44">
        <f>SUM(B18:B19)</f>
        <v>1013767.9281187996</v>
      </c>
      <c r="C20" s="44">
        <f t="shared" ref="C20:M20" si="13">SUM(C18:C19)</f>
        <v>1004634.883721333</v>
      </c>
      <c r="D20" s="44">
        <f t="shared" si="13"/>
        <v>995501.83932386618</v>
      </c>
      <c r="E20" s="44">
        <f t="shared" si="13"/>
        <v>986368.7949263996</v>
      </c>
      <c r="F20" s="44">
        <f t="shared" si="13"/>
        <v>977235.7505289329</v>
      </c>
      <c r="G20" s="44">
        <f t="shared" si="13"/>
        <v>968102.7061314662</v>
      </c>
      <c r="H20" s="44">
        <f t="shared" si="13"/>
        <v>958969.6617339995</v>
      </c>
      <c r="I20" s="44">
        <f t="shared" si="13"/>
        <v>949836.6173365328</v>
      </c>
      <c r="J20" s="44">
        <f t="shared" si="13"/>
        <v>940703.57293906622</v>
      </c>
      <c r="K20" s="44">
        <f t="shared" si="13"/>
        <v>931570.52854159952</v>
      </c>
      <c r="L20" s="44">
        <f t="shared" si="13"/>
        <v>922437.48414413282</v>
      </c>
      <c r="M20" s="44">
        <f t="shared" si="13"/>
        <v>913304.43974666612</v>
      </c>
      <c r="N20" s="44">
        <f>SUM(B20:M20)</f>
        <v>11562434.207192795</v>
      </c>
    </row>
    <row r="21" spans="1:16" ht="15" thickTop="1" x14ac:dyDescent="0.3"/>
    <row r="22" spans="1:16" x14ac:dyDescent="0.3">
      <c r="A22" s="68">
        <f>A16+1</f>
        <v>2028</v>
      </c>
      <c r="B22" s="68">
        <f>M16+1</f>
        <v>37</v>
      </c>
      <c r="C22" s="68">
        <f>B22+1</f>
        <v>38</v>
      </c>
      <c r="D22" s="68">
        <f t="shared" ref="D22:M22" si="14">C22+1</f>
        <v>39</v>
      </c>
      <c r="E22" s="68">
        <f t="shared" si="14"/>
        <v>40</v>
      </c>
      <c r="F22" s="68">
        <f t="shared" si="14"/>
        <v>41</v>
      </c>
      <c r="G22" s="68">
        <f t="shared" si="14"/>
        <v>42</v>
      </c>
      <c r="H22" s="68">
        <f t="shared" si="14"/>
        <v>43</v>
      </c>
      <c r="I22" s="68">
        <f t="shared" si="14"/>
        <v>44</v>
      </c>
      <c r="J22" s="68">
        <f t="shared" si="14"/>
        <v>45</v>
      </c>
      <c r="K22" s="68">
        <f t="shared" si="14"/>
        <v>46</v>
      </c>
      <c r="L22" s="68">
        <f t="shared" si="14"/>
        <v>47</v>
      </c>
      <c r="M22" s="68">
        <f t="shared" si="14"/>
        <v>48</v>
      </c>
      <c r="N22" s="68"/>
    </row>
    <row r="23" spans="1:16" x14ac:dyDescent="0.3">
      <c r="A23" s="30" t="s">
        <v>295</v>
      </c>
      <c r="B23" s="43">
        <f>N17-B24</f>
        <v>15754501.585629966</v>
      </c>
      <c r="C23" s="43">
        <f>B23-C24</f>
        <v>15069523.255819967</v>
      </c>
      <c r="D23" s="43">
        <f t="shared" ref="D23:M23" si="15">C23-D24</f>
        <v>14384544.926009968</v>
      </c>
      <c r="E23" s="43">
        <f t="shared" si="15"/>
        <v>13699566.596199969</v>
      </c>
      <c r="F23" s="43">
        <f t="shared" si="15"/>
        <v>13014588.26638997</v>
      </c>
      <c r="G23" s="43">
        <f t="shared" si="15"/>
        <v>12329609.936579971</v>
      </c>
      <c r="H23" s="43">
        <f t="shared" si="15"/>
        <v>11644631.606769972</v>
      </c>
      <c r="I23" s="43">
        <f t="shared" si="15"/>
        <v>10959653.276959972</v>
      </c>
      <c r="J23" s="43">
        <f t="shared" si="15"/>
        <v>10274674.947149973</v>
      </c>
      <c r="K23" s="43">
        <f t="shared" si="15"/>
        <v>9589696.6173399743</v>
      </c>
      <c r="L23" s="43">
        <f t="shared" si="15"/>
        <v>8904718.2875299752</v>
      </c>
      <c r="M23" s="43">
        <f t="shared" si="15"/>
        <v>8219739.9577199752</v>
      </c>
      <c r="N23" s="43">
        <f>M23</f>
        <v>8219739.9577199752</v>
      </c>
      <c r="O23" s="33">
        <f>N23+N24</f>
        <v>16439479.915439975</v>
      </c>
      <c r="P23" s="33">
        <f>N17-O23</f>
        <v>0</v>
      </c>
    </row>
    <row r="24" spans="1:16" x14ac:dyDescent="0.3">
      <c r="A24" s="30" t="s">
        <v>299</v>
      </c>
      <c r="B24" s="43">
        <f t="shared" ref="B24:M24" si="16">B18</f>
        <v>684978.32980999991</v>
      </c>
      <c r="C24" s="43">
        <f t="shared" si="16"/>
        <v>684978.32980999991</v>
      </c>
      <c r="D24" s="43">
        <f t="shared" si="16"/>
        <v>684978.32980999991</v>
      </c>
      <c r="E24" s="43">
        <f t="shared" si="16"/>
        <v>684978.32980999991</v>
      </c>
      <c r="F24" s="43">
        <f t="shared" si="16"/>
        <v>684978.32980999991</v>
      </c>
      <c r="G24" s="43">
        <f t="shared" si="16"/>
        <v>684978.32980999991</v>
      </c>
      <c r="H24" s="43">
        <f t="shared" si="16"/>
        <v>684978.32980999991</v>
      </c>
      <c r="I24" s="43">
        <f t="shared" si="16"/>
        <v>684978.32980999991</v>
      </c>
      <c r="J24" s="43">
        <f t="shared" si="16"/>
        <v>684978.32980999991</v>
      </c>
      <c r="K24" s="43">
        <f t="shared" si="16"/>
        <v>684978.32980999991</v>
      </c>
      <c r="L24" s="43">
        <f t="shared" si="16"/>
        <v>684978.32980999991</v>
      </c>
      <c r="M24" s="43">
        <f t="shared" si="16"/>
        <v>684978.32980999991</v>
      </c>
      <c r="N24" s="43">
        <f>SUM(B24:M24)</f>
        <v>8219739.9577199994</v>
      </c>
    </row>
    <row r="25" spans="1:16" x14ac:dyDescent="0.3">
      <c r="A25" s="30" t="s">
        <v>300</v>
      </c>
      <c r="B25" s="43">
        <f>$B$2/12*M17</f>
        <v>219193.06553919954</v>
      </c>
      <c r="C25" s="43">
        <f>$B$2/12*B23</f>
        <v>210060.0211417329</v>
      </c>
      <c r="D25" s="43">
        <f t="shared" ref="D25:M25" si="17">$B$2/12*C23</f>
        <v>200926.97674426623</v>
      </c>
      <c r="E25" s="43">
        <f t="shared" si="17"/>
        <v>191793.93234679959</v>
      </c>
      <c r="F25" s="43">
        <f t="shared" si="17"/>
        <v>182660.88794933292</v>
      </c>
      <c r="G25" s="43">
        <f t="shared" si="17"/>
        <v>173527.84355186627</v>
      </c>
      <c r="H25" s="43">
        <f t="shared" si="17"/>
        <v>164394.79915439963</v>
      </c>
      <c r="I25" s="43">
        <f t="shared" si="17"/>
        <v>155261.75475693296</v>
      </c>
      <c r="J25" s="43">
        <f t="shared" si="17"/>
        <v>146128.71035946632</v>
      </c>
      <c r="K25" s="43">
        <f t="shared" si="17"/>
        <v>136995.66596199965</v>
      </c>
      <c r="L25" s="43">
        <f t="shared" si="17"/>
        <v>127862.62156453299</v>
      </c>
      <c r="M25" s="43">
        <f t="shared" si="17"/>
        <v>118729.57716706634</v>
      </c>
      <c r="N25" s="43">
        <f>SUM(B25:M25)</f>
        <v>2027535.8562375957</v>
      </c>
    </row>
    <row r="26" spans="1:16" ht="15" thickBot="1" x14ac:dyDescent="0.35">
      <c r="A26" s="30" t="s">
        <v>17</v>
      </c>
      <c r="B26" s="44">
        <f>SUM(B24:B25)</f>
        <v>904171.39534919942</v>
      </c>
      <c r="C26" s="44">
        <f t="shared" ref="C26:M26" si="18">SUM(C24:C25)</f>
        <v>895038.35095173283</v>
      </c>
      <c r="D26" s="44">
        <f t="shared" si="18"/>
        <v>885905.30655426614</v>
      </c>
      <c r="E26" s="44">
        <f t="shared" si="18"/>
        <v>876772.26215679944</v>
      </c>
      <c r="F26" s="44">
        <f t="shared" si="18"/>
        <v>867639.21775933285</v>
      </c>
      <c r="G26" s="44">
        <f t="shared" si="18"/>
        <v>858506.17336186615</v>
      </c>
      <c r="H26" s="44">
        <f t="shared" si="18"/>
        <v>849373.12896439957</v>
      </c>
      <c r="I26" s="44">
        <f t="shared" si="18"/>
        <v>840240.08456693287</v>
      </c>
      <c r="J26" s="44">
        <f t="shared" si="18"/>
        <v>831107.04016946629</v>
      </c>
      <c r="K26" s="44">
        <f t="shared" si="18"/>
        <v>821973.99577199959</v>
      </c>
      <c r="L26" s="44">
        <f t="shared" si="18"/>
        <v>812840.95137453289</v>
      </c>
      <c r="M26" s="44">
        <f t="shared" si="18"/>
        <v>803707.9069770663</v>
      </c>
      <c r="N26" s="44">
        <f>SUM(B26:M26)</f>
        <v>10247275.813957594</v>
      </c>
    </row>
    <row r="27" spans="1:16" ht="15" thickTop="1" x14ac:dyDescent="0.3"/>
    <row r="28" spans="1:16" x14ac:dyDescent="0.3">
      <c r="A28" s="68">
        <f>A22+1</f>
        <v>2029</v>
      </c>
      <c r="B28" s="68">
        <f>M22+1</f>
        <v>49</v>
      </c>
      <c r="C28" s="68">
        <f>B28+1</f>
        <v>50</v>
      </c>
      <c r="D28" s="68">
        <f t="shared" ref="D28:M28" si="19">C28+1</f>
        <v>51</v>
      </c>
      <c r="E28" s="68">
        <f t="shared" si="19"/>
        <v>52</v>
      </c>
      <c r="F28" s="68">
        <f t="shared" si="19"/>
        <v>53</v>
      </c>
      <c r="G28" s="68">
        <f t="shared" si="19"/>
        <v>54</v>
      </c>
      <c r="H28" s="68">
        <f t="shared" si="19"/>
        <v>55</v>
      </c>
      <c r="I28" s="68">
        <f t="shared" si="19"/>
        <v>56</v>
      </c>
      <c r="J28" s="68">
        <f t="shared" si="19"/>
        <v>57</v>
      </c>
      <c r="K28" s="68">
        <f t="shared" si="19"/>
        <v>58</v>
      </c>
      <c r="L28" s="68">
        <f t="shared" si="19"/>
        <v>59</v>
      </c>
      <c r="M28" s="68">
        <f t="shared" si="19"/>
        <v>60</v>
      </c>
      <c r="N28" s="68"/>
    </row>
    <row r="29" spans="1:16" x14ac:dyDescent="0.3">
      <c r="A29" s="30" t="s">
        <v>295</v>
      </c>
      <c r="B29" s="43">
        <f>M23-M24</f>
        <v>7534761.6279099751</v>
      </c>
      <c r="C29" s="43">
        <f>B29-B30</f>
        <v>6849783.2980999751</v>
      </c>
      <c r="D29" s="43">
        <f t="shared" ref="D29:M29" si="20">C29-C30</f>
        <v>6164804.9682899751</v>
      </c>
      <c r="E29" s="43">
        <f t="shared" si="20"/>
        <v>5479826.6384799751</v>
      </c>
      <c r="F29" s="43">
        <f t="shared" si="20"/>
        <v>4794848.308669975</v>
      </c>
      <c r="G29" s="43">
        <f t="shared" si="20"/>
        <v>4109869.978859975</v>
      </c>
      <c r="H29" s="43">
        <f t="shared" si="20"/>
        <v>3424891.649049975</v>
      </c>
      <c r="I29" s="43">
        <f t="shared" si="20"/>
        <v>2739913.319239975</v>
      </c>
      <c r="J29" s="43">
        <f t="shared" si="20"/>
        <v>2054934.9894299749</v>
      </c>
      <c r="K29" s="43">
        <f t="shared" si="20"/>
        <v>1369956.6596199749</v>
      </c>
      <c r="L29" s="43">
        <f t="shared" si="20"/>
        <v>684978.329809975</v>
      </c>
      <c r="M29" s="43">
        <f t="shared" si="20"/>
        <v>-2.491287887096405E-8</v>
      </c>
      <c r="N29" s="43">
        <f>M29</f>
        <v>-2.491287887096405E-8</v>
      </c>
    </row>
    <row r="30" spans="1:16" x14ac:dyDescent="0.3">
      <c r="A30" s="30" t="s">
        <v>299</v>
      </c>
      <c r="B30" s="43">
        <f>B18</f>
        <v>684978.32980999991</v>
      </c>
      <c r="C30" s="43">
        <f>C24</f>
        <v>684978.32980999991</v>
      </c>
      <c r="D30" s="43">
        <f>C30</f>
        <v>684978.32980999991</v>
      </c>
      <c r="E30" s="43">
        <f t="shared" ref="E30:M30" si="21">D30</f>
        <v>684978.32980999991</v>
      </c>
      <c r="F30" s="43">
        <f t="shared" si="21"/>
        <v>684978.32980999991</v>
      </c>
      <c r="G30" s="43">
        <f t="shared" si="21"/>
        <v>684978.32980999991</v>
      </c>
      <c r="H30" s="43">
        <f t="shared" si="21"/>
        <v>684978.32980999991</v>
      </c>
      <c r="I30" s="43">
        <f t="shared" si="21"/>
        <v>684978.32980999991</v>
      </c>
      <c r="J30" s="43">
        <f t="shared" si="21"/>
        <v>684978.32980999991</v>
      </c>
      <c r="K30" s="43">
        <f t="shared" si="21"/>
        <v>684978.32980999991</v>
      </c>
      <c r="L30" s="43">
        <f t="shared" si="21"/>
        <v>684978.32980999991</v>
      </c>
      <c r="M30" s="43">
        <f t="shared" si="21"/>
        <v>684978.32980999991</v>
      </c>
      <c r="N30" s="43">
        <f>SUM(B30:M30)</f>
        <v>8219739.9577199994</v>
      </c>
    </row>
    <row r="31" spans="1:16" x14ac:dyDescent="0.3">
      <c r="A31" s="30" t="s">
        <v>300</v>
      </c>
      <c r="B31" s="43">
        <f>B29*[1]Premisas!$F$5/12</f>
        <v>150695.2325581995</v>
      </c>
      <c r="C31" s="43">
        <f>C29*[1]Premisas!$F$5/12</f>
        <v>136995.6659619995</v>
      </c>
      <c r="D31" s="43">
        <f>D29*[1]Premisas!$F$5/12</f>
        <v>123296.0993657995</v>
      </c>
      <c r="E31" s="43">
        <f>E29*[1]Premisas!$F$5/12</f>
        <v>109596.53276959951</v>
      </c>
      <c r="F31" s="43">
        <f>F29*[1]Premisas!$F$5/12</f>
        <v>95896.966173399487</v>
      </c>
      <c r="G31" s="43">
        <f>G29*[1]Premisas!$F$5/12</f>
        <v>82197.399577199496</v>
      </c>
      <c r="H31" s="43">
        <f>H29*[1]Premisas!$F$5/12</f>
        <v>68497.832980999505</v>
      </c>
      <c r="I31" s="43">
        <f>I29*[1]Premisas!$F$5/12</f>
        <v>54798.266384799499</v>
      </c>
      <c r="J31" s="43">
        <f>J29*[1]Premisas!$F$5/12</f>
        <v>41098.699788599501</v>
      </c>
      <c r="K31" s="43">
        <f>K29*[1]Premisas!$F$5/12</f>
        <v>27399.133192399499</v>
      </c>
      <c r="L31" s="43">
        <f>L29*[1]Premisas!$F$5/12</f>
        <v>13699.566596199498</v>
      </c>
      <c r="M31" s="43">
        <f>M29*[1]Premisas!$F$5/12</f>
        <v>-4.9825757741928103E-10</v>
      </c>
      <c r="N31" s="43">
        <f>SUM(B31:M31)</f>
        <v>904171.39534919406</v>
      </c>
    </row>
    <row r="32" spans="1:16" ht="15" thickBot="1" x14ac:dyDescent="0.35">
      <c r="A32" s="30" t="s">
        <v>17</v>
      </c>
      <c r="B32" s="44">
        <f>SUM(B30:B31)</f>
        <v>835673.56236819946</v>
      </c>
      <c r="C32" s="44">
        <f t="shared" ref="C32:M32" si="22">SUM(C30:C31)</f>
        <v>821973.99577199947</v>
      </c>
      <c r="D32" s="44">
        <f t="shared" si="22"/>
        <v>808274.42917579936</v>
      </c>
      <c r="E32" s="44">
        <f t="shared" si="22"/>
        <v>794574.86257959937</v>
      </c>
      <c r="F32" s="44">
        <f t="shared" si="22"/>
        <v>780875.29598339938</v>
      </c>
      <c r="G32" s="44">
        <f t="shared" si="22"/>
        <v>767175.72938719939</v>
      </c>
      <c r="H32" s="44">
        <f t="shared" si="22"/>
        <v>753476.1627909994</v>
      </c>
      <c r="I32" s="44">
        <f t="shared" si="22"/>
        <v>739776.59619479941</v>
      </c>
      <c r="J32" s="44">
        <f t="shared" si="22"/>
        <v>726077.02959859942</v>
      </c>
      <c r="K32" s="44">
        <f t="shared" si="22"/>
        <v>712377.46300239943</v>
      </c>
      <c r="L32" s="44">
        <f t="shared" si="22"/>
        <v>698677.89640619943</v>
      </c>
      <c r="M32" s="44">
        <f t="shared" si="22"/>
        <v>684978.32980999944</v>
      </c>
      <c r="N32" s="44">
        <f>SUM(B32:M32)</f>
        <v>9123911.3530691918</v>
      </c>
    </row>
    <row r="33" spans="1:1" ht="12.75" customHeight="1" thickTop="1" x14ac:dyDescent="0.3"/>
    <row r="34" spans="1:1" x14ac:dyDescent="0.3">
      <c r="A34" s="30">
        <f>A28+1</f>
        <v>2030</v>
      </c>
    </row>
    <row r="35" spans="1:1" x14ac:dyDescent="0.3">
      <c r="A35" s="30" t="s">
        <v>295</v>
      </c>
    </row>
    <row r="36" spans="1:1" x14ac:dyDescent="0.3">
      <c r="A36" s="30" t="s">
        <v>299</v>
      </c>
    </row>
    <row r="37" spans="1:1" x14ac:dyDescent="0.3">
      <c r="A37" s="30" t="s">
        <v>300</v>
      </c>
    </row>
    <row r="38" spans="1:1" x14ac:dyDescent="0.3">
      <c r="A38" s="30" t="s">
        <v>17</v>
      </c>
    </row>
    <row r="40" spans="1:1" x14ac:dyDescent="0.3">
      <c r="A40" s="30">
        <f>A34+1</f>
        <v>2031</v>
      </c>
    </row>
    <row r="41" spans="1:1" x14ac:dyDescent="0.3">
      <c r="A41" s="30" t="s">
        <v>295</v>
      </c>
    </row>
    <row r="42" spans="1:1" x14ac:dyDescent="0.3">
      <c r="A42" s="30" t="s">
        <v>299</v>
      </c>
    </row>
    <row r="43" spans="1:1" x14ac:dyDescent="0.3">
      <c r="A43" s="30" t="s">
        <v>300</v>
      </c>
    </row>
    <row r="44" spans="1:1" x14ac:dyDescent="0.3">
      <c r="A44" s="30" t="s">
        <v>17</v>
      </c>
    </row>
    <row r="46" spans="1:1" x14ac:dyDescent="0.3">
      <c r="A46" s="30">
        <f>A40+1</f>
        <v>2032</v>
      </c>
    </row>
    <row r="47" spans="1:1" x14ac:dyDescent="0.3">
      <c r="A47" s="30" t="s">
        <v>295</v>
      </c>
    </row>
    <row r="48" spans="1:1" x14ac:dyDescent="0.3">
      <c r="A48" s="30" t="s">
        <v>299</v>
      </c>
    </row>
    <row r="49" spans="1:1" x14ac:dyDescent="0.3">
      <c r="A49" s="30" t="s">
        <v>300</v>
      </c>
    </row>
    <row r="50" spans="1:1" x14ac:dyDescent="0.3">
      <c r="A50" s="30" t="s">
        <v>17</v>
      </c>
    </row>
    <row r="52" spans="1:1" x14ac:dyDescent="0.3">
      <c r="A52" s="30">
        <v>2029</v>
      </c>
    </row>
    <row r="53" spans="1:1" x14ac:dyDescent="0.3">
      <c r="A53" s="30" t="s">
        <v>295</v>
      </c>
    </row>
    <row r="54" spans="1:1" x14ac:dyDescent="0.3">
      <c r="A54" s="30" t="s">
        <v>299</v>
      </c>
    </row>
    <row r="55" spans="1:1" x14ac:dyDescent="0.3">
      <c r="A55" s="30" t="s">
        <v>300</v>
      </c>
    </row>
    <row r="56" spans="1:1" x14ac:dyDescent="0.3">
      <c r="A56" s="30" t="s">
        <v>17</v>
      </c>
    </row>
    <row r="58" spans="1:1" x14ac:dyDescent="0.3">
      <c r="A58" s="30">
        <v>2030</v>
      </c>
    </row>
    <row r="59" spans="1:1" x14ac:dyDescent="0.3">
      <c r="A59" s="30" t="s">
        <v>295</v>
      </c>
    </row>
    <row r="60" spans="1:1" x14ac:dyDescent="0.3">
      <c r="A60" s="30" t="s">
        <v>299</v>
      </c>
    </row>
    <row r="61" spans="1:1" x14ac:dyDescent="0.3">
      <c r="A61" s="30" t="s">
        <v>300</v>
      </c>
    </row>
    <row r="62" spans="1:1" x14ac:dyDescent="0.3">
      <c r="A62" s="30" t="s">
        <v>17</v>
      </c>
    </row>
    <row r="64" spans="1:1" x14ac:dyDescent="0.3">
      <c r="A64" s="30">
        <v>2031</v>
      </c>
    </row>
    <row r="65" spans="1:1" x14ac:dyDescent="0.3">
      <c r="A65" s="30" t="s">
        <v>295</v>
      </c>
    </row>
    <row r="66" spans="1:1" x14ac:dyDescent="0.3">
      <c r="A66" s="30" t="s">
        <v>299</v>
      </c>
    </row>
    <row r="67" spans="1:1" x14ac:dyDescent="0.3">
      <c r="A67" s="30" t="s">
        <v>300</v>
      </c>
    </row>
    <row r="68" spans="1:1" x14ac:dyDescent="0.3">
      <c r="A68" s="30" t="s">
        <v>17</v>
      </c>
    </row>
    <row r="70" spans="1:1" x14ac:dyDescent="0.3">
      <c r="A70" s="30">
        <v>2032</v>
      </c>
    </row>
    <row r="71" spans="1:1" x14ac:dyDescent="0.3">
      <c r="A71" s="30" t="s">
        <v>295</v>
      </c>
    </row>
    <row r="72" spans="1:1" x14ac:dyDescent="0.3">
      <c r="A72" s="30" t="s">
        <v>299</v>
      </c>
    </row>
    <row r="73" spans="1:1" x14ac:dyDescent="0.3">
      <c r="A73" s="30" t="s">
        <v>300</v>
      </c>
    </row>
    <row r="74" spans="1:1" x14ac:dyDescent="0.3">
      <c r="A74" s="30" t="s">
        <v>17</v>
      </c>
    </row>
    <row r="76" spans="1:1" x14ac:dyDescent="0.3">
      <c r="A76" s="30">
        <v>2033</v>
      </c>
    </row>
  </sheetData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7B40-E514-4ADE-A491-885AF7B07816}">
  <dimension ref="A3:O220"/>
  <sheetViews>
    <sheetView topLeftCell="A199" workbookViewId="0">
      <selection activeCell="B206" sqref="B206"/>
    </sheetView>
  </sheetViews>
  <sheetFormatPr baseColWidth="10" defaultColWidth="8.88671875" defaultRowHeight="14.4" x14ac:dyDescent="0.3"/>
  <cols>
    <col min="1" max="1" width="27.6640625" customWidth="1"/>
    <col min="2" max="2" width="15.77734375" bestFit="1" customWidth="1"/>
    <col min="3" max="3" width="15.77734375" customWidth="1"/>
    <col min="4" max="4" width="17.77734375" customWidth="1"/>
    <col min="5" max="5" width="20.77734375" bestFit="1" customWidth="1"/>
    <col min="6" max="8" width="15.77734375" bestFit="1" customWidth="1"/>
    <col min="9" max="9" width="22.77734375" customWidth="1"/>
    <col min="10" max="12" width="17.44140625" bestFit="1" customWidth="1"/>
    <col min="13" max="13" width="20.77734375" bestFit="1" customWidth="1"/>
    <col min="14" max="14" width="9.88671875" bestFit="1" customWidth="1"/>
    <col min="15" max="15" width="11.44140625" bestFit="1" customWidth="1"/>
  </cols>
  <sheetData>
    <row r="3" spans="1:15" x14ac:dyDescent="0.3">
      <c r="A3" s="35" t="s">
        <v>185</v>
      </c>
      <c r="B3" s="35" t="s">
        <v>186</v>
      </c>
      <c r="C3" s="35" t="s">
        <v>187</v>
      </c>
      <c r="E3" s="35" t="s">
        <v>188</v>
      </c>
      <c r="F3" s="35" t="s">
        <v>186</v>
      </c>
      <c r="G3" s="35" t="s">
        <v>187</v>
      </c>
      <c r="I3" s="35" t="s">
        <v>189</v>
      </c>
      <c r="J3" s="35" t="s">
        <v>186</v>
      </c>
      <c r="K3" s="35" t="s">
        <v>187</v>
      </c>
      <c r="M3" s="35" t="s">
        <v>190</v>
      </c>
      <c r="N3" s="35" t="s">
        <v>186</v>
      </c>
      <c r="O3" s="35" t="s">
        <v>187</v>
      </c>
    </row>
    <row r="4" spans="1:15" x14ac:dyDescent="0.3">
      <c r="A4" s="20" t="s">
        <v>191</v>
      </c>
      <c r="B4" s="20"/>
      <c r="C4" s="36">
        <v>12000</v>
      </c>
      <c r="E4" s="20" t="s">
        <v>191</v>
      </c>
      <c r="F4" s="20"/>
      <c r="G4" s="36">
        <v>10000</v>
      </c>
      <c r="I4" s="20" t="s">
        <v>191</v>
      </c>
      <c r="J4" s="20"/>
      <c r="K4" s="36">
        <v>15000</v>
      </c>
      <c r="M4" s="20" t="s">
        <v>191</v>
      </c>
      <c r="N4" s="20"/>
      <c r="O4" s="36">
        <v>15000</v>
      </c>
    </row>
    <row r="5" spans="1:15" x14ac:dyDescent="0.3">
      <c r="A5" s="20" t="s">
        <v>192</v>
      </c>
      <c r="B5" s="37">
        <v>0.03</v>
      </c>
      <c r="C5" s="36">
        <f>C4*B5</f>
        <v>360</v>
      </c>
      <c r="E5" s="20" t="s">
        <v>192</v>
      </c>
      <c r="F5" s="37">
        <v>0.03</v>
      </c>
      <c r="G5" s="36">
        <f>G4*F5</f>
        <v>300</v>
      </c>
      <c r="I5" s="20" t="s">
        <v>192</v>
      </c>
      <c r="J5" s="37">
        <v>0.03</v>
      </c>
      <c r="K5" s="36">
        <f>K4*J5</f>
        <v>450</v>
      </c>
      <c r="M5" s="20" t="s">
        <v>192</v>
      </c>
      <c r="N5" s="37">
        <v>0.03</v>
      </c>
      <c r="O5" s="36">
        <f>O4*N5</f>
        <v>450</v>
      </c>
    </row>
    <row r="6" spans="1:15" x14ac:dyDescent="0.3">
      <c r="A6" s="20" t="s">
        <v>193</v>
      </c>
      <c r="B6" s="37">
        <v>0.2</v>
      </c>
      <c r="C6" s="36">
        <f>C4*B6</f>
        <v>2400</v>
      </c>
      <c r="E6" s="20" t="s">
        <v>193</v>
      </c>
      <c r="F6" s="37">
        <v>0.2</v>
      </c>
      <c r="G6" s="36">
        <f>G4*F6</f>
        <v>2000</v>
      </c>
      <c r="I6" s="20" t="s">
        <v>193</v>
      </c>
      <c r="J6" s="37">
        <v>0.2</v>
      </c>
      <c r="K6" s="36">
        <f>K4*J6</f>
        <v>3000</v>
      </c>
      <c r="M6" s="20" t="s">
        <v>193</v>
      </c>
      <c r="N6" s="37">
        <v>0.2</v>
      </c>
      <c r="O6" s="36">
        <f>O4*N6</f>
        <v>3000</v>
      </c>
    </row>
    <row r="7" spans="1:15" x14ac:dyDescent="0.3">
      <c r="A7" s="20" t="s">
        <v>194</v>
      </c>
      <c r="B7" s="37">
        <v>0.13</v>
      </c>
      <c r="C7" s="36">
        <f>C4*B7</f>
        <v>1560</v>
      </c>
      <c r="E7" s="20" t="s">
        <v>194</v>
      </c>
      <c r="F7" s="37">
        <v>0.13</v>
      </c>
      <c r="G7" s="36">
        <f>G4*F7</f>
        <v>1300</v>
      </c>
      <c r="I7" s="20" t="s">
        <v>194</v>
      </c>
      <c r="J7" s="37">
        <v>0.13</v>
      </c>
      <c r="K7" s="36">
        <f>K4*J7</f>
        <v>1950</v>
      </c>
      <c r="M7" s="20" t="s">
        <v>194</v>
      </c>
      <c r="N7" s="37">
        <v>0.13</v>
      </c>
      <c r="O7" s="36">
        <f>O4*N7</f>
        <v>1950</v>
      </c>
    </row>
    <row r="8" spans="1:15" x14ac:dyDescent="0.3">
      <c r="A8" s="20" t="s">
        <v>195</v>
      </c>
      <c r="B8" s="20"/>
      <c r="C8" s="36"/>
      <c r="E8" s="20" t="s">
        <v>195</v>
      </c>
      <c r="F8" s="20"/>
      <c r="G8" s="36"/>
      <c r="I8" s="20" t="s">
        <v>195</v>
      </c>
      <c r="J8" s="20"/>
      <c r="K8" s="36"/>
      <c r="M8" s="20" t="s">
        <v>195</v>
      </c>
      <c r="N8" s="20"/>
      <c r="O8" s="36"/>
    </row>
    <row r="9" spans="1:15" x14ac:dyDescent="0.3">
      <c r="A9" s="20" t="s">
        <v>196</v>
      </c>
      <c r="B9" s="20">
        <v>0.28846100000000002</v>
      </c>
      <c r="C9" s="36">
        <f>(C4/30)*B9</f>
        <v>115.38440000000001</v>
      </c>
      <c r="E9" s="20" t="s">
        <v>196</v>
      </c>
      <c r="F9" s="20">
        <v>0.28846100000000002</v>
      </c>
      <c r="G9" s="36">
        <f>(G4/30)*F9</f>
        <v>96.153666666666666</v>
      </c>
      <c r="I9" s="20" t="s">
        <v>196</v>
      </c>
      <c r="J9" s="20">
        <v>0.28846100000000002</v>
      </c>
      <c r="K9" s="36">
        <f>(K4/30)*J9</f>
        <v>144.23050000000001</v>
      </c>
      <c r="M9" s="20" t="s">
        <v>196</v>
      </c>
      <c r="N9" s="20">
        <v>0.28846100000000002</v>
      </c>
      <c r="O9" s="36">
        <f>(O4/30)*N9</f>
        <v>144.23050000000001</v>
      </c>
    </row>
    <row r="10" spans="1:15" x14ac:dyDescent="0.3">
      <c r="A10" s="20" t="s">
        <v>197</v>
      </c>
      <c r="B10" s="37">
        <v>7.0000000000000007E-2</v>
      </c>
      <c r="C10" s="36">
        <f>C4*B10</f>
        <v>840.00000000000011</v>
      </c>
      <c r="E10" s="20" t="s">
        <v>197</v>
      </c>
      <c r="F10" s="37">
        <v>7.0000000000000007E-2</v>
      </c>
      <c r="G10" s="36">
        <f>G4*F10</f>
        <v>700.00000000000011</v>
      </c>
      <c r="I10" s="20" t="s">
        <v>197</v>
      </c>
      <c r="J10" s="37">
        <v>7.0000000000000007E-2</v>
      </c>
      <c r="K10" s="36">
        <f>K4*J10</f>
        <v>1050</v>
      </c>
      <c r="M10" s="20" t="s">
        <v>197</v>
      </c>
      <c r="N10" s="37">
        <v>7.0000000000000007E-2</v>
      </c>
      <c r="O10" s="36">
        <f>O4*N10</f>
        <v>1050</v>
      </c>
    </row>
    <row r="11" spans="1:15" x14ac:dyDescent="0.3">
      <c r="A11" s="20" t="s">
        <v>198</v>
      </c>
      <c r="B11" s="37">
        <v>0.02</v>
      </c>
      <c r="C11" s="36">
        <f>C4*B11</f>
        <v>240</v>
      </c>
      <c r="E11" s="20" t="s">
        <v>198</v>
      </c>
      <c r="F11" s="37">
        <v>0.02</v>
      </c>
      <c r="G11" s="36">
        <f>G4*F11</f>
        <v>200</v>
      </c>
      <c r="I11" s="20" t="s">
        <v>198</v>
      </c>
      <c r="J11" s="37">
        <v>0.02</v>
      </c>
      <c r="K11" s="36">
        <f>K4*J11</f>
        <v>300</v>
      </c>
      <c r="M11" s="20" t="s">
        <v>198</v>
      </c>
      <c r="N11" s="37">
        <v>0.02</v>
      </c>
      <c r="O11" s="36">
        <f>O4*N11</f>
        <v>300</v>
      </c>
    </row>
    <row r="12" spans="1:15" x14ac:dyDescent="0.3">
      <c r="A12" s="20" t="s">
        <v>199</v>
      </c>
      <c r="B12" s="37">
        <v>0.16</v>
      </c>
      <c r="C12" s="36">
        <f>C4*B12</f>
        <v>1920</v>
      </c>
      <c r="E12" s="20" t="s">
        <v>199</v>
      </c>
      <c r="F12" s="37">
        <v>0.10879999999999999</v>
      </c>
      <c r="G12" s="36">
        <f>G4*F12</f>
        <v>1088</v>
      </c>
      <c r="I12" s="20" t="s">
        <v>199</v>
      </c>
      <c r="J12" s="37">
        <v>0.1792</v>
      </c>
      <c r="K12" s="36">
        <f>K4*J12</f>
        <v>2688</v>
      </c>
      <c r="M12" s="20" t="s">
        <v>199</v>
      </c>
      <c r="N12" s="37">
        <v>0.1792</v>
      </c>
      <c r="O12" s="36">
        <f>O4*N12</f>
        <v>2688</v>
      </c>
    </row>
    <row r="13" spans="1:15" x14ac:dyDescent="0.3">
      <c r="A13" s="20"/>
      <c r="B13" s="20"/>
      <c r="C13" s="36">
        <f>SUM(C5:C11)</f>
        <v>5515.3843999999999</v>
      </c>
      <c r="E13" s="20"/>
      <c r="F13" s="20"/>
      <c r="G13" s="36">
        <f>SUM(G5:G11)</f>
        <v>4596.153666666667</v>
      </c>
      <c r="I13" s="20"/>
      <c r="J13" s="20"/>
      <c r="K13" s="36">
        <f>SUM(K5:K11)</f>
        <v>6894.2304999999997</v>
      </c>
      <c r="M13" s="20"/>
      <c r="N13" s="20"/>
      <c r="O13" s="36">
        <f>SUM(O5:O11)</f>
        <v>6894.2304999999997</v>
      </c>
    </row>
    <row r="14" spans="1:15" x14ac:dyDescent="0.3">
      <c r="A14" s="20" t="s">
        <v>200</v>
      </c>
      <c r="B14" s="20"/>
      <c r="C14" s="36">
        <f>C4+C13</f>
        <v>17515.384399999999</v>
      </c>
      <c r="E14" s="20" t="s">
        <v>200</v>
      </c>
      <c r="F14" s="20"/>
      <c r="G14" s="36">
        <f>G4+G13</f>
        <v>14596.153666666667</v>
      </c>
      <c r="I14" s="20" t="s">
        <v>200</v>
      </c>
      <c r="J14" s="20"/>
      <c r="K14" s="36">
        <f>K4+K13</f>
        <v>21894.230499999998</v>
      </c>
      <c r="M14" s="20" t="s">
        <v>200</v>
      </c>
      <c r="N14" s="20"/>
      <c r="O14" s="36">
        <f>O4+O13</f>
        <v>21894.230499999998</v>
      </c>
    </row>
    <row r="15" spans="1:15" x14ac:dyDescent="0.3">
      <c r="C15" s="29"/>
      <c r="G15" s="29"/>
    </row>
    <row r="16" spans="1:15" x14ac:dyDescent="0.3">
      <c r="C16" s="29"/>
      <c r="G16" s="29"/>
    </row>
    <row r="17" spans="1:15" x14ac:dyDescent="0.3">
      <c r="A17" s="35" t="s">
        <v>201</v>
      </c>
      <c r="B17" s="35" t="s">
        <v>186</v>
      </c>
      <c r="C17" s="35" t="s">
        <v>187</v>
      </c>
      <c r="E17" s="35" t="s">
        <v>202</v>
      </c>
      <c r="F17" s="35" t="s">
        <v>186</v>
      </c>
      <c r="G17" s="35" t="s">
        <v>187</v>
      </c>
      <c r="I17" s="35" t="s">
        <v>203</v>
      </c>
      <c r="J17" s="35" t="s">
        <v>186</v>
      </c>
      <c r="K17" s="35" t="s">
        <v>187</v>
      </c>
      <c r="M17" s="35" t="s">
        <v>204</v>
      </c>
      <c r="N17" s="35" t="s">
        <v>186</v>
      </c>
      <c r="O17" s="35" t="s">
        <v>187</v>
      </c>
    </row>
    <row r="18" spans="1:15" x14ac:dyDescent="0.3">
      <c r="A18" s="20" t="s">
        <v>191</v>
      </c>
      <c r="B18" s="20"/>
      <c r="C18" s="36">
        <v>15000</v>
      </c>
      <c r="E18" s="20" t="s">
        <v>191</v>
      </c>
      <c r="F18" s="20"/>
      <c r="G18" s="36">
        <v>16500</v>
      </c>
      <c r="I18" s="20" t="s">
        <v>191</v>
      </c>
      <c r="J18" s="20"/>
      <c r="K18" s="36">
        <v>16500</v>
      </c>
      <c r="M18" s="20" t="s">
        <v>191</v>
      </c>
      <c r="N18" s="20"/>
      <c r="O18" s="36">
        <v>16500</v>
      </c>
    </row>
    <row r="19" spans="1:15" x14ac:dyDescent="0.3">
      <c r="A19" s="20" t="s">
        <v>192</v>
      </c>
      <c r="B19" s="37">
        <v>0.03</v>
      </c>
      <c r="C19" s="36">
        <f>C18*B19</f>
        <v>450</v>
      </c>
      <c r="E19" s="20" t="s">
        <v>192</v>
      </c>
      <c r="F19" s="37">
        <v>0.03</v>
      </c>
      <c r="G19" s="36">
        <f>G18*F19</f>
        <v>495</v>
      </c>
      <c r="I19" s="20" t="s">
        <v>192</v>
      </c>
      <c r="J19" s="37">
        <v>0.03</v>
      </c>
      <c r="K19" s="36">
        <f>K18*J19</f>
        <v>495</v>
      </c>
      <c r="M19" s="20" t="s">
        <v>192</v>
      </c>
      <c r="N19" s="37">
        <v>0.03</v>
      </c>
      <c r="O19" s="36">
        <f>O18*N19</f>
        <v>495</v>
      </c>
    </row>
    <row r="20" spans="1:15" x14ac:dyDescent="0.3">
      <c r="A20" s="20" t="s">
        <v>193</v>
      </c>
      <c r="B20" s="37">
        <v>0.2</v>
      </c>
      <c r="C20" s="36">
        <f>C18*B20</f>
        <v>3000</v>
      </c>
      <c r="E20" s="20" t="s">
        <v>193</v>
      </c>
      <c r="F20" s="37">
        <v>0.2</v>
      </c>
      <c r="G20" s="36">
        <f>G18*F20</f>
        <v>3300</v>
      </c>
      <c r="I20" s="20" t="s">
        <v>193</v>
      </c>
      <c r="J20" s="37">
        <v>0.2</v>
      </c>
      <c r="K20" s="36">
        <f>K18*J20</f>
        <v>3300</v>
      </c>
      <c r="M20" s="20" t="s">
        <v>193</v>
      </c>
      <c r="N20" s="37">
        <v>0.2</v>
      </c>
      <c r="O20" s="36">
        <f>O18*N20</f>
        <v>3300</v>
      </c>
    </row>
    <row r="21" spans="1:15" x14ac:dyDescent="0.3">
      <c r="A21" s="20" t="s">
        <v>194</v>
      </c>
      <c r="B21" s="37">
        <v>0.13</v>
      </c>
      <c r="C21" s="36">
        <f>C18*B21</f>
        <v>1950</v>
      </c>
      <c r="E21" s="20" t="s">
        <v>194</v>
      </c>
      <c r="F21" s="37">
        <v>0.13</v>
      </c>
      <c r="G21" s="36">
        <f>G18*F21</f>
        <v>2145</v>
      </c>
      <c r="I21" s="20" t="s">
        <v>194</v>
      </c>
      <c r="J21" s="37">
        <v>0.13</v>
      </c>
      <c r="K21" s="36">
        <f>K18*J21</f>
        <v>2145</v>
      </c>
      <c r="M21" s="20" t="s">
        <v>194</v>
      </c>
      <c r="N21" s="37">
        <v>0.13</v>
      </c>
      <c r="O21" s="36">
        <f>O18*N21</f>
        <v>2145</v>
      </c>
    </row>
    <row r="22" spans="1:15" x14ac:dyDescent="0.3">
      <c r="A22" s="20" t="s">
        <v>195</v>
      </c>
      <c r="B22" s="20"/>
      <c r="C22" s="36"/>
      <c r="E22" s="20" t="s">
        <v>195</v>
      </c>
      <c r="F22" s="20"/>
      <c r="G22" s="36"/>
      <c r="I22" s="20" t="s">
        <v>195</v>
      </c>
      <c r="J22" s="20"/>
      <c r="K22" s="36"/>
      <c r="M22" s="20" t="s">
        <v>195</v>
      </c>
      <c r="N22" s="20"/>
      <c r="O22" s="36"/>
    </row>
    <row r="23" spans="1:15" x14ac:dyDescent="0.3">
      <c r="A23" s="20" t="s">
        <v>196</v>
      </c>
      <c r="B23" s="20">
        <v>0.28846100000000002</v>
      </c>
      <c r="C23" s="36">
        <f>(C18/30)*B23</f>
        <v>144.23050000000001</v>
      </c>
      <c r="E23" s="20" t="s">
        <v>196</v>
      </c>
      <c r="F23" s="20">
        <v>0.28846100000000002</v>
      </c>
      <c r="G23" s="36">
        <f>(G18/30)*F23</f>
        <v>158.65355000000002</v>
      </c>
      <c r="I23" s="20" t="s">
        <v>196</v>
      </c>
      <c r="J23" s="20">
        <v>0.28846100000000002</v>
      </c>
      <c r="K23" s="36">
        <f>(K18/30)*J23</f>
        <v>158.65355000000002</v>
      </c>
      <c r="M23" s="20" t="s">
        <v>196</v>
      </c>
      <c r="N23" s="20">
        <v>0.28846100000000002</v>
      </c>
      <c r="O23" s="36">
        <f>(O18/30)*N23</f>
        <v>158.65355000000002</v>
      </c>
    </row>
    <row r="24" spans="1:15" x14ac:dyDescent="0.3">
      <c r="A24" s="20" t="s">
        <v>197</v>
      </c>
      <c r="B24" s="37">
        <v>7.0000000000000007E-2</v>
      </c>
      <c r="C24" s="36">
        <f>C18*B24</f>
        <v>1050</v>
      </c>
      <c r="E24" s="20" t="s">
        <v>197</v>
      </c>
      <c r="F24" s="37">
        <v>7.0000000000000007E-2</v>
      </c>
      <c r="G24" s="36">
        <f>G18*F24</f>
        <v>1155</v>
      </c>
      <c r="I24" s="20" t="s">
        <v>197</v>
      </c>
      <c r="J24" s="37">
        <v>7.0000000000000007E-2</v>
      </c>
      <c r="K24" s="36">
        <f>K18*J24</f>
        <v>1155</v>
      </c>
      <c r="M24" s="20" t="s">
        <v>197</v>
      </c>
      <c r="N24" s="37">
        <v>7.0000000000000007E-2</v>
      </c>
      <c r="O24" s="36">
        <f>O18*N24</f>
        <v>1155</v>
      </c>
    </row>
    <row r="25" spans="1:15" x14ac:dyDescent="0.3">
      <c r="A25" s="20" t="s">
        <v>198</v>
      </c>
      <c r="B25" s="37">
        <v>0.02</v>
      </c>
      <c r="C25" s="36">
        <f>C18*B25</f>
        <v>300</v>
      </c>
      <c r="E25" s="20" t="s">
        <v>198</v>
      </c>
      <c r="F25" s="37">
        <v>0.02</v>
      </c>
      <c r="G25" s="36">
        <f>G18*F25</f>
        <v>330</v>
      </c>
      <c r="I25" s="20" t="s">
        <v>198</v>
      </c>
      <c r="J25" s="37">
        <v>0.02</v>
      </c>
      <c r="K25" s="36">
        <f>K18*J25</f>
        <v>330</v>
      </c>
      <c r="M25" s="20" t="s">
        <v>198</v>
      </c>
      <c r="N25" s="37">
        <v>0.02</v>
      </c>
      <c r="O25" s="36">
        <f>O18*N25</f>
        <v>330</v>
      </c>
    </row>
    <row r="26" spans="1:15" x14ac:dyDescent="0.3">
      <c r="A26" s="20" t="s">
        <v>199</v>
      </c>
      <c r="B26" s="37">
        <v>0.1792</v>
      </c>
      <c r="C26" s="36"/>
      <c r="E26" s="20" t="s">
        <v>199</v>
      </c>
      <c r="F26" s="37">
        <v>0.21360000000000001</v>
      </c>
      <c r="G26" s="36">
        <f>F26*G18</f>
        <v>3524.4</v>
      </c>
      <c r="I26" s="20" t="s">
        <v>199</v>
      </c>
      <c r="J26" s="37">
        <v>0.21360000000000001</v>
      </c>
      <c r="K26" s="36">
        <f>J26*K18</f>
        <v>3524.4</v>
      </c>
      <c r="M26" s="20" t="s">
        <v>199</v>
      </c>
      <c r="N26" s="37">
        <v>0.21360000000000001</v>
      </c>
      <c r="O26" s="36">
        <f>N26*O18</f>
        <v>3524.4</v>
      </c>
    </row>
    <row r="27" spans="1:15" x14ac:dyDescent="0.3">
      <c r="A27" s="20"/>
      <c r="B27" s="20"/>
      <c r="C27" s="36">
        <f>SUM(C19:C25)</f>
        <v>6894.2304999999997</v>
      </c>
      <c r="E27" s="20"/>
      <c r="F27" s="20"/>
      <c r="G27" s="36">
        <f>SUM(G19:G25)</f>
        <v>7583.65355</v>
      </c>
      <c r="I27" s="20"/>
      <c r="J27" s="20"/>
      <c r="K27" s="36">
        <f>SUM(K19:K25)</f>
        <v>7583.65355</v>
      </c>
      <c r="M27" s="20"/>
      <c r="N27" s="20"/>
      <c r="O27" s="36">
        <f>SUM(O19:O25)</f>
        <v>7583.65355</v>
      </c>
    </row>
    <row r="28" spans="1:15" x14ac:dyDescent="0.3">
      <c r="A28" s="20" t="s">
        <v>200</v>
      </c>
      <c r="B28" s="20"/>
      <c r="C28" s="36">
        <f>C18+C27</f>
        <v>21894.230499999998</v>
      </c>
      <c r="E28" s="20" t="s">
        <v>200</v>
      </c>
      <c r="F28" s="20"/>
      <c r="G28" s="36">
        <f>G18+G27</f>
        <v>24083.653549999999</v>
      </c>
      <c r="I28" s="20" t="s">
        <v>200</v>
      </c>
      <c r="J28" s="20"/>
      <c r="K28" s="36">
        <f>K18+K27</f>
        <v>24083.653549999999</v>
      </c>
      <c r="M28" s="20" t="s">
        <v>200</v>
      </c>
      <c r="N28" s="20"/>
      <c r="O28" s="36">
        <f>O18+O27</f>
        <v>24083.653549999999</v>
      </c>
    </row>
    <row r="29" spans="1:15" x14ac:dyDescent="0.3">
      <c r="C29" s="29"/>
    </row>
    <row r="30" spans="1:15" x14ac:dyDescent="0.3">
      <c r="C30" s="29"/>
    </row>
    <row r="31" spans="1:15" x14ac:dyDescent="0.3">
      <c r="A31" s="35" t="s">
        <v>205</v>
      </c>
      <c r="B31" s="35" t="s">
        <v>186</v>
      </c>
      <c r="C31" s="35" t="s">
        <v>187</v>
      </c>
      <c r="E31" s="35" t="s">
        <v>206</v>
      </c>
      <c r="F31" s="35" t="s">
        <v>186</v>
      </c>
      <c r="G31" s="35" t="s">
        <v>187</v>
      </c>
      <c r="I31" s="35" t="s">
        <v>207</v>
      </c>
      <c r="J31" s="35" t="s">
        <v>186</v>
      </c>
      <c r="K31" s="35" t="s">
        <v>187</v>
      </c>
      <c r="M31" s="35" t="s">
        <v>208</v>
      </c>
      <c r="N31" s="35" t="s">
        <v>186</v>
      </c>
      <c r="O31" s="35" t="s">
        <v>187</v>
      </c>
    </row>
    <row r="32" spans="1:15" x14ac:dyDescent="0.3">
      <c r="A32" s="20" t="s">
        <v>191</v>
      </c>
      <c r="B32" s="20"/>
      <c r="C32" s="36">
        <v>21000</v>
      </c>
      <c r="E32" s="20" t="s">
        <v>191</v>
      </c>
      <c r="F32" s="20"/>
      <c r="G32" s="36">
        <v>21000</v>
      </c>
      <c r="I32" s="20" t="s">
        <v>191</v>
      </c>
      <c r="J32" s="20"/>
      <c r="K32" s="36">
        <v>16500</v>
      </c>
      <c r="M32" s="20" t="s">
        <v>191</v>
      </c>
      <c r="N32" s="20"/>
      <c r="O32" s="36">
        <v>21000</v>
      </c>
    </row>
    <row r="33" spans="1:15" x14ac:dyDescent="0.3">
      <c r="A33" s="20" t="s">
        <v>192</v>
      </c>
      <c r="B33" s="37">
        <v>0.03</v>
      </c>
      <c r="C33" s="36">
        <f>C32*B33</f>
        <v>630</v>
      </c>
      <c r="E33" s="20" t="s">
        <v>192</v>
      </c>
      <c r="F33" s="37">
        <v>0.03</v>
      </c>
      <c r="G33" s="36">
        <f>G32*F33</f>
        <v>630</v>
      </c>
      <c r="I33" s="20" t="s">
        <v>192</v>
      </c>
      <c r="J33" s="37">
        <v>0.03</v>
      </c>
      <c r="K33" s="36">
        <f>K32*J33</f>
        <v>495</v>
      </c>
      <c r="M33" s="20" t="s">
        <v>192</v>
      </c>
      <c r="N33" s="37">
        <v>0.03</v>
      </c>
      <c r="O33" s="36">
        <f>O32*N33</f>
        <v>630</v>
      </c>
    </row>
    <row r="34" spans="1:15" x14ac:dyDescent="0.3">
      <c r="A34" s="20" t="s">
        <v>193</v>
      </c>
      <c r="B34" s="37">
        <v>0.2</v>
      </c>
      <c r="C34" s="36">
        <f>C32*B34</f>
        <v>4200</v>
      </c>
      <c r="E34" s="20" t="s">
        <v>193</v>
      </c>
      <c r="F34" s="37">
        <v>0.2</v>
      </c>
      <c r="G34" s="36">
        <f>G32*F34</f>
        <v>4200</v>
      </c>
      <c r="I34" s="20" t="s">
        <v>193</v>
      </c>
      <c r="J34" s="37">
        <v>0.2</v>
      </c>
      <c r="K34" s="36">
        <f>K32*J34</f>
        <v>3300</v>
      </c>
      <c r="M34" s="20" t="s">
        <v>193</v>
      </c>
      <c r="N34" s="37">
        <v>0.2</v>
      </c>
      <c r="O34" s="36">
        <f>O32*N34</f>
        <v>4200</v>
      </c>
    </row>
    <row r="35" spans="1:15" x14ac:dyDescent="0.3">
      <c r="A35" s="20" t="s">
        <v>194</v>
      </c>
      <c r="B35" s="37">
        <v>0.13</v>
      </c>
      <c r="C35" s="36">
        <f>C32*B35</f>
        <v>2730</v>
      </c>
      <c r="E35" s="20" t="s">
        <v>194</v>
      </c>
      <c r="F35" s="37">
        <v>0.13</v>
      </c>
      <c r="G35" s="36">
        <f>G32*F35</f>
        <v>2730</v>
      </c>
      <c r="I35" s="20" t="s">
        <v>194</v>
      </c>
      <c r="J35" s="37">
        <v>0.13</v>
      </c>
      <c r="K35" s="36">
        <f>K32*J35</f>
        <v>2145</v>
      </c>
      <c r="M35" s="20" t="s">
        <v>194</v>
      </c>
      <c r="N35" s="37">
        <v>0.13</v>
      </c>
      <c r="O35" s="36">
        <f>O32*N35</f>
        <v>2730</v>
      </c>
    </row>
    <row r="36" spans="1:15" x14ac:dyDescent="0.3">
      <c r="A36" s="20" t="s">
        <v>195</v>
      </c>
      <c r="B36" s="20"/>
      <c r="C36" s="36"/>
      <c r="E36" s="20" t="s">
        <v>195</v>
      </c>
      <c r="F36" s="20"/>
      <c r="G36" s="36"/>
      <c r="I36" s="20" t="s">
        <v>195</v>
      </c>
      <c r="J36" s="20"/>
      <c r="K36" s="36"/>
      <c r="M36" s="20" t="s">
        <v>195</v>
      </c>
      <c r="N36" s="20"/>
      <c r="O36" s="36"/>
    </row>
    <row r="37" spans="1:15" x14ac:dyDescent="0.3">
      <c r="A37" s="20" t="s">
        <v>196</v>
      </c>
      <c r="B37" s="20">
        <v>0.28846100000000002</v>
      </c>
      <c r="C37" s="36">
        <f>(C32/30)*B37</f>
        <v>201.92270000000002</v>
      </c>
      <c r="E37" s="20" t="s">
        <v>196</v>
      </c>
      <c r="F37" s="20">
        <v>0.28846100000000002</v>
      </c>
      <c r="G37" s="36">
        <f>(G32/30)*F37</f>
        <v>201.92270000000002</v>
      </c>
      <c r="I37" s="20" t="s">
        <v>196</v>
      </c>
      <c r="J37" s="20">
        <v>0.28846100000000002</v>
      </c>
      <c r="K37" s="36">
        <f>(K32/30)*J37</f>
        <v>158.65355000000002</v>
      </c>
      <c r="M37" s="20" t="s">
        <v>196</v>
      </c>
      <c r="N37" s="20">
        <v>0.28846100000000002</v>
      </c>
      <c r="O37" s="36">
        <f>(O32/30)*N37</f>
        <v>201.92270000000002</v>
      </c>
    </row>
    <row r="38" spans="1:15" x14ac:dyDescent="0.3">
      <c r="A38" s="20" t="s">
        <v>197</v>
      </c>
      <c r="B38" s="37">
        <v>7.0000000000000007E-2</v>
      </c>
      <c r="C38" s="36">
        <f>C32*B38</f>
        <v>1470.0000000000002</v>
      </c>
      <c r="E38" s="20" t="s">
        <v>197</v>
      </c>
      <c r="F38" s="37">
        <v>7.0000000000000007E-2</v>
      </c>
      <c r="G38" s="36">
        <f>G32*F38</f>
        <v>1470.0000000000002</v>
      </c>
      <c r="I38" s="20" t="s">
        <v>197</v>
      </c>
      <c r="J38" s="37">
        <v>7.0000000000000007E-2</v>
      </c>
      <c r="K38" s="36">
        <f>K32*J38</f>
        <v>1155</v>
      </c>
      <c r="M38" s="20" t="s">
        <v>197</v>
      </c>
      <c r="N38" s="37">
        <v>7.0000000000000007E-2</v>
      </c>
      <c r="O38" s="36">
        <f>O32*N38</f>
        <v>1470.0000000000002</v>
      </c>
    </row>
    <row r="39" spans="1:15" x14ac:dyDescent="0.3">
      <c r="A39" s="20" t="s">
        <v>198</v>
      </c>
      <c r="B39" s="37">
        <v>0.02</v>
      </c>
      <c r="C39" s="36">
        <f>C32*B39</f>
        <v>420</v>
      </c>
      <c r="E39" s="20" t="s">
        <v>198</v>
      </c>
      <c r="F39" s="37">
        <v>0.02</v>
      </c>
      <c r="G39" s="36">
        <f>G32*F39</f>
        <v>420</v>
      </c>
      <c r="I39" s="20" t="s">
        <v>198</v>
      </c>
      <c r="J39" s="37">
        <v>0.02</v>
      </c>
      <c r="K39" s="36">
        <f>K32*J39</f>
        <v>330</v>
      </c>
      <c r="M39" s="20" t="s">
        <v>198</v>
      </c>
      <c r="N39" s="37">
        <v>0.02</v>
      </c>
      <c r="O39" s="36">
        <f>O32*N39</f>
        <v>420</v>
      </c>
    </row>
    <row r="40" spans="1:15" x14ac:dyDescent="0.3">
      <c r="A40" s="20" t="s">
        <v>199</v>
      </c>
      <c r="B40" s="37">
        <v>0.21360000000000001</v>
      </c>
      <c r="C40" s="36">
        <f>B40*C32</f>
        <v>4485.6000000000004</v>
      </c>
      <c r="E40" s="20" t="s">
        <v>199</v>
      </c>
      <c r="F40" s="37">
        <v>0.21360000000000001</v>
      </c>
      <c r="G40" s="36">
        <f>F40*G32</f>
        <v>4485.6000000000004</v>
      </c>
      <c r="I40" s="20" t="s">
        <v>199</v>
      </c>
      <c r="J40" s="37">
        <v>0.21360000000000001</v>
      </c>
      <c r="K40" s="36">
        <f>J40*K32</f>
        <v>3524.4</v>
      </c>
      <c r="M40" s="20" t="s">
        <v>199</v>
      </c>
      <c r="N40" s="37">
        <v>0.21360000000000001</v>
      </c>
      <c r="O40" s="36">
        <f>N40*O32</f>
        <v>4485.6000000000004</v>
      </c>
    </row>
    <row r="41" spans="1:15" x14ac:dyDescent="0.3">
      <c r="A41" s="20"/>
      <c r="B41" s="20"/>
      <c r="C41" s="36">
        <f>SUM(C33:C39)</f>
        <v>9651.922700000001</v>
      </c>
      <c r="E41" s="20"/>
      <c r="F41" s="20"/>
      <c r="G41" s="36">
        <f>SUM(G33:G39)</f>
        <v>9651.922700000001</v>
      </c>
      <c r="I41" s="20"/>
      <c r="J41" s="20"/>
      <c r="K41" s="36">
        <f>SUM(K33:K39)</f>
        <v>7583.65355</v>
      </c>
      <c r="M41" s="20"/>
      <c r="N41" s="20"/>
      <c r="O41" s="36">
        <f>SUM(O33:O39)</f>
        <v>9651.922700000001</v>
      </c>
    </row>
    <row r="42" spans="1:15" x14ac:dyDescent="0.3">
      <c r="A42" s="20" t="s">
        <v>200</v>
      </c>
      <c r="B42" s="20"/>
      <c r="C42" s="36">
        <f>C32+C41</f>
        <v>30651.922700000003</v>
      </c>
      <c r="E42" s="20" t="s">
        <v>200</v>
      </c>
      <c r="F42" s="20"/>
      <c r="G42" s="36">
        <f>G32+G41</f>
        <v>30651.922700000003</v>
      </c>
      <c r="I42" s="20" t="s">
        <v>200</v>
      </c>
      <c r="J42" s="20"/>
      <c r="K42" s="36">
        <f>K32+K41</f>
        <v>24083.653549999999</v>
      </c>
      <c r="M42" s="20" t="s">
        <v>200</v>
      </c>
      <c r="N42" s="20"/>
      <c r="O42" s="36">
        <f>O32+O41</f>
        <v>30651.922700000003</v>
      </c>
    </row>
    <row r="45" spans="1:15" x14ac:dyDescent="0.3">
      <c r="A45" s="35" t="s">
        <v>209</v>
      </c>
      <c r="B45" s="35" t="s">
        <v>186</v>
      </c>
      <c r="C45" s="35" t="s">
        <v>187</v>
      </c>
    </row>
    <row r="46" spans="1:15" x14ac:dyDescent="0.3">
      <c r="A46" s="20" t="s">
        <v>191</v>
      </c>
      <c r="B46" s="20"/>
      <c r="C46" s="36">
        <v>35000</v>
      </c>
    </row>
    <row r="47" spans="1:15" x14ac:dyDescent="0.3">
      <c r="A47" s="20" t="s">
        <v>192</v>
      </c>
      <c r="B47" s="37">
        <v>0.03</v>
      </c>
      <c r="C47" s="36">
        <f>C46*B47</f>
        <v>1050</v>
      </c>
    </row>
    <row r="48" spans="1:15" x14ac:dyDescent="0.3">
      <c r="A48" s="20" t="s">
        <v>193</v>
      </c>
      <c r="B48" s="37">
        <v>0.2</v>
      </c>
      <c r="C48" s="36">
        <f>C46*B48</f>
        <v>7000</v>
      </c>
    </row>
    <row r="49" spans="1:15" x14ac:dyDescent="0.3">
      <c r="A49" s="20" t="s">
        <v>194</v>
      </c>
      <c r="B49" s="37">
        <v>0.13</v>
      </c>
      <c r="C49" s="36">
        <f>C46*B49</f>
        <v>4550</v>
      </c>
    </row>
    <row r="50" spans="1:15" x14ac:dyDescent="0.3">
      <c r="A50" s="20" t="s">
        <v>195</v>
      </c>
      <c r="B50" s="20"/>
      <c r="C50" s="36"/>
    </row>
    <row r="51" spans="1:15" x14ac:dyDescent="0.3">
      <c r="A51" s="20" t="s">
        <v>196</v>
      </c>
      <c r="B51" s="20">
        <v>0.28846100000000002</v>
      </c>
      <c r="C51" s="36">
        <f>(C46/30)*B51</f>
        <v>336.53783333333337</v>
      </c>
    </row>
    <row r="52" spans="1:15" x14ac:dyDescent="0.3">
      <c r="A52" s="20" t="s">
        <v>197</v>
      </c>
      <c r="B52" s="37">
        <v>7.0000000000000007E-2</v>
      </c>
      <c r="C52" s="36">
        <f>C46*B52</f>
        <v>2450.0000000000005</v>
      </c>
    </row>
    <row r="53" spans="1:15" x14ac:dyDescent="0.3">
      <c r="A53" s="20" t="s">
        <v>198</v>
      </c>
      <c r="B53" s="37">
        <v>0.02</v>
      </c>
      <c r="C53" s="36">
        <f>C46*B53</f>
        <v>700</v>
      </c>
    </row>
    <row r="54" spans="1:15" x14ac:dyDescent="0.3">
      <c r="A54" s="20" t="s">
        <v>199</v>
      </c>
      <c r="B54" s="37">
        <v>0.23519999999999999</v>
      </c>
      <c r="C54" s="36">
        <f>C46*B54</f>
        <v>8232</v>
      </c>
    </row>
    <row r="55" spans="1:15" x14ac:dyDescent="0.3">
      <c r="A55" s="20"/>
      <c r="B55" s="20"/>
      <c r="C55" s="36">
        <f>SUM(C47:C53)</f>
        <v>16086.537833333334</v>
      </c>
    </row>
    <row r="56" spans="1:15" x14ac:dyDescent="0.3">
      <c r="A56" s="20" t="s">
        <v>200</v>
      </c>
      <c r="B56" s="20"/>
      <c r="C56" s="36">
        <f>C46+C55</f>
        <v>51086.537833333336</v>
      </c>
    </row>
    <row r="59" spans="1:15" x14ac:dyDescent="0.3">
      <c r="A59" t="s">
        <v>210</v>
      </c>
    </row>
    <row r="61" spans="1:15" x14ac:dyDescent="0.3">
      <c r="A61" s="35" t="s">
        <v>211</v>
      </c>
      <c r="B61" s="35" t="s">
        <v>186</v>
      </c>
      <c r="C61" s="35" t="s">
        <v>187</v>
      </c>
      <c r="E61" s="35" t="s">
        <v>212</v>
      </c>
      <c r="F61" s="35" t="s">
        <v>186</v>
      </c>
      <c r="G61" s="35" t="s">
        <v>187</v>
      </c>
      <c r="I61" s="35" t="s">
        <v>213</v>
      </c>
      <c r="J61" s="35" t="s">
        <v>186</v>
      </c>
      <c r="K61" s="35" t="s">
        <v>187</v>
      </c>
      <c r="M61" s="35" t="s">
        <v>214</v>
      </c>
      <c r="N61" s="35" t="s">
        <v>186</v>
      </c>
      <c r="O61" s="35" t="s">
        <v>187</v>
      </c>
    </row>
    <row r="62" spans="1:15" x14ac:dyDescent="0.3">
      <c r="A62" s="20" t="s">
        <v>191</v>
      </c>
      <c r="B62" s="20"/>
      <c r="C62" s="36">
        <v>21000</v>
      </c>
      <c r="E62" s="20" t="s">
        <v>191</v>
      </c>
      <c r="F62" s="20"/>
      <c r="G62" s="36">
        <v>25000</v>
      </c>
      <c r="I62" s="20" t="s">
        <v>191</v>
      </c>
      <c r="J62" s="20"/>
      <c r="K62" s="36">
        <v>21000</v>
      </c>
      <c r="M62" s="20" t="s">
        <v>191</v>
      </c>
      <c r="N62" s="20"/>
      <c r="O62" s="36">
        <v>21000</v>
      </c>
    </row>
    <row r="63" spans="1:15" x14ac:dyDescent="0.3">
      <c r="A63" s="20" t="s">
        <v>192</v>
      </c>
      <c r="B63" s="37">
        <v>0.03</v>
      </c>
      <c r="C63" s="36">
        <f>C62*B63</f>
        <v>630</v>
      </c>
      <c r="E63" s="20" t="s">
        <v>192</v>
      </c>
      <c r="F63" s="37">
        <v>0.03</v>
      </c>
      <c r="G63" s="36">
        <f>G62*F63</f>
        <v>750</v>
      </c>
      <c r="I63" s="20" t="s">
        <v>192</v>
      </c>
      <c r="J63" s="37">
        <v>0.03</v>
      </c>
      <c r="K63" s="36">
        <f>K62*J63</f>
        <v>630</v>
      </c>
      <c r="M63" s="20" t="s">
        <v>192</v>
      </c>
      <c r="N63" s="37">
        <v>0.03</v>
      </c>
      <c r="O63" s="36">
        <f>O62*N63</f>
        <v>630</v>
      </c>
    </row>
    <row r="64" spans="1:15" x14ac:dyDescent="0.3">
      <c r="A64" s="20" t="s">
        <v>193</v>
      </c>
      <c r="B64" s="37">
        <v>0.2</v>
      </c>
      <c r="C64" s="36">
        <f>C62*B64</f>
        <v>4200</v>
      </c>
      <c r="E64" s="20" t="s">
        <v>193</v>
      </c>
      <c r="F64" s="37">
        <v>0.2</v>
      </c>
      <c r="G64" s="36">
        <f>G62*F64</f>
        <v>5000</v>
      </c>
      <c r="I64" s="20" t="s">
        <v>193</v>
      </c>
      <c r="J64" s="37">
        <v>0.2</v>
      </c>
      <c r="K64" s="36">
        <f>K62*J64</f>
        <v>4200</v>
      </c>
      <c r="M64" s="20" t="s">
        <v>193</v>
      </c>
      <c r="N64" s="37">
        <v>0.2</v>
      </c>
      <c r="O64" s="36">
        <f>O62*N64</f>
        <v>4200</v>
      </c>
    </row>
    <row r="65" spans="1:15" x14ac:dyDescent="0.3">
      <c r="A65" s="20" t="s">
        <v>194</v>
      </c>
      <c r="B65" s="37">
        <v>0.13</v>
      </c>
      <c r="C65" s="36">
        <f>C62*B65</f>
        <v>2730</v>
      </c>
      <c r="E65" s="20" t="s">
        <v>194</v>
      </c>
      <c r="F65" s="37">
        <v>0.13</v>
      </c>
      <c r="G65" s="36">
        <f>G62*F65</f>
        <v>3250</v>
      </c>
      <c r="I65" s="20" t="s">
        <v>194</v>
      </c>
      <c r="J65" s="37">
        <v>0.13</v>
      </c>
      <c r="K65" s="36">
        <f>K62*J65</f>
        <v>2730</v>
      </c>
      <c r="M65" s="20" t="s">
        <v>194</v>
      </c>
      <c r="N65" s="37">
        <v>0.13</v>
      </c>
      <c r="O65" s="36">
        <f>O62*N65</f>
        <v>2730</v>
      </c>
    </row>
    <row r="66" spans="1:15" x14ac:dyDescent="0.3">
      <c r="A66" s="20" t="s">
        <v>195</v>
      </c>
      <c r="B66" s="20"/>
      <c r="C66" s="36"/>
      <c r="E66" s="20" t="s">
        <v>195</v>
      </c>
      <c r="F66" s="20"/>
      <c r="G66" s="36"/>
      <c r="I66" s="20" t="s">
        <v>195</v>
      </c>
      <c r="J66" s="20"/>
      <c r="K66" s="36"/>
      <c r="M66" s="20" t="s">
        <v>195</v>
      </c>
      <c r="N66" s="20"/>
      <c r="O66" s="36"/>
    </row>
    <row r="67" spans="1:15" x14ac:dyDescent="0.3">
      <c r="A67" s="20" t="s">
        <v>196</v>
      </c>
      <c r="B67" s="20">
        <v>0.28846100000000002</v>
      </c>
      <c r="C67" s="36">
        <f>(C62/30)*B67</f>
        <v>201.92270000000002</v>
      </c>
      <c r="E67" s="20" t="s">
        <v>196</v>
      </c>
      <c r="F67" s="20">
        <v>0.28846100000000002</v>
      </c>
      <c r="G67" s="36">
        <f>(G62/30)*F67</f>
        <v>240.38416666666669</v>
      </c>
      <c r="I67" s="20" t="s">
        <v>196</v>
      </c>
      <c r="J67" s="20">
        <v>0.28846100000000002</v>
      </c>
      <c r="K67" s="36">
        <f>(K62/30)*J67</f>
        <v>201.92270000000002</v>
      </c>
      <c r="M67" s="20" t="s">
        <v>196</v>
      </c>
      <c r="N67" s="20">
        <v>0.28846100000000002</v>
      </c>
      <c r="O67" s="36">
        <f>(O62/30)*N67</f>
        <v>201.92270000000002</v>
      </c>
    </row>
    <row r="68" spans="1:15" x14ac:dyDescent="0.3">
      <c r="A68" s="20" t="s">
        <v>197</v>
      </c>
      <c r="B68" s="37">
        <v>7.0000000000000007E-2</v>
      </c>
      <c r="C68" s="36">
        <f>C62*B68</f>
        <v>1470.0000000000002</v>
      </c>
      <c r="E68" s="20" t="s">
        <v>197</v>
      </c>
      <c r="F68" s="37">
        <v>7.0000000000000007E-2</v>
      </c>
      <c r="G68" s="36">
        <f>G62*F68</f>
        <v>1750.0000000000002</v>
      </c>
      <c r="I68" s="20" t="s">
        <v>197</v>
      </c>
      <c r="J68" s="37">
        <v>7.0000000000000007E-2</v>
      </c>
      <c r="K68" s="36">
        <f>K62*J68</f>
        <v>1470.0000000000002</v>
      </c>
      <c r="M68" s="20" t="s">
        <v>197</v>
      </c>
      <c r="N68" s="37">
        <v>7.0000000000000007E-2</v>
      </c>
      <c r="O68" s="36">
        <f>O62*N68</f>
        <v>1470.0000000000002</v>
      </c>
    </row>
    <row r="69" spans="1:15" x14ac:dyDescent="0.3">
      <c r="A69" s="20" t="s">
        <v>198</v>
      </c>
      <c r="B69" s="37">
        <v>0.02</v>
      </c>
      <c r="C69" s="36">
        <f>C62*B69</f>
        <v>420</v>
      </c>
      <c r="E69" s="20" t="s">
        <v>198</v>
      </c>
      <c r="F69" s="37">
        <v>0.02</v>
      </c>
      <c r="G69" s="36">
        <f>G62*F69</f>
        <v>500</v>
      </c>
      <c r="I69" s="20" t="s">
        <v>198</v>
      </c>
      <c r="J69" s="37">
        <v>0.02</v>
      </c>
      <c r="K69" s="36">
        <f>K62*J69</f>
        <v>420</v>
      </c>
      <c r="M69" s="20" t="s">
        <v>198</v>
      </c>
      <c r="N69" s="37">
        <v>0.02</v>
      </c>
      <c r="O69" s="36">
        <f>O62*N69</f>
        <v>420</v>
      </c>
    </row>
    <row r="70" spans="1:15" x14ac:dyDescent="0.3">
      <c r="A70" s="20" t="s">
        <v>199</v>
      </c>
      <c r="B70" s="37">
        <v>0.21360000000000001</v>
      </c>
      <c r="C70" s="36">
        <f>B70*C62</f>
        <v>4485.6000000000004</v>
      </c>
      <c r="E70" s="20" t="s">
        <v>199</v>
      </c>
      <c r="F70" s="37">
        <v>0.21360000000000001</v>
      </c>
      <c r="G70" s="36">
        <f>F70*G62</f>
        <v>5340</v>
      </c>
      <c r="I70" s="20" t="s">
        <v>199</v>
      </c>
      <c r="J70" s="37">
        <v>0.21360000000000001</v>
      </c>
      <c r="K70" s="36">
        <f>J70*K62</f>
        <v>4485.6000000000004</v>
      </c>
      <c r="M70" s="20" t="s">
        <v>199</v>
      </c>
      <c r="N70" s="37">
        <v>0.21360000000000001</v>
      </c>
      <c r="O70" s="36">
        <f>N70*O62</f>
        <v>4485.6000000000004</v>
      </c>
    </row>
    <row r="71" spans="1:15" x14ac:dyDescent="0.3">
      <c r="A71" s="20"/>
      <c r="B71" s="20"/>
      <c r="C71" s="36">
        <f>SUM(C63:C69)</f>
        <v>9651.922700000001</v>
      </c>
      <c r="E71" s="20"/>
      <c r="F71" s="20"/>
      <c r="G71" s="36">
        <f>SUM(G63:G69)</f>
        <v>11490.384166666667</v>
      </c>
      <c r="I71" s="20"/>
      <c r="J71" s="20"/>
      <c r="K71" s="36">
        <f>SUM(K63:K69)</f>
        <v>9651.922700000001</v>
      </c>
      <c r="M71" s="20"/>
      <c r="N71" s="20"/>
      <c r="O71" s="36">
        <f>SUM(O63:O69)</f>
        <v>9651.922700000001</v>
      </c>
    </row>
    <row r="72" spans="1:15" x14ac:dyDescent="0.3">
      <c r="A72" s="20" t="s">
        <v>200</v>
      </c>
      <c r="B72" s="20"/>
      <c r="C72" s="36">
        <f>C62+C71</f>
        <v>30651.922700000003</v>
      </c>
      <c r="E72" s="20" t="s">
        <v>200</v>
      </c>
      <c r="F72" s="20"/>
      <c r="G72" s="36">
        <f>G62+G71</f>
        <v>36490.38416666667</v>
      </c>
      <c r="I72" s="20" t="s">
        <v>200</v>
      </c>
      <c r="J72" s="20"/>
      <c r="K72" s="36">
        <f>K62+K71</f>
        <v>30651.922700000003</v>
      </c>
      <c r="M72" s="20" t="s">
        <v>200</v>
      </c>
      <c r="N72" s="20"/>
      <c r="O72" s="36">
        <f>O62+O71</f>
        <v>30651.922700000003</v>
      </c>
    </row>
    <row r="75" spans="1:15" x14ac:dyDescent="0.3">
      <c r="A75" s="35" t="s">
        <v>215</v>
      </c>
      <c r="B75" s="35" t="s">
        <v>186</v>
      </c>
      <c r="C75" s="35" t="s">
        <v>187</v>
      </c>
      <c r="E75" s="35" t="s">
        <v>216</v>
      </c>
      <c r="F75" s="35" t="s">
        <v>186</v>
      </c>
      <c r="G75" s="35" t="s">
        <v>187</v>
      </c>
      <c r="I75" s="35" t="s">
        <v>217</v>
      </c>
      <c r="J75" s="35" t="s">
        <v>186</v>
      </c>
      <c r="K75" s="35" t="s">
        <v>187</v>
      </c>
      <c r="M75" s="35" t="s">
        <v>218</v>
      </c>
      <c r="N75" s="35" t="s">
        <v>186</v>
      </c>
      <c r="O75" s="35" t="s">
        <v>187</v>
      </c>
    </row>
    <row r="76" spans="1:15" x14ac:dyDescent="0.3">
      <c r="A76" s="20" t="s">
        <v>191</v>
      </c>
      <c r="B76" s="20"/>
      <c r="C76" s="36">
        <v>18000</v>
      </c>
      <c r="E76" s="20" t="s">
        <v>191</v>
      </c>
      <c r="F76" s="20"/>
      <c r="G76" s="36">
        <v>25000</v>
      </c>
      <c r="I76" s="20" t="s">
        <v>191</v>
      </c>
      <c r="J76" s="20"/>
      <c r="K76" s="36">
        <v>25000</v>
      </c>
      <c r="M76" s="20" t="s">
        <v>191</v>
      </c>
      <c r="N76" s="20"/>
      <c r="O76" s="36">
        <v>35000</v>
      </c>
    </row>
    <row r="77" spans="1:15" x14ac:dyDescent="0.3">
      <c r="A77" s="20" t="s">
        <v>192</v>
      </c>
      <c r="B77" s="37">
        <v>0.03</v>
      </c>
      <c r="C77" s="36">
        <f>C76*B77</f>
        <v>540</v>
      </c>
      <c r="E77" s="20" t="s">
        <v>192</v>
      </c>
      <c r="F77" s="37">
        <v>0.03</v>
      </c>
      <c r="G77" s="36">
        <f>G76*F77</f>
        <v>750</v>
      </c>
      <c r="I77" s="20" t="s">
        <v>192</v>
      </c>
      <c r="J77" s="37">
        <v>0.03</v>
      </c>
      <c r="K77" s="36">
        <f>K76*J77</f>
        <v>750</v>
      </c>
      <c r="M77" s="20" t="s">
        <v>192</v>
      </c>
      <c r="N77" s="37">
        <v>0.03</v>
      </c>
      <c r="O77" s="36">
        <f>O76*N77</f>
        <v>1050</v>
      </c>
    </row>
    <row r="78" spans="1:15" x14ac:dyDescent="0.3">
      <c r="A78" s="20" t="s">
        <v>193</v>
      </c>
      <c r="B78" s="37">
        <v>0.2</v>
      </c>
      <c r="C78" s="36">
        <f>C76*B78</f>
        <v>3600</v>
      </c>
      <c r="E78" s="20" t="s">
        <v>193</v>
      </c>
      <c r="F78" s="37">
        <v>0.2</v>
      </c>
      <c r="G78" s="36">
        <f>G76*F78</f>
        <v>5000</v>
      </c>
      <c r="I78" s="20" t="s">
        <v>193</v>
      </c>
      <c r="J78" s="37">
        <v>0.2</v>
      </c>
      <c r="K78" s="36">
        <f>K76*J78</f>
        <v>5000</v>
      </c>
      <c r="M78" s="20" t="s">
        <v>193</v>
      </c>
      <c r="N78" s="37">
        <v>0.2</v>
      </c>
      <c r="O78" s="36">
        <f>O76*N78</f>
        <v>7000</v>
      </c>
    </row>
    <row r="79" spans="1:15" x14ac:dyDescent="0.3">
      <c r="A79" s="20" t="s">
        <v>194</v>
      </c>
      <c r="B79" s="37">
        <v>0.13</v>
      </c>
      <c r="C79" s="36">
        <f>C76*B79</f>
        <v>2340</v>
      </c>
      <c r="E79" s="20" t="s">
        <v>194</v>
      </c>
      <c r="F79" s="37">
        <v>0.13</v>
      </c>
      <c r="G79" s="36">
        <f>G76*F79</f>
        <v>3250</v>
      </c>
      <c r="I79" s="20" t="s">
        <v>194</v>
      </c>
      <c r="J79" s="37">
        <v>0.13</v>
      </c>
      <c r="K79" s="36">
        <f>K76*J79</f>
        <v>3250</v>
      </c>
      <c r="M79" s="20" t="s">
        <v>194</v>
      </c>
      <c r="N79" s="37">
        <v>0.13</v>
      </c>
      <c r="O79" s="36">
        <f>O76*N79</f>
        <v>4550</v>
      </c>
    </row>
    <row r="80" spans="1:15" x14ac:dyDescent="0.3">
      <c r="A80" s="20" t="s">
        <v>195</v>
      </c>
      <c r="B80" s="20"/>
      <c r="C80" s="36"/>
      <c r="E80" s="20" t="s">
        <v>195</v>
      </c>
      <c r="F80" s="20"/>
      <c r="G80" s="36"/>
      <c r="I80" s="20" t="s">
        <v>195</v>
      </c>
      <c r="J80" s="20"/>
      <c r="K80" s="36"/>
      <c r="M80" s="20" t="s">
        <v>195</v>
      </c>
      <c r="N80" s="20"/>
      <c r="O80" s="36"/>
    </row>
    <row r="81" spans="1:15" x14ac:dyDescent="0.3">
      <c r="A81" s="20" t="s">
        <v>196</v>
      </c>
      <c r="B81" s="20">
        <v>0.28846100000000002</v>
      </c>
      <c r="C81" s="36">
        <f>(C76/30)*B81</f>
        <v>173.07660000000001</v>
      </c>
      <c r="E81" s="20" t="s">
        <v>196</v>
      </c>
      <c r="F81" s="20">
        <v>0.28846100000000002</v>
      </c>
      <c r="G81" s="36">
        <f>(G76/30)*F81</f>
        <v>240.38416666666669</v>
      </c>
      <c r="I81" s="20" t="s">
        <v>196</v>
      </c>
      <c r="J81" s="20">
        <v>0.28846100000000002</v>
      </c>
      <c r="K81" s="36">
        <f>(K76/30)*J81</f>
        <v>240.38416666666669</v>
      </c>
      <c r="M81" s="20" t="s">
        <v>196</v>
      </c>
      <c r="N81" s="20">
        <v>0.28846100000000002</v>
      </c>
      <c r="O81" s="36">
        <f>(O76/30)*N81</f>
        <v>336.53783333333337</v>
      </c>
    </row>
    <row r="82" spans="1:15" x14ac:dyDescent="0.3">
      <c r="A82" s="20" t="s">
        <v>197</v>
      </c>
      <c r="B82" s="37">
        <v>7.0000000000000007E-2</v>
      </c>
      <c r="C82" s="36">
        <f>C76*B82</f>
        <v>1260.0000000000002</v>
      </c>
      <c r="E82" s="20" t="s">
        <v>197</v>
      </c>
      <c r="F82" s="37">
        <v>7.0000000000000007E-2</v>
      </c>
      <c r="G82" s="36">
        <f>G76*F82</f>
        <v>1750.0000000000002</v>
      </c>
      <c r="I82" s="20" t="s">
        <v>197</v>
      </c>
      <c r="J82" s="37">
        <v>7.0000000000000007E-2</v>
      </c>
      <c r="K82" s="36">
        <f>K76*J82</f>
        <v>1750.0000000000002</v>
      </c>
      <c r="M82" s="20" t="s">
        <v>197</v>
      </c>
      <c r="N82" s="37">
        <v>7.0000000000000007E-2</v>
      </c>
      <c r="O82" s="36">
        <f>O76*N82</f>
        <v>2450.0000000000005</v>
      </c>
    </row>
    <row r="83" spans="1:15" x14ac:dyDescent="0.3">
      <c r="A83" s="20" t="s">
        <v>198</v>
      </c>
      <c r="B83" s="37">
        <v>0.02</v>
      </c>
      <c r="C83" s="36">
        <f>C76*B83</f>
        <v>360</v>
      </c>
      <c r="E83" s="20" t="s">
        <v>198</v>
      </c>
      <c r="F83" s="37">
        <v>0.02</v>
      </c>
      <c r="G83" s="36">
        <f>G76*F83</f>
        <v>500</v>
      </c>
      <c r="I83" s="20" t="s">
        <v>198</v>
      </c>
      <c r="J83" s="37">
        <v>0.02</v>
      </c>
      <c r="K83" s="36">
        <f>K76*J83</f>
        <v>500</v>
      </c>
      <c r="M83" s="20" t="s">
        <v>198</v>
      </c>
      <c r="N83" s="37">
        <v>0.02</v>
      </c>
      <c r="O83" s="36">
        <f>O76*N83</f>
        <v>700</v>
      </c>
    </row>
    <row r="84" spans="1:15" x14ac:dyDescent="0.3">
      <c r="A84" s="20" t="s">
        <v>199</v>
      </c>
      <c r="B84" s="37">
        <v>0.21360000000000001</v>
      </c>
      <c r="C84" s="36">
        <f>B84*C76</f>
        <v>3844.8</v>
      </c>
      <c r="E84" s="20" t="s">
        <v>199</v>
      </c>
      <c r="F84" s="37">
        <v>0.21360000000000001</v>
      </c>
      <c r="G84" s="36">
        <f>F84*G76</f>
        <v>5340</v>
      </c>
      <c r="I84" s="20" t="s">
        <v>199</v>
      </c>
      <c r="J84" s="37">
        <v>0.21360000000000001</v>
      </c>
      <c r="K84" s="36">
        <f>J84*K76</f>
        <v>5340</v>
      </c>
      <c r="M84" s="20" t="s">
        <v>199</v>
      </c>
      <c r="N84" s="37">
        <v>0.23519999999999999</v>
      </c>
      <c r="O84" s="36">
        <f>N84*O76</f>
        <v>8232</v>
      </c>
    </row>
    <row r="85" spans="1:15" x14ac:dyDescent="0.3">
      <c r="A85" s="20"/>
      <c r="B85" s="20"/>
      <c r="C85" s="36">
        <f>SUM(C77:C83)</f>
        <v>8273.0766000000003</v>
      </c>
      <c r="E85" s="20"/>
      <c r="F85" s="20"/>
      <c r="G85" s="36">
        <f>SUM(G77:G83)</f>
        <v>11490.384166666667</v>
      </c>
      <c r="I85" s="20"/>
      <c r="J85" s="20"/>
      <c r="K85" s="36">
        <f>SUM(K77:K83)</f>
        <v>11490.384166666667</v>
      </c>
      <c r="M85" s="20"/>
      <c r="N85" s="20"/>
      <c r="O85" s="36">
        <f>SUM(O77:O83)</f>
        <v>16086.537833333334</v>
      </c>
    </row>
    <row r="86" spans="1:15" x14ac:dyDescent="0.3">
      <c r="A86" s="20" t="s">
        <v>200</v>
      </c>
      <c r="B86" s="20"/>
      <c r="C86" s="36">
        <f>C76+C85</f>
        <v>26273.0766</v>
      </c>
      <c r="E86" s="20" t="s">
        <v>200</v>
      </c>
      <c r="F86" s="20"/>
      <c r="G86" s="36">
        <f>G76+G85</f>
        <v>36490.38416666667</v>
      </c>
      <c r="I86" s="20" t="s">
        <v>200</v>
      </c>
      <c r="J86" s="20"/>
      <c r="K86" s="36">
        <f>K76+K85</f>
        <v>36490.38416666667</v>
      </c>
      <c r="M86" s="20" t="s">
        <v>200</v>
      </c>
      <c r="N86" s="20"/>
      <c r="O86" s="36">
        <f>O76+O85</f>
        <v>51086.537833333336</v>
      </c>
    </row>
    <row r="89" spans="1:15" x14ac:dyDescent="0.3">
      <c r="A89" s="35" t="s">
        <v>219</v>
      </c>
      <c r="B89" s="35" t="s">
        <v>186</v>
      </c>
      <c r="C89" s="35" t="s">
        <v>187</v>
      </c>
    </row>
    <row r="90" spans="1:15" x14ac:dyDescent="0.3">
      <c r="A90" s="20" t="s">
        <v>191</v>
      </c>
      <c r="B90" s="20"/>
      <c r="C90" s="36">
        <v>50000</v>
      </c>
    </row>
    <row r="91" spans="1:15" x14ac:dyDescent="0.3">
      <c r="A91" s="20" t="s">
        <v>192</v>
      </c>
      <c r="B91" s="37">
        <v>0.03</v>
      </c>
      <c r="C91" s="36">
        <f>C90*B91</f>
        <v>1500</v>
      </c>
    </row>
    <row r="92" spans="1:15" x14ac:dyDescent="0.3">
      <c r="A92" s="20" t="s">
        <v>193</v>
      </c>
      <c r="B92" s="37">
        <v>0.2</v>
      </c>
      <c r="C92" s="36">
        <f>C90*B92</f>
        <v>10000</v>
      </c>
    </row>
    <row r="93" spans="1:15" x14ac:dyDescent="0.3">
      <c r="A93" s="20" t="s">
        <v>194</v>
      </c>
      <c r="B93" s="37">
        <v>0.13</v>
      </c>
      <c r="C93" s="36">
        <f>C90*B93</f>
        <v>6500</v>
      </c>
    </row>
    <row r="94" spans="1:15" x14ac:dyDescent="0.3">
      <c r="A94" s="20" t="s">
        <v>195</v>
      </c>
      <c r="B94" s="20"/>
      <c r="C94" s="36"/>
    </row>
    <row r="95" spans="1:15" x14ac:dyDescent="0.3">
      <c r="A95" s="20" t="s">
        <v>196</v>
      </c>
      <c r="B95" s="20">
        <v>0.28846100000000002</v>
      </c>
      <c r="C95" s="36">
        <f>(C90/30)*B95</f>
        <v>480.76833333333337</v>
      </c>
    </row>
    <row r="96" spans="1:15" x14ac:dyDescent="0.3">
      <c r="A96" s="20" t="s">
        <v>197</v>
      </c>
      <c r="B96" s="37">
        <v>7.0000000000000007E-2</v>
      </c>
      <c r="C96" s="36">
        <f>C90*B96</f>
        <v>3500.0000000000005</v>
      </c>
    </row>
    <row r="97" spans="1:11" x14ac:dyDescent="0.3">
      <c r="A97" s="20" t="s">
        <v>198</v>
      </c>
      <c r="B97" s="37">
        <v>0.02</v>
      </c>
      <c r="C97" s="36">
        <f>C90*B97</f>
        <v>1000</v>
      </c>
    </row>
    <row r="98" spans="1:11" x14ac:dyDescent="0.3">
      <c r="A98" s="20" t="s">
        <v>199</v>
      </c>
      <c r="B98" s="37">
        <v>0.3</v>
      </c>
      <c r="C98" s="36">
        <f>B98*C90</f>
        <v>15000</v>
      </c>
    </row>
    <row r="99" spans="1:11" x14ac:dyDescent="0.3">
      <c r="A99" s="20"/>
      <c r="B99" s="20"/>
      <c r="C99" s="36">
        <f>SUM(C91:C97)</f>
        <v>22980.768333333333</v>
      </c>
    </row>
    <row r="100" spans="1:11" x14ac:dyDescent="0.3">
      <c r="A100" s="20" t="s">
        <v>200</v>
      </c>
      <c r="B100" s="20"/>
      <c r="C100" s="36">
        <f>C90+C99</f>
        <v>72980.768333333341</v>
      </c>
    </row>
    <row r="103" spans="1:11" x14ac:dyDescent="0.3">
      <c r="A103" s="35" t="s">
        <v>220</v>
      </c>
      <c r="B103" s="35" t="s">
        <v>186</v>
      </c>
      <c r="C103" s="35" t="s">
        <v>187</v>
      </c>
      <c r="E103" s="35" t="s">
        <v>221</v>
      </c>
      <c r="F103" s="35" t="s">
        <v>186</v>
      </c>
      <c r="G103" s="35" t="s">
        <v>187</v>
      </c>
      <c r="I103" s="35" t="s">
        <v>222</v>
      </c>
      <c r="J103" s="35" t="s">
        <v>186</v>
      </c>
      <c r="K103" s="35" t="s">
        <v>187</v>
      </c>
    </row>
    <row r="104" spans="1:11" x14ac:dyDescent="0.3">
      <c r="A104" s="20" t="s">
        <v>191</v>
      </c>
      <c r="B104" s="20"/>
      <c r="C104" s="36">
        <v>10000</v>
      </c>
      <c r="E104" s="20" t="s">
        <v>191</v>
      </c>
      <c r="F104" s="20"/>
      <c r="G104" s="36">
        <v>10000</v>
      </c>
      <c r="I104" s="20" t="s">
        <v>191</v>
      </c>
      <c r="J104" s="20"/>
      <c r="K104" s="36">
        <v>15000</v>
      </c>
    </row>
    <row r="105" spans="1:11" x14ac:dyDescent="0.3">
      <c r="A105" s="20" t="s">
        <v>192</v>
      </c>
      <c r="B105" s="37">
        <v>0.03</v>
      </c>
      <c r="C105" s="36">
        <f>C104*B105</f>
        <v>300</v>
      </c>
      <c r="E105" s="20" t="s">
        <v>192</v>
      </c>
      <c r="F105" s="37">
        <v>0.03</v>
      </c>
      <c r="G105" s="36">
        <f>G104*F105</f>
        <v>300</v>
      </c>
      <c r="I105" s="20" t="s">
        <v>192</v>
      </c>
      <c r="J105" s="37">
        <v>0.03</v>
      </c>
      <c r="K105" s="36">
        <f>K104*J105</f>
        <v>450</v>
      </c>
    </row>
    <row r="106" spans="1:11" x14ac:dyDescent="0.3">
      <c r="A106" s="20" t="s">
        <v>193</v>
      </c>
      <c r="B106" s="37">
        <v>0.2</v>
      </c>
      <c r="C106" s="36">
        <f>C104*B106</f>
        <v>2000</v>
      </c>
      <c r="E106" s="20" t="s">
        <v>193</v>
      </c>
      <c r="F106" s="37">
        <v>0.2</v>
      </c>
      <c r="G106" s="36">
        <f>G104*F106</f>
        <v>2000</v>
      </c>
      <c r="I106" s="20" t="s">
        <v>193</v>
      </c>
      <c r="J106" s="37">
        <v>0.2</v>
      </c>
      <c r="K106" s="36">
        <f>K104*J106</f>
        <v>3000</v>
      </c>
    </row>
    <row r="107" spans="1:11" x14ac:dyDescent="0.3">
      <c r="A107" s="20" t="s">
        <v>194</v>
      </c>
      <c r="B107" s="37">
        <v>0.13</v>
      </c>
      <c r="C107" s="36">
        <f>C104*B107</f>
        <v>1300</v>
      </c>
      <c r="E107" s="20" t="s">
        <v>194</v>
      </c>
      <c r="F107" s="37">
        <v>0.13</v>
      </c>
      <c r="G107" s="36">
        <f>G104*F107</f>
        <v>1300</v>
      </c>
      <c r="I107" s="20" t="s">
        <v>194</v>
      </c>
      <c r="J107" s="37">
        <v>0.13</v>
      </c>
      <c r="K107" s="36">
        <f>K104*J107</f>
        <v>1950</v>
      </c>
    </row>
    <row r="108" spans="1:11" x14ac:dyDescent="0.3">
      <c r="A108" s="20" t="s">
        <v>195</v>
      </c>
      <c r="B108" s="20"/>
      <c r="C108" s="36"/>
      <c r="E108" s="20" t="s">
        <v>195</v>
      </c>
      <c r="F108" s="20"/>
      <c r="G108" s="36"/>
      <c r="I108" s="20" t="s">
        <v>195</v>
      </c>
      <c r="J108" s="20"/>
      <c r="K108" s="36"/>
    </row>
    <row r="109" spans="1:11" x14ac:dyDescent="0.3">
      <c r="A109" s="20" t="s">
        <v>196</v>
      </c>
      <c r="B109" s="20">
        <v>0.28846100000000002</v>
      </c>
      <c r="C109" s="36">
        <f>(C104/30)*B109</f>
        <v>96.153666666666666</v>
      </c>
      <c r="E109" s="20" t="s">
        <v>196</v>
      </c>
      <c r="F109" s="20">
        <v>0.28846100000000002</v>
      </c>
      <c r="G109" s="36">
        <f>(G104/30)*F109</f>
        <v>96.153666666666666</v>
      </c>
      <c r="I109" s="20" t="s">
        <v>196</v>
      </c>
      <c r="J109" s="20">
        <v>0.28846100000000002</v>
      </c>
      <c r="K109" s="36">
        <f>(K104/30)*J109</f>
        <v>144.23050000000001</v>
      </c>
    </row>
    <row r="110" spans="1:11" x14ac:dyDescent="0.3">
      <c r="A110" s="20" t="s">
        <v>197</v>
      </c>
      <c r="B110" s="37">
        <v>7.0000000000000007E-2</v>
      </c>
      <c r="C110" s="36">
        <f>C104*B110</f>
        <v>700.00000000000011</v>
      </c>
      <c r="E110" s="20" t="s">
        <v>197</v>
      </c>
      <c r="F110" s="37">
        <v>7.0000000000000007E-2</v>
      </c>
      <c r="G110" s="36">
        <f>G104*F110</f>
        <v>700.00000000000011</v>
      </c>
      <c r="I110" s="20" t="s">
        <v>197</v>
      </c>
      <c r="J110" s="37">
        <v>7.0000000000000007E-2</v>
      </c>
      <c r="K110" s="36">
        <f>K104*J110</f>
        <v>1050</v>
      </c>
    </row>
    <row r="111" spans="1:11" x14ac:dyDescent="0.3">
      <c r="A111" s="20" t="s">
        <v>198</v>
      </c>
      <c r="B111" s="37">
        <v>0.02</v>
      </c>
      <c r="C111" s="36">
        <f>C104*B111</f>
        <v>200</v>
      </c>
      <c r="E111" s="20" t="s">
        <v>198</v>
      </c>
      <c r="F111" s="37">
        <v>0.02</v>
      </c>
      <c r="G111" s="36">
        <f>G104*F111</f>
        <v>200</v>
      </c>
      <c r="I111" s="20" t="s">
        <v>198</v>
      </c>
      <c r="J111" s="37">
        <v>0.02</v>
      </c>
      <c r="K111" s="36">
        <f>K104*J111</f>
        <v>300</v>
      </c>
    </row>
    <row r="112" spans="1:11" x14ac:dyDescent="0.3">
      <c r="A112" s="20" t="s">
        <v>199</v>
      </c>
      <c r="B112" s="37">
        <v>0.10879999999999999</v>
      </c>
      <c r="C112" s="36">
        <f>C104*B112</f>
        <v>1088</v>
      </c>
      <c r="E112" s="20" t="s">
        <v>199</v>
      </c>
      <c r="F112" s="37">
        <v>0.10879999999999999</v>
      </c>
      <c r="G112" s="36">
        <f>G104*F112</f>
        <v>1088</v>
      </c>
      <c r="I112" s="20" t="s">
        <v>199</v>
      </c>
      <c r="J112" s="37">
        <v>0.13</v>
      </c>
      <c r="K112" s="36">
        <f>K104*J112</f>
        <v>1950</v>
      </c>
    </row>
    <row r="113" spans="1:11" x14ac:dyDescent="0.3">
      <c r="A113" s="20"/>
      <c r="B113" s="20"/>
      <c r="C113" s="36">
        <f>SUM(C105:C111)</f>
        <v>4596.153666666667</v>
      </c>
      <c r="E113" s="20"/>
      <c r="F113" s="20"/>
      <c r="G113" s="36">
        <f>SUM(G105:G111)</f>
        <v>4596.153666666667</v>
      </c>
      <c r="I113" s="20"/>
      <c r="J113" s="20"/>
      <c r="K113" s="36">
        <f>SUM(K105:K111)</f>
        <v>6894.2304999999997</v>
      </c>
    </row>
    <row r="114" spans="1:11" x14ac:dyDescent="0.3">
      <c r="A114" s="20" t="s">
        <v>200</v>
      </c>
      <c r="B114" s="20"/>
      <c r="C114" s="36">
        <f>C104+C113</f>
        <v>14596.153666666667</v>
      </c>
      <c r="E114" s="20" t="s">
        <v>200</v>
      </c>
      <c r="F114" s="20"/>
      <c r="G114" s="36">
        <f>G104+G113</f>
        <v>14596.153666666667</v>
      </c>
      <c r="I114" s="20" t="s">
        <v>200</v>
      </c>
      <c r="J114" s="20"/>
      <c r="K114" s="36">
        <f>K104+K113</f>
        <v>21894.230499999998</v>
      </c>
    </row>
    <row r="119" spans="1:11" x14ac:dyDescent="0.3">
      <c r="A119" s="38" t="s">
        <v>223</v>
      </c>
      <c r="B119" s="38" t="s">
        <v>76</v>
      </c>
      <c r="C119" s="38" t="s">
        <v>224</v>
      </c>
    </row>
    <row r="120" spans="1:11" x14ac:dyDescent="0.3">
      <c r="A120" t="s">
        <v>225</v>
      </c>
      <c r="B120">
        <f>Capacidad!C41</f>
        <v>23</v>
      </c>
      <c r="C120" s="39">
        <f>B120*C14*12</f>
        <v>4834246.0943999998</v>
      </c>
    </row>
    <row r="121" spans="1:11" x14ac:dyDescent="0.3">
      <c r="A121" t="s">
        <v>226</v>
      </c>
      <c r="B121">
        <f>Capacidad!C42</f>
        <v>2</v>
      </c>
      <c r="C121" s="39">
        <f>C28*B121*12</f>
        <v>525461.53199999989</v>
      </c>
    </row>
    <row r="122" spans="1:11" x14ac:dyDescent="0.3">
      <c r="A122" t="str">
        <f>E3</f>
        <v>MOID Materiales</v>
      </c>
      <c r="B122">
        <v>2</v>
      </c>
      <c r="C122" s="39">
        <f>G14*B122*12</f>
        <v>350307.68800000002</v>
      </c>
    </row>
    <row r="123" spans="1:11" x14ac:dyDescent="0.3">
      <c r="A123" t="str">
        <f>E17</f>
        <v>MOID Técnico Calidad</v>
      </c>
      <c r="B123">
        <v>1</v>
      </c>
      <c r="C123" s="39">
        <f>G28*B123*12</f>
        <v>289003.84259999997</v>
      </c>
    </row>
    <row r="124" spans="1:11" x14ac:dyDescent="0.3">
      <c r="A124" t="str">
        <f>I3</f>
        <v>MOID Técnico Pruebas</v>
      </c>
      <c r="B124">
        <v>1</v>
      </c>
      <c r="C124" s="39">
        <f>B124*K14*12</f>
        <v>262730.76599999995</v>
      </c>
    </row>
    <row r="125" spans="1:11" x14ac:dyDescent="0.3">
      <c r="A125" t="str">
        <f>M3</f>
        <v>MOID Almacen</v>
      </c>
      <c r="B125">
        <v>1</v>
      </c>
      <c r="C125" s="39">
        <f>B125*O14*12</f>
        <v>262730.76599999995</v>
      </c>
    </row>
    <row r="126" spans="1:11" x14ac:dyDescent="0.3">
      <c r="A126" t="str">
        <f>E17</f>
        <v>MOID Técnico Calidad</v>
      </c>
      <c r="B126">
        <v>1</v>
      </c>
      <c r="C126" s="39">
        <f>B126*G28*12</f>
        <v>289003.84259999997</v>
      </c>
    </row>
    <row r="127" spans="1:11" x14ac:dyDescent="0.3">
      <c r="A127" t="str">
        <f>I17</f>
        <v>MOID Técnico Producto</v>
      </c>
      <c r="B127">
        <v>1</v>
      </c>
      <c r="C127" s="39">
        <f>B127*K28*12</f>
        <v>289003.84259999997</v>
      </c>
    </row>
    <row r="128" spans="1:11" x14ac:dyDescent="0.3">
      <c r="A128" t="str">
        <f>M17</f>
        <v>MOID Técnico Logística</v>
      </c>
      <c r="B128">
        <v>1</v>
      </c>
      <c r="C128" s="39">
        <f>O28*B128*12</f>
        <v>289003.84259999997</v>
      </c>
    </row>
    <row r="129" spans="1:3" x14ac:dyDescent="0.3">
      <c r="A129" s="77" t="str">
        <f>M31</f>
        <v>Ingeniero de Mtto</v>
      </c>
      <c r="B129" s="77">
        <v>1</v>
      </c>
      <c r="C129" s="84">
        <f>B129*O42*12</f>
        <v>367823.07240000006</v>
      </c>
    </row>
    <row r="130" spans="1:3" x14ac:dyDescent="0.3">
      <c r="A130" s="77" t="str">
        <f>A31</f>
        <v>IM Ingeniero Procesos</v>
      </c>
      <c r="B130" s="77">
        <v>1</v>
      </c>
      <c r="C130" s="84">
        <f>C42*B130*12</f>
        <v>367823.07240000006</v>
      </c>
    </row>
    <row r="131" spans="1:3" x14ac:dyDescent="0.3">
      <c r="A131" s="77" t="str">
        <f>E31</f>
        <v>IM Ingeniero de Calidad</v>
      </c>
      <c r="B131" s="77">
        <v>1</v>
      </c>
      <c r="C131" s="84">
        <f>G42*B131*12</f>
        <v>367823.07240000006</v>
      </c>
    </row>
    <row r="132" spans="1:3" x14ac:dyDescent="0.3">
      <c r="A132" s="77" t="str">
        <f>I31</f>
        <v>Ingeniero de Producto</v>
      </c>
      <c r="B132" s="77">
        <v>1</v>
      </c>
      <c r="C132" s="84">
        <f>K42*1*12</f>
        <v>289003.84259999997</v>
      </c>
    </row>
    <row r="133" spans="1:3" x14ac:dyDescent="0.3">
      <c r="A133" s="77" t="str">
        <f>A45</f>
        <v>Gerente de Operaciones</v>
      </c>
      <c r="B133" s="77">
        <v>1</v>
      </c>
      <c r="C133" s="84">
        <f>C56*12</f>
        <v>613038.45400000003</v>
      </c>
    </row>
    <row r="134" spans="1:3" x14ac:dyDescent="0.3">
      <c r="A134" t="str">
        <f>A61</f>
        <v>Recursos humanos</v>
      </c>
      <c r="B134">
        <v>2</v>
      </c>
      <c r="C134" s="39">
        <f>B134*C72*12</f>
        <v>735646.14480000013</v>
      </c>
    </row>
    <row r="135" spans="1:3" x14ac:dyDescent="0.3">
      <c r="A135" t="str">
        <f>E61</f>
        <v>Finanzas y Contabilidad</v>
      </c>
      <c r="B135">
        <v>2</v>
      </c>
      <c r="C135" s="39">
        <f>B135*G72*12</f>
        <v>875769.22000000009</v>
      </c>
    </row>
    <row r="136" spans="1:3" x14ac:dyDescent="0.3">
      <c r="A136" t="str">
        <f>I61</f>
        <v>Compras</v>
      </c>
      <c r="B136">
        <v>3</v>
      </c>
      <c r="C136" s="39">
        <f>B136*K72*12</f>
        <v>1103469.2172000003</v>
      </c>
    </row>
    <row r="137" spans="1:3" x14ac:dyDescent="0.3">
      <c r="A137" t="str">
        <f>M61</f>
        <v>IT</v>
      </c>
      <c r="B137">
        <v>2</v>
      </c>
      <c r="C137" s="39">
        <f>B137*O72*12</f>
        <v>735646.14480000013</v>
      </c>
    </row>
    <row r="138" spans="1:3" x14ac:dyDescent="0.3">
      <c r="A138" t="str">
        <f>A75</f>
        <v>Mercadotecnia</v>
      </c>
      <c r="B138">
        <v>1</v>
      </c>
      <c r="C138" s="39">
        <f>B138*C86*12</f>
        <v>315276.9192</v>
      </c>
    </row>
    <row r="139" spans="1:3" x14ac:dyDescent="0.3">
      <c r="A139" t="str">
        <f>E75</f>
        <v>Logística</v>
      </c>
      <c r="B139">
        <v>1</v>
      </c>
      <c r="C139" s="39">
        <f>G86*12</f>
        <v>437884.61000000004</v>
      </c>
    </row>
    <row r="140" spans="1:3" x14ac:dyDescent="0.3">
      <c r="A140" t="str">
        <f>I75</f>
        <v>Secretaria Ejecutiva</v>
      </c>
      <c r="B140">
        <v>1</v>
      </c>
      <c r="C140" s="39">
        <f>B140*K86*12</f>
        <v>437884.61000000004</v>
      </c>
    </row>
    <row r="141" spans="1:3" x14ac:dyDescent="0.3">
      <c r="A141" t="str">
        <f>M75</f>
        <v>Gerente Administrativo</v>
      </c>
      <c r="B141">
        <v>1</v>
      </c>
      <c r="C141" s="39">
        <f>B141*O86*12</f>
        <v>613038.45400000003</v>
      </c>
    </row>
    <row r="142" spans="1:3" x14ac:dyDescent="0.3">
      <c r="A142" t="str">
        <f>A89</f>
        <v>Gerente General</v>
      </c>
      <c r="B142">
        <v>1</v>
      </c>
      <c r="C142" s="39">
        <f>C100*B142*12</f>
        <v>875769.22000000009</v>
      </c>
    </row>
    <row r="143" spans="1:3" x14ac:dyDescent="0.3">
      <c r="A143" t="str">
        <f>A103</f>
        <v>Limpieza y Mtto</v>
      </c>
      <c r="B143">
        <v>5</v>
      </c>
      <c r="C143" s="39">
        <f>C114*B143*12</f>
        <v>875769.22000000009</v>
      </c>
    </row>
    <row r="144" spans="1:3" x14ac:dyDescent="0.3">
      <c r="A144" t="str">
        <f>E103</f>
        <v>Seguridad</v>
      </c>
      <c r="B144">
        <v>3</v>
      </c>
      <c r="C144" s="39">
        <f>B144*G114*12</f>
        <v>525461.53200000001</v>
      </c>
    </row>
    <row r="145" spans="1:12" x14ac:dyDescent="0.3">
      <c r="A145" t="str">
        <f>I103</f>
        <v>Secretaria</v>
      </c>
      <c r="B145">
        <v>1</v>
      </c>
      <c r="C145" s="39">
        <f>B145*K114*12</f>
        <v>262730.76599999995</v>
      </c>
    </row>
    <row r="146" spans="1:12" x14ac:dyDescent="0.3">
      <c r="A146" t="s">
        <v>17</v>
      </c>
      <c r="C146" s="39">
        <f>SUM(C120:C145)</f>
        <v>17191349.788599998</v>
      </c>
    </row>
    <row r="148" spans="1:12" x14ac:dyDescent="0.3">
      <c r="A148" t="s">
        <v>227</v>
      </c>
    </row>
    <row r="150" spans="1:12" x14ac:dyDescent="0.3">
      <c r="B150" s="24">
        <v>2025</v>
      </c>
      <c r="C150" s="24">
        <f>B150+1</f>
        <v>2026</v>
      </c>
      <c r="D150" s="24">
        <f t="shared" ref="D150:L150" si="0">C150+1</f>
        <v>2027</v>
      </c>
      <c r="E150" s="24">
        <f t="shared" si="0"/>
        <v>2028</v>
      </c>
      <c r="F150" s="24">
        <f t="shared" si="0"/>
        <v>2029</v>
      </c>
      <c r="G150" s="24">
        <f t="shared" si="0"/>
        <v>2030</v>
      </c>
      <c r="H150" s="24">
        <f t="shared" si="0"/>
        <v>2031</v>
      </c>
      <c r="I150" s="24">
        <f t="shared" si="0"/>
        <v>2032</v>
      </c>
      <c r="J150" s="24">
        <f t="shared" si="0"/>
        <v>2033</v>
      </c>
      <c r="K150" s="24">
        <f t="shared" si="0"/>
        <v>2034</v>
      </c>
      <c r="L150" s="24">
        <f t="shared" si="0"/>
        <v>2035</v>
      </c>
    </row>
    <row r="151" spans="1:12" x14ac:dyDescent="0.3">
      <c r="A151" t="s">
        <v>228</v>
      </c>
      <c r="B151" s="39">
        <f>C120+C121</f>
        <v>5359707.6263999995</v>
      </c>
      <c r="C151" s="39">
        <f>B151*(1+Premisas!C12)</f>
        <v>5541937.6856975993</v>
      </c>
      <c r="D151" s="39">
        <f>C151*(1+Premisas!D12)</f>
        <v>5730363.5670113182</v>
      </c>
      <c r="E151" s="39">
        <f>D151*(1+Premisas!E12)</f>
        <v>5925195.9282897031</v>
      </c>
      <c r="F151" s="39">
        <f>E151*(1+Premisas!F12)</f>
        <v>6126652.5898515536</v>
      </c>
      <c r="G151" s="39">
        <f>F151*(1+Premisas!G12)</f>
        <v>6334958.7779065063</v>
      </c>
      <c r="H151" s="39">
        <f>G151*(1+Premisas!H12)</f>
        <v>6550347.3763553277</v>
      </c>
      <c r="I151" s="39">
        <f>H151*(1+Premisas!I12)</f>
        <v>6773059.1871514088</v>
      </c>
      <c r="J151" s="39">
        <f>I151*(1+Premisas!J12)</f>
        <v>7003343.1995145567</v>
      </c>
      <c r="K151" s="39">
        <f>J151*(1+Premisas!K12)</f>
        <v>7241456.8682980519</v>
      </c>
      <c r="L151" s="39">
        <f>K151*(1+Premisas!L12)</f>
        <v>7487666.4018201856</v>
      </c>
    </row>
    <row r="152" spans="1:12" x14ac:dyDescent="0.3">
      <c r="A152" t="s">
        <v>229</v>
      </c>
      <c r="B152" s="39">
        <f>C122+C123+C124+C125+C126+C127</f>
        <v>1742780.7478</v>
      </c>
      <c r="C152" s="39">
        <f>B152*(1+Premisas!C12)</f>
        <v>1802035.2932252001</v>
      </c>
      <c r="D152" s="39">
        <f>C152*(1+Premisas!D12)</f>
        <v>1863304.4931948569</v>
      </c>
      <c r="E152" s="39">
        <f>D152*(1+Premisas!E12)</f>
        <v>1926656.845963482</v>
      </c>
      <c r="F152" s="39">
        <f>E152*(1+Premisas!F12)</f>
        <v>1992163.1787262405</v>
      </c>
      <c r="G152" s="39">
        <f>F152*(1+Premisas!G12)</f>
        <v>2059896.7268029328</v>
      </c>
      <c r="H152" s="39">
        <f>G152*(1+Premisas!H12)</f>
        <v>2129933.2155142324</v>
      </c>
      <c r="I152" s="39">
        <f>H152*(1+Premisas!I12)</f>
        <v>2202350.9448417164</v>
      </c>
      <c r="J152" s="39">
        <f>I152*(1+Premisas!J12)</f>
        <v>2277230.8769663349</v>
      </c>
      <c r="K152" s="39">
        <f>J152*(1+Premisas!K12)</f>
        <v>2354656.7267831904</v>
      </c>
      <c r="L152" s="39">
        <f>K152*(1+Premisas!L12)</f>
        <v>2434715.0554938191</v>
      </c>
    </row>
    <row r="153" spans="1:12" x14ac:dyDescent="0.3">
      <c r="A153" t="s">
        <v>230</v>
      </c>
      <c r="B153" s="39">
        <f>C129+C133+C130+C131+C132</f>
        <v>2005511.5138000003</v>
      </c>
      <c r="C153" s="39">
        <f>B153*(1+Premisas!C12)</f>
        <v>2073698.9052692004</v>
      </c>
      <c r="D153" s="39">
        <f>C153*(1+Premisas!D12)</f>
        <v>2144204.6680483534</v>
      </c>
      <c r="E153" s="39">
        <f>D153*(1+Premisas!E12)</f>
        <v>2217107.6267619976</v>
      </c>
      <c r="F153" s="39">
        <f>E153*(1+Premisas!F12)</f>
        <v>2292489.2860719054</v>
      </c>
      <c r="G153" s="39">
        <f>F153*(1+Premisas!G12)</f>
        <v>2370433.9217983503</v>
      </c>
      <c r="H153" s="39">
        <f>G153*(1+Premisas!H12)</f>
        <v>2451028.6751394942</v>
      </c>
      <c r="I153" s="39">
        <f>H153*(1+Premisas!I12)</f>
        <v>2534363.6500942372</v>
      </c>
      <c r="J153" s="39">
        <f>I153*(1+Premisas!J12)</f>
        <v>2620532.0141974413</v>
      </c>
      <c r="K153" s="39">
        <f>J153*(1+Premisas!K12)</f>
        <v>2709630.1026801541</v>
      </c>
      <c r="L153" s="39">
        <f>K153*(1+Premisas!L12)</f>
        <v>2801757.5261712796</v>
      </c>
    </row>
    <row r="154" spans="1:12" x14ac:dyDescent="0.3">
      <c r="A154" t="s">
        <v>231</v>
      </c>
      <c r="B154" s="39">
        <f>C134+C135+C136+C137+C138+C139+C140+C141+C142+C143+C144+C145</f>
        <v>7794346.0579999993</v>
      </c>
      <c r="C154" s="39">
        <f>B154*(1+Premisas!C12)</f>
        <v>8059353.8239719998</v>
      </c>
      <c r="D154" s="39">
        <f>C154*(1+Premisas!D12)</f>
        <v>8333371.8539870484</v>
      </c>
      <c r="E154" s="39">
        <f>D154*(1+Premisas!E12)</f>
        <v>8616706.4970226083</v>
      </c>
      <c r="F154" s="39">
        <f>E154*(1+Premisas!F12)</f>
        <v>8909674.517921377</v>
      </c>
      <c r="G154" s="39">
        <f>F154*(1+Premisas!G12)</f>
        <v>9212603.4515307043</v>
      </c>
      <c r="H154" s="39">
        <f>G154*(1+Premisas!H12)</f>
        <v>9525831.9688827489</v>
      </c>
      <c r="I154" s="39">
        <f>H154*(1+Premisas!I12)</f>
        <v>9849710.2558247633</v>
      </c>
      <c r="J154" s="39">
        <f>I154*(1+Premisas!J12)</f>
        <v>10184600.404522806</v>
      </c>
      <c r="K154" s="39">
        <f>J154*(1+Premisas!K12)</f>
        <v>10530876.818276582</v>
      </c>
      <c r="L154" s="39">
        <f>K154*(1+Premisas!L12)</f>
        <v>10888926.630097987</v>
      </c>
    </row>
    <row r="175" spans="1:12" x14ac:dyDescent="0.3">
      <c r="A175" t="s">
        <v>308</v>
      </c>
      <c r="B175" s="24">
        <v>2025</v>
      </c>
      <c r="C175" s="24">
        <f>B175+1</f>
        <v>2026</v>
      </c>
      <c r="D175" s="24">
        <f t="shared" ref="D175" si="1">C175+1</f>
        <v>2027</v>
      </c>
      <c r="E175" s="24">
        <f t="shared" ref="E175" si="2">D175+1</f>
        <v>2028</v>
      </c>
      <c r="F175" s="24">
        <f t="shared" ref="F175" si="3">E175+1</f>
        <v>2029</v>
      </c>
      <c r="G175" s="24">
        <f t="shared" ref="G175" si="4">F175+1</f>
        <v>2030</v>
      </c>
      <c r="H175" s="24">
        <f t="shared" ref="H175" si="5">G175+1</f>
        <v>2031</v>
      </c>
      <c r="I175" s="24">
        <f t="shared" ref="I175" si="6">H175+1</f>
        <v>2032</v>
      </c>
      <c r="J175" s="24">
        <f t="shared" ref="J175" si="7">I175+1</f>
        <v>2033</v>
      </c>
      <c r="K175" s="24">
        <f t="shared" ref="K175" si="8">J175+1</f>
        <v>2034</v>
      </c>
      <c r="L175" s="24">
        <f t="shared" ref="L175" si="9">K175+1</f>
        <v>2035</v>
      </c>
    </row>
    <row r="176" spans="1:12" x14ac:dyDescent="0.3">
      <c r="A176" t="s">
        <v>309</v>
      </c>
      <c r="B176" s="39">
        <f>BOM!F26</f>
        <v>6121.03</v>
      </c>
      <c r="C176" s="39">
        <f>B176*(1+Premisas!C12)</f>
        <v>6329.1450199999999</v>
      </c>
      <c r="D176" s="39">
        <f>C176*(1+Premisas!D12)</f>
        <v>6544.3359506799998</v>
      </c>
      <c r="E176" s="39">
        <f>D176*(1+Premisas!E12)</f>
        <v>6766.8433730031202</v>
      </c>
      <c r="F176" s="39">
        <f>E176*(1+Premisas!F12)</f>
        <v>6996.9160476852267</v>
      </c>
      <c r="G176" s="39">
        <f>F176*(1+Premisas!G12)</f>
        <v>7234.8111933065247</v>
      </c>
      <c r="H176" s="39">
        <f>G176*(1+Premisas!H12)</f>
        <v>7480.7947738789471</v>
      </c>
      <c r="I176" s="39">
        <f>H176*(1+Premisas!I12)</f>
        <v>7735.1417961908319</v>
      </c>
      <c r="J176" s="39">
        <f>I176*(1+Premisas!J12)</f>
        <v>7998.1366172613207</v>
      </c>
      <c r="K176" s="39">
        <f>J176*(1+Premisas!K12)</f>
        <v>8270.0732622482064</v>
      </c>
      <c r="L176" s="39">
        <f>K176*(1+Premisas!L12)</f>
        <v>8551.2557531646453</v>
      </c>
    </row>
    <row r="177" spans="1:12" x14ac:dyDescent="0.3">
      <c r="A177" t="s">
        <v>31</v>
      </c>
      <c r="B177" s="22">
        <f>Capacidad!E17</f>
        <v>20000</v>
      </c>
      <c r="C177" s="22">
        <f>Capacidad!F17</f>
        <v>99860</v>
      </c>
      <c r="D177" s="22">
        <f>Capacidad!G17</f>
        <v>100914.44444444444</v>
      </c>
      <c r="E177" s="22">
        <f>Capacidad!H17</f>
        <v>107977.77777777778</v>
      </c>
      <c r="F177" s="22">
        <f>Capacidad!I17</f>
        <v>115534.44444444444</v>
      </c>
      <c r="G177" s="22">
        <f>Capacidad!J17</f>
        <v>123624.44444444444</v>
      </c>
      <c r="H177" s="22">
        <f>Capacidad!K17</f>
        <v>132277.77777777778</v>
      </c>
      <c r="I177" s="22">
        <f>Capacidad!L17</f>
        <v>141537.77777777778</v>
      </c>
      <c r="J177" s="22">
        <f>Capacidad!M17</f>
        <v>152026.66666666666</v>
      </c>
      <c r="K177" s="22">
        <f>Capacidad!N17</f>
        <v>156914.44444444444</v>
      </c>
      <c r="L177" s="22">
        <f>Capacidad!O17</f>
        <v>166260</v>
      </c>
    </row>
    <row r="178" spans="1:12" x14ac:dyDescent="0.3">
      <c r="A178" t="s">
        <v>310</v>
      </c>
      <c r="B178" s="29">
        <f>B176*B177</f>
        <v>122420600</v>
      </c>
      <c r="C178" s="29">
        <f t="shared" ref="C178:L178" si="10">C176*C177</f>
        <v>632028421.69719994</v>
      </c>
      <c r="D178" s="29">
        <f t="shared" si="10"/>
        <v>660418026.72067726</v>
      </c>
      <c r="E178" s="29">
        <f t="shared" si="10"/>
        <v>730668709.98715913</v>
      </c>
      <c r="F178" s="29">
        <f t="shared" si="10"/>
        <v>808384808.39373052</v>
      </c>
      <c r="G178" s="29">
        <f t="shared" si="10"/>
        <v>894399514.43296719</v>
      </c>
      <c r="H178" s="29">
        <f t="shared" si="10"/>
        <v>989542908.70032072</v>
      </c>
      <c r="I178" s="29">
        <f t="shared" si="10"/>
        <v>1094814780.6288588</v>
      </c>
      <c r="J178" s="29">
        <f t="shared" si="10"/>
        <v>1215930049.4668477</v>
      </c>
      <c r="K178" s="29">
        <f t="shared" si="10"/>
        <v>1297693951.4605315</v>
      </c>
      <c r="L178" s="29">
        <f t="shared" si="10"/>
        <v>1421731781.5211539</v>
      </c>
    </row>
    <row r="183" spans="1:12" x14ac:dyDescent="0.3">
      <c r="A183" s="40" t="s">
        <v>232</v>
      </c>
      <c r="B183" s="40" t="s">
        <v>233</v>
      </c>
      <c r="C183" s="40" t="s">
        <v>33</v>
      </c>
      <c r="D183" s="40" t="s">
        <v>234</v>
      </c>
      <c r="E183" s="40" t="s">
        <v>235</v>
      </c>
    </row>
    <row r="184" spans="1:12" ht="144" x14ac:dyDescent="0.3">
      <c r="A184" s="20" t="s">
        <v>236</v>
      </c>
      <c r="B184" s="20" t="s">
        <v>237</v>
      </c>
      <c r="C184" s="41" t="s">
        <v>238</v>
      </c>
      <c r="D184" s="42">
        <v>60000</v>
      </c>
      <c r="E184" s="41" t="s">
        <v>239</v>
      </c>
    </row>
    <row r="185" spans="1:12" ht="72" x14ac:dyDescent="0.3">
      <c r="A185" s="20"/>
      <c r="B185" s="20" t="s">
        <v>240</v>
      </c>
      <c r="C185" s="41" t="s">
        <v>241</v>
      </c>
      <c r="D185" s="42">
        <v>8000</v>
      </c>
      <c r="E185" s="41" t="s">
        <v>242</v>
      </c>
    </row>
    <row r="186" spans="1:12" ht="72" x14ac:dyDescent="0.3">
      <c r="A186" s="20"/>
      <c r="B186" s="20" t="s">
        <v>243</v>
      </c>
      <c r="C186" s="41" t="s">
        <v>244</v>
      </c>
      <c r="D186" s="42">
        <v>5000</v>
      </c>
      <c r="E186" s="41" t="s">
        <v>245</v>
      </c>
    </row>
    <row r="187" spans="1:12" ht="129.6" x14ac:dyDescent="0.3">
      <c r="A187" s="20"/>
      <c r="B187" s="20" t="s">
        <v>246</v>
      </c>
      <c r="C187" s="41" t="s">
        <v>247</v>
      </c>
      <c r="D187" s="42">
        <v>8000</v>
      </c>
      <c r="E187" s="41" t="s">
        <v>248</v>
      </c>
    </row>
    <row r="188" spans="1:12" ht="86.4" x14ac:dyDescent="0.3">
      <c r="A188" s="20" t="s">
        <v>249</v>
      </c>
      <c r="B188" s="20" t="s">
        <v>250</v>
      </c>
      <c r="C188" s="41" t="s">
        <v>251</v>
      </c>
      <c r="D188" s="42">
        <v>30000</v>
      </c>
      <c r="E188" s="41" t="s">
        <v>252</v>
      </c>
    </row>
    <row r="189" spans="1:12" ht="72" x14ac:dyDescent="0.3">
      <c r="A189" s="20"/>
      <c r="B189" s="20" t="s">
        <v>221</v>
      </c>
      <c r="C189" s="41" t="s">
        <v>253</v>
      </c>
      <c r="D189" s="42">
        <v>25000</v>
      </c>
      <c r="E189" s="41" t="s">
        <v>254</v>
      </c>
    </row>
    <row r="190" spans="1:12" ht="72" x14ac:dyDescent="0.3">
      <c r="A190" s="20"/>
      <c r="B190" s="20" t="s">
        <v>255</v>
      </c>
      <c r="C190" s="41" t="s">
        <v>256</v>
      </c>
      <c r="D190" s="42">
        <v>15000</v>
      </c>
      <c r="E190" s="41" t="s">
        <v>257</v>
      </c>
    </row>
    <row r="191" spans="1:12" ht="129.6" x14ac:dyDescent="0.3">
      <c r="A191" s="20" t="s">
        <v>258</v>
      </c>
      <c r="B191" s="20" t="s">
        <v>259</v>
      </c>
      <c r="C191" s="41" t="s">
        <v>260</v>
      </c>
      <c r="D191" s="42">
        <v>0</v>
      </c>
      <c r="E191" s="41" t="s">
        <v>261</v>
      </c>
    </row>
    <row r="192" spans="1:12" ht="72" x14ac:dyDescent="0.3">
      <c r="A192" s="20"/>
      <c r="B192" s="20" t="s">
        <v>262</v>
      </c>
      <c r="C192" s="41" t="s">
        <v>263</v>
      </c>
      <c r="D192" s="42">
        <v>200000</v>
      </c>
      <c r="E192" s="41" t="s">
        <v>264</v>
      </c>
    </row>
    <row r="193" spans="1:12" ht="43.2" x14ac:dyDescent="0.3">
      <c r="A193" s="20"/>
      <c r="B193" s="20" t="s">
        <v>265</v>
      </c>
      <c r="C193" s="41" t="s">
        <v>266</v>
      </c>
      <c r="D193" s="42">
        <v>8000</v>
      </c>
      <c r="E193" s="41" t="s">
        <v>267</v>
      </c>
    </row>
    <row r="194" spans="1:12" ht="86.4" x14ac:dyDescent="0.3">
      <c r="A194" s="20"/>
      <c r="B194" s="20" t="s">
        <v>268</v>
      </c>
      <c r="C194" s="41" t="s">
        <v>269</v>
      </c>
      <c r="D194" s="42">
        <v>15000</v>
      </c>
      <c r="E194" s="41" t="s">
        <v>270</v>
      </c>
    </row>
    <row r="195" spans="1:12" ht="57.6" x14ac:dyDescent="0.3">
      <c r="A195" s="20"/>
      <c r="B195" s="20" t="s">
        <v>271</v>
      </c>
      <c r="C195" s="41" t="s">
        <v>272</v>
      </c>
      <c r="D195" s="42">
        <v>20000</v>
      </c>
      <c r="E195" s="41" t="s">
        <v>273</v>
      </c>
    </row>
    <row r="196" spans="1:12" ht="72" x14ac:dyDescent="0.3">
      <c r="A196" s="20"/>
      <c r="B196" s="20" t="s">
        <v>274</v>
      </c>
      <c r="C196" s="41" t="s">
        <v>275</v>
      </c>
      <c r="D196" s="42">
        <v>15000</v>
      </c>
      <c r="E196" s="41" t="s">
        <v>276</v>
      </c>
    </row>
    <row r="197" spans="1:12" ht="72" x14ac:dyDescent="0.3">
      <c r="A197" s="20"/>
      <c r="B197" s="20" t="s">
        <v>277</v>
      </c>
      <c r="C197" s="41" t="s">
        <v>278</v>
      </c>
      <c r="D197" s="42">
        <v>5000</v>
      </c>
      <c r="E197" s="41" t="s">
        <v>279</v>
      </c>
    </row>
    <row r="198" spans="1:12" ht="57.6" x14ac:dyDescent="0.3">
      <c r="A198" s="20"/>
      <c r="B198" s="20" t="s">
        <v>280</v>
      </c>
      <c r="C198" s="41" t="s">
        <v>281</v>
      </c>
      <c r="D198" s="42">
        <v>10000</v>
      </c>
      <c r="E198" s="41" t="s">
        <v>282</v>
      </c>
    </row>
    <row r="199" spans="1:12" ht="57.6" x14ac:dyDescent="0.3">
      <c r="A199" s="20"/>
      <c r="B199" s="20" t="s">
        <v>283</v>
      </c>
      <c r="C199" s="41" t="s">
        <v>284</v>
      </c>
      <c r="D199" s="42">
        <v>10000</v>
      </c>
      <c r="E199" s="41" t="s">
        <v>285</v>
      </c>
    </row>
    <row r="200" spans="1:12" ht="57.6" x14ac:dyDescent="0.3">
      <c r="A200" s="20"/>
      <c r="B200" s="20" t="s">
        <v>286</v>
      </c>
      <c r="C200" s="41" t="s">
        <v>287</v>
      </c>
      <c r="D200" s="42">
        <v>5000</v>
      </c>
      <c r="E200" s="41" t="s">
        <v>288</v>
      </c>
    </row>
    <row r="201" spans="1:12" ht="72" x14ac:dyDescent="0.3">
      <c r="A201" s="20"/>
      <c r="B201" s="20" t="s">
        <v>289</v>
      </c>
      <c r="C201" s="41" t="s">
        <v>290</v>
      </c>
      <c r="D201" s="42">
        <v>4000</v>
      </c>
      <c r="E201" s="41" t="s">
        <v>291</v>
      </c>
    </row>
    <row r="202" spans="1:12" x14ac:dyDescent="0.3">
      <c r="D202" s="22">
        <f>SUM(D184:D201)*12</f>
        <v>5316000</v>
      </c>
    </row>
    <row r="205" spans="1:12" x14ac:dyDescent="0.3">
      <c r="B205" s="24">
        <v>2025</v>
      </c>
      <c r="C205" s="24">
        <f>B205+1</f>
        <v>2026</v>
      </c>
      <c r="D205" s="24">
        <f t="shared" ref="D205" si="11">C205+1</f>
        <v>2027</v>
      </c>
      <c r="E205" s="24">
        <f t="shared" ref="E205" si="12">D205+1</f>
        <v>2028</v>
      </c>
      <c r="F205" s="24">
        <f t="shared" ref="F205" si="13">E205+1</f>
        <v>2029</v>
      </c>
      <c r="G205" s="24">
        <f t="shared" ref="G205" si="14">F205+1</f>
        <v>2030</v>
      </c>
      <c r="H205" s="24">
        <f t="shared" ref="H205" si="15">G205+1</f>
        <v>2031</v>
      </c>
      <c r="I205" s="24">
        <f t="shared" ref="I205" si="16">H205+1</f>
        <v>2032</v>
      </c>
      <c r="J205" s="24">
        <f t="shared" ref="J205" si="17">I205+1</f>
        <v>2033</v>
      </c>
      <c r="K205" s="24">
        <f t="shared" ref="K205" si="18">J205+1</f>
        <v>2034</v>
      </c>
      <c r="L205" s="24">
        <f t="shared" ref="L205" si="19">K205+1</f>
        <v>2035</v>
      </c>
    </row>
    <row r="206" spans="1:12" x14ac:dyDescent="0.3">
      <c r="A206" t="s">
        <v>258</v>
      </c>
      <c r="B206" s="22">
        <f>D202</f>
        <v>5316000</v>
      </c>
      <c r="C206" s="22">
        <f>B206*(1+Premisas!C12)</f>
        <v>5496744</v>
      </c>
      <c r="D206" s="22">
        <f>C206*(1+Premisas!D12)</f>
        <v>5683633.2960000001</v>
      </c>
      <c r="E206" s="22">
        <f>D206*(1+Premisas!E12)</f>
        <v>5876876.8280640002</v>
      </c>
      <c r="F206" s="22">
        <f>E206*(1+Premisas!F12)</f>
        <v>6076690.6402181769</v>
      </c>
      <c r="G206" s="22">
        <f>F206*(1+Premisas!G12)</f>
        <v>6283298.1219855947</v>
      </c>
      <c r="H206" s="22">
        <f>G206*(1+Premisas!H12)</f>
        <v>6496930.258133105</v>
      </c>
      <c r="I206" s="22">
        <f>H206*(1+Premisas!I12)</f>
        <v>6717825.8869096311</v>
      </c>
      <c r="J206" s="22">
        <f>I206*(1+Premisas!J12)</f>
        <v>6946231.9670645585</v>
      </c>
      <c r="K206" s="22">
        <f>J206*(1+Premisas!K12)</f>
        <v>7182403.8539447533</v>
      </c>
      <c r="L206" s="22">
        <f>K206*(1+Premisas!L12)</f>
        <v>7426605.5849788748</v>
      </c>
    </row>
    <row r="208" spans="1:12" x14ac:dyDescent="0.3">
      <c r="A208" s="1" t="s">
        <v>301</v>
      </c>
    </row>
    <row r="209" spans="1:12" x14ac:dyDescent="0.3">
      <c r="A209" t="s">
        <v>302</v>
      </c>
      <c r="B209" s="45">
        <f>Depreciación.!C64</f>
        <v>6053000</v>
      </c>
    </row>
    <row r="210" spans="1:12" x14ac:dyDescent="0.3">
      <c r="A210" t="s">
        <v>303</v>
      </c>
      <c r="B210" s="45">
        <f>Depreciación.!C25</f>
        <v>8060000</v>
      </c>
    </row>
    <row r="211" spans="1:12" x14ac:dyDescent="0.3">
      <c r="A211" t="s">
        <v>304</v>
      </c>
      <c r="B211" s="45">
        <f>Depreciación.!C84</f>
        <v>217350</v>
      </c>
    </row>
    <row r="212" spans="1:12" x14ac:dyDescent="0.3">
      <c r="A212" t="s">
        <v>305</v>
      </c>
      <c r="B212" s="45">
        <f>Depreciación.!C46</f>
        <v>1440000</v>
      </c>
    </row>
    <row r="213" spans="1:12" x14ac:dyDescent="0.3">
      <c r="A213" t="s">
        <v>306</v>
      </c>
      <c r="B213" s="22">
        <f>B206+C146</f>
        <v>22507349.788599998</v>
      </c>
    </row>
    <row r="214" spans="1:12" ht="15" thickBot="1" x14ac:dyDescent="0.35">
      <c r="A214" t="s">
        <v>307</v>
      </c>
      <c r="B214" s="10">
        <f>B210*0.35</f>
        <v>2821000</v>
      </c>
    </row>
    <row r="215" spans="1:12" ht="15" thickTop="1" x14ac:dyDescent="0.3">
      <c r="A215" t="s">
        <v>17</v>
      </c>
      <c r="B215" s="45">
        <f>SUM(B209:B214)</f>
        <v>41098699.788599998</v>
      </c>
    </row>
    <row r="218" spans="1:12" x14ac:dyDescent="0.3">
      <c r="A218" t="s">
        <v>292</v>
      </c>
      <c r="B218" s="24">
        <v>2025</v>
      </c>
      <c r="C218" s="24">
        <f>B218+1</f>
        <v>2026</v>
      </c>
      <c r="D218" s="24">
        <f t="shared" ref="D218" si="20">C218+1</f>
        <v>2027</v>
      </c>
      <c r="E218" s="24">
        <f t="shared" ref="E218" si="21">D218+1</f>
        <v>2028</v>
      </c>
      <c r="F218" s="24">
        <f t="shared" ref="F218" si="22">E218+1</f>
        <v>2029</v>
      </c>
      <c r="G218" s="24">
        <f t="shared" ref="G218" si="23">F218+1</f>
        <v>2030</v>
      </c>
      <c r="H218" s="24">
        <f t="shared" ref="H218" si="24">G218+1</f>
        <v>2031</v>
      </c>
      <c r="I218" s="24">
        <f t="shared" ref="I218" si="25">H218+1</f>
        <v>2032</v>
      </c>
      <c r="J218" s="24">
        <f t="shared" ref="J218" si="26">I218+1</f>
        <v>2033</v>
      </c>
      <c r="K218" s="24">
        <f t="shared" ref="K218" si="27">J218+1</f>
        <v>2034</v>
      </c>
      <c r="L218" s="24">
        <f t="shared" ref="L218" si="28">K218+1</f>
        <v>2035</v>
      </c>
    </row>
    <row r="219" spans="1:12" x14ac:dyDescent="0.3">
      <c r="A219" t="s">
        <v>293</v>
      </c>
      <c r="B219" s="22">
        <f>Financiamiento!N6</f>
        <v>8219739.9577199994</v>
      </c>
      <c r="C219" s="22">
        <f>Financiamiento!N12</f>
        <v>8219739.9577199994</v>
      </c>
      <c r="D219" s="22">
        <f>Financiamiento!N18</f>
        <v>8219739.9577199994</v>
      </c>
      <c r="E219" s="22">
        <f>Financiamiento!N24</f>
        <v>8219739.9577199994</v>
      </c>
      <c r="F219" s="22">
        <f>Financiamiento!N30</f>
        <v>8219739.9577199994</v>
      </c>
    </row>
    <row r="220" spans="1:12" x14ac:dyDescent="0.3">
      <c r="A220" t="s">
        <v>294</v>
      </c>
      <c r="B220" s="22">
        <f>Financiamiento!N7</f>
        <v>5973011.0359431999</v>
      </c>
      <c r="C220" s="22">
        <f>Financiamiento!N13</f>
        <v>4657852.6427079979</v>
      </c>
      <c r="D220" s="22">
        <f>Financiamiento!N19</f>
        <v>3342694.2494727951</v>
      </c>
      <c r="E220" s="22">
        <f>Financiamiento!N25</f>
        <v>2027535.8562375957</v>
      </c>
      <c r="F220" s="22">
        <f>Financiamiento!N31</f>
        <v>904171.39534919406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B3B8-B9FD-462E-84CC-C49F81F2FE2E}">
  <dimension ref="A2:L29"/>
  <sheetViews>
    <sheetView topLeftCell="A9" workbookViewId="0">
      <selection activeCell="B28" sqref="B28"/>
    </sheetView>
  </sheetViews>
  <sheetFormatPr baseColWidth="10" defaultColWidth="8.88671875" defaultRowHeight="14.4" x14ac:dyDescent="0.3"/>
  <cols>
    <col min="1" max="1" width="31.21875" customWidth="1"/>
    <col min="2" max="6" width="15.77734375" bestFit="1" customWidth="1"/>
    <col min="7" max="12" width="17.44140625" bestFit="1" customWidth="1"/>
  </cols>
  <sheetData>
    <row r="2" spans="1:12" x14ac:dyDescent="0.3">
      <c r="A2" t="s">
        <v>341</v>
      </c>
    </row>
    <row r="4" spans="1:12" x14ac:dyDescent="0.3">
      <c r="B4" s="24">
        <v>2025</v>
      </c>
      <c r="C4" s="24">
        <f>B4+1</f>
        <v>2026</v>
      </c>
      <c r="D4" s="24">
        <f t="shared" ref="D4:L4" si="0">C4+1</f>
        <v>2027</v>
      </c>
      <c r="E4" s="24">
        <f t="shared" si="0"/>
        <v>2028</v>
      </c>
      <c r="F4" s="24">
        <f t="shared" si="0"/>
        <v>2029</v>
      </c>
      <c r="G4" s="24">
        <f t="shared" si="0"/>
        <v>2030</v>
      </c>
      <c r="H4" s="24">
        <f t="shared" si="0"/>
        <v>2031</v>
      </c>
      <c r="I4" s="24">
        <f t="shared" si="0"/>
        <v>2032</v>
      </c>
      <c r="J4" s="24">
        <f t="shared" si="0"/>
        <v>2033</v>
      </c>
      <c r="K4" s="24">
        <f t="shared" si="0"/>
        <v>2034</v>
      </c>
      <c r="L4" s="24">
        <f t="shared" si="0"/>
        <v>2035</v>
      </c>
    </row>
    <row r="5" spans="1:12" x14ac:dyDescent="0.3">
      <c r="A5" s="78" t="s">
        <v>340</v>
      </c>
      <c r="B5" s="29">
        <f>Egresos!B178/Capacidad!E16</f>
        <v>7651.2875000000004</v>
      </c>
      <c r="C5" s="29">
        <f>Egresos!C178/Capacidad!F16</f>
        <v>7446.052964705882</v>
      </c>
      <c r="D5" s="29">
        <f>Egresos!D178/Capacidad!G16</f>
        <v>7271.4843896444427</v>
      </c>
      <c r="E5" s="29">
        <f>Egresos!E178/Capacidad!H16</f>
        <v>7518.7148588923556</v>
      </c>
      <c r="F5" s="29">
        <f>Egresos!F178/Capacidad!I16</f>
        <v>7774.3511640946954</v>
      </c>
      <c r="G5" s="29">
        <f>Egresos!G178/Capacidad!J16</f>
        <v>8038.6791036739151</v>
      </c>
      <c r="H5" s="29">
        <f>Egresos!H178/Capacidad!K16</f>
        <v>8311.9941931988305</v>
      </c>
      <c r="I5" s="29">
        <f>Egresos!I178/Capacidad!L16</f>
        <v>8594.6019957675908</v>
      </c>
      <c r="J5" s="29">
        <f>Egresos!J178/Capacidad!M16</f>
        <v>8886.8184636236892</v>
      </c>
      <c r="K5" s="29">
        <f>Egresos!K178/Capacidad!N16</f>
        <v>9188.970291386895</v>
      </c>
      <c r="L5" s="29">
        <f>Egresos!L178/Capacidad!O16</f>
        <v>9501.3952812940497</v>
      </c>
    </row>
    <row r="6" spans="1:12" x14ac:dyDescent="0.3">
      <c r="A6" s="77" t="s">
        <v>228</v>
      </c>
      <c r="B6" s="39">
        <f>Egresos!B151/Capacidad!E16</f>
        <v>334.98172664999998</v>
      </c>
      <c r="C6" s="39">
        <f>Egresos!C151/Capacidad!F16</f>
        <v>65.290673833927485</v>
      </c>
      <c r="D6" s="39">
        <f>Egresos!D151/Capacidad!G16</f>
        <v>63.093749017444019</v>
      </c>
      <c r="E6" s="39">
        <f>Egresos!E151/Capacidad!H16</f>
        <v>60.971351392155825</v>
      </c>
      <c r="F6" s="39">
        <f>Egresos!F151/Capacidad!I16</f>
        <v>58.920885448798856</v>
      </c>
      <c r="G6" s="39">
        <f>Egresos!G151/Capacidad!J16</f>
        <v>56.937308136708907</v>
      </c>
      <c r="H6" s="39">
        <f>Egresos!H151/Capacidad!K16</f>
        <v>55.021817525034251</v>
      </c>
      <c r="I6" s="39">
        <f>Egresos!I151/Capacidad!L16</f>
        <v>53.17040748564505</v>
      </c>
      <c r="J6" s="39">
        <f>Egresos!J151/Capacidad!M16</f>
        <v>51.185049402988923</v>
      </c>
      <c r="K6" s="39">
        <f>Egresos!K151/Capacidad!N16</f>
        <v>51.276752853983076</v>
      </c>
      <c r="L6" s="39">
        <f>Egresos!L151/Capacidad!O16</f>
        <v>50.039873302993875</v>
      </c>
    </row>
    <row r="7" spans="1:12" x14ac:dyDescent="0.3">
      <c r="A7" s="77" t="s">
        <v>229</v>
      </c>
      <c r="B7" s="39">
        <f>Egresos!B152/Capacidad!E16</f>
        <v>108.9237967375</v>
      </c>
      <c r="C7" s="39">
        <f>Egresos!C152/Capacidad!F16</f>
        <v>21.230137406783616</v>
      </c>
      <c r="D7" s="39">
        <f>Egresos!D152/Capacidad!G16</f>
        <v>20.515777866783271</v>
      </c>
      <c r="E7" s="39">
        <f>Egresos!E152/Capacidad!H16</f>
        <v>19.825651841567009</v>
      </c>
      <c r="F7" s="39">
        <f>Egresos!F152/Capacidad!I16</f>
        <v>19.158915366521196</v>
      </c>
      <c r="G7" s="39">
        <f>Egresos!G152/Capacidad!J16</f>
        <v>18.513928626152079</v>
      </c>
      <c r="H7" s="39">
        <f>Egresos!H152/Capacidad!K16</f>
        <v>17.891081188695779</v>
      </c>
      <c r="I7" s="39">
        <f>Egresos!I152/Capacidad!L16</f>
        <v>17.289070407913997</v>
      </c>
      <c r="J7" s="39">
        <f>Egresos!J152/Capacidad!M16</f>
        <v>16.643504626135289</v>
      </c>
      <c r="K7" s="39">
        <f>Egresos!K152/Capacidad!N16</f>
        <v>16.673323231932407</v>
      </c>
      <c r="L7" s="39">
        <f>Egresos!L152/Capacidad!O16</f>
        <v>16.271135273359125</v>
      </c>
    </row>
    <row r="8" spans="1:12" x14ac:dyDescent="0.3">
      <c r="A8" s="77" t="s">
        <v>230</v>
      </c>
      <c r="B8" s="39">
        <f>Egresos!B153/Capacidad!E16</f>
        <v>125.34446961250002</v>
      </c>
      <c r="C8" s="39">
        <f>Egresos!C153/Capacidad!F16</f>
        <v>24.430660633936927</v>
      </c>
      <c r="D8" s="39">
        <f>Egresos!D153/Capacidad!G16</f>
        <v>23.608608700971708</v>
      </c>
      <c r="E8" s="39">
        <f>Egresos!E153/Capacidad!H16</f>
        <v>22.814443576476616</v>
      </c>
      <c r="F8" s="39">
        <f>Egresos!F153/Capacidad!I16</f>
        <v>22.047194064991732</v>
      </c>
      <c r="G8" s="39">
        <f>Egresos!G153/Capacidad!J16</f>
        <v>21.304973142657424</v>
      </c>
      <c r="H8" s="39">
        <f>Egresos!H153/Capacidad!K16</f>
        <v>20.588229106589619</v>
      </c>
      <c r="I8" s="39">
        <f>Egresos!I153/Capacidad!L16</f>
        <v>19.895462931720132</v>
      </c>
      <c r="J8" s="39">
        <f>Egresos!J153/Capacidad!M16</f>
        <v>19.152575675301417</v>
      </c>
      <c r="K8" s="39">
        <f>Egresos!K153/Capacidad!N16</f>
        <v>19.18688954830413</v>
      </c>
      <c r="L8" s="39">
        <f>Egresos!L153/Capacidad!O16</f>
        <v>18.724070239192159</v>
      </c>
    </row>
    <row r="9" spans="1:12" x14ac:dyDescent="0.3">
      <c r="A9" s="77" t="s">
        <v>231</v>
      </c>
      <c r="B9" s="39">
        <f>Egresos!B154/Capacidad!E16</f>
        <v>487.14662862499995</v>
      </c>
      <c r="C9" s="39">
        <f>Egresos!C154/Capacidad!F16</f>
        <v>94.948855738881491</v>
      </c>
      <c r="D9" s="39">
        <f>Egresos!D154/Capacidad!G16</f>
        <v>91.753981414256828</v>
      </c>
      <c r="E9" s="39">
        <f>Egresos!E154/Capacidad!H16</f>
        <v>88.667488135651453</v>
      </c>
      <c r="F9" s="39">
        <f>Egresos!F154/Capacidad!I16</f>
        <v>85.68560138795911</v>
      </c>
      <c r="G9" s="39">
        <f>Egresos!G154/Capacidad!J16</f>
        <v>82.800987322991716</v>
      </c>
      <c r="H9" s="39">
        <f>Egresos!H154/Capacidad!K16</f>
        <v>80.015388230850476</v>
      </c>
      <c r="I9" s="39">
        <f>Egresos!I154/Capacidad!L16</f>
        <v>77.322978206248536</v>
      </c>
      <c r="J9" s="39">
        <f>Egresos!J154/Capacidad!M16</f>
        <v>74.435774458595034</v>
      </c>
      <c r="K9" s="39">
        <f>Egresos!K154/Capacidad!N16</f>
        <v>74.569134052361036</v>
      </c>
      <c r="L9" s="39">
        <f>Egresos!L154/Capacidad!O16</f>
        <v>72.770403986380018</v>
      </c>
    </row>
    <row r="10" spans="1:12" x14ac:dyDescent="0.3">
      <c r="A10" s="79" t="s">
        <v>258</v>
      </c>
      <c r="B10" s="29">
        <f>Egresos!B206/Capacidad!E16</f>
        <v>332.25</v>
      </c>
      <c r="C10" s="29">
        <f>Egresos!C206/Capacidad!F16</f>
        <v>64.758238003793551</v>
      </c>
      <c r="D10" s="29">
        <f>Egresos!D206/Capacidad!G16</f>
        <v>62.579228785660021</v>
      </c>
      <c r="E10" s="29">
        <f>Egresos!E206/Capacidad!H16</f>
        <v>60.474139000452773</v>
      </c>
      <c r="F10" s="29">
        <f>Egresos!F206/Capacidad!I16</f>
        <v>58.440394304903556</v>
      </c>
      <c r="G10" s="29">
        <f>Egresos!G206/Capacidad!J16</f>
        <v>56.472992773683693</v>
      </c>
      <c r="H10" s="29">
        <f>Egresos!H206/Capacidad!K16</f>
        <v>54.573122705863966</v>
      </c>
      <c r="I10" s="29">
        <f>Egresos!I206/Capacidad!L16</f>
        <v>52.736810642699481</v>
      </c>
      <c r="J10" s="29">
        <f>Egresos!J206/Capacidad!M16</f>
        <v>50.767642862835167</v>
      </c>
      <c r="K10" s="29">
        <f>Egresos!K206/Capacidad!N16</f>
        <v>50.858598485691097</v>
      </c>
      <c r="L10" s="29">
        <f>Egresos!L206/Capacidad!O16</f>
        <v>49.631805505292078</v>
      </c>
    </row>
    <row r="11" spans="1:12" x14ac:dyDescent="0.3">
      <c r="A11" s="80" t="s">
        <v>342</v>
      </c>
      <c r="B11" s="39">
        <f>SUM(B5:B10)</f>
        <v>9039.9341216250014</v>
      </c>
      <c r="C11" s="39">
        <f t="shared" ref="C11:L11" si="1">SUM(C5:C10)</f>
        <v>7716.7115303232049</v>
      </c>
      <c r="D11" s="39">
        <f t="shared" si="1"/>
        <v>7533.0357354295584</v>
      </c>
      <c r="E11" s="39">
        <f t="shared" si="1"/>
        <v>7771.4679328386601</v>
      </c>
      <c r="F11" s="39">
        <f t="shared" si="1"/>
        <v>8018.6041546678689</v>
      </c>
      <c r="G11" s="39">
        <f t="shared" si="1"/>
        <v>8274.7092936761092</v>
      </c>
      <c r="H11" s="39">
        <f t="shared" si="1"/>
        <v>8540.0838319558643</v>
      </c>
      <c r="I11" s="39">
        <f t="shared" si="1"/>
        <v>8815.0167254418175</v>
      </c>
      <c r="J11" s="39">
        <f t="shared" si="1"/>
        <v>9099.0030106495469</v>
      </c>
      <c r="K11" s="39">
        <f t="shared" si="1"/>
        <v>9401.5349895591662</v>
      </c>
      <c r="L11" s="39">
        <f t="shared" si="1"/>
        <v>9708.8325696012671</v>
      </c>
    </row>
    <row r="13" spans="1:12" x14ac:dyDescent="0.3">
      <c r="A13" t="s">
        <v>343</v>
      </c>
      <c r="B13" s="22">
        <f>Egresos!B219</f>
        <v>8219739.9577199994</v>
      </c>
      <c r="C13" s="22">
        <f>Egresos!C219</f>
        <v>8219739.9577199994</v>
      </c>
      <c r="D13" s="22">
        <f>Egresos!D219</f>
        <v>8219739.9577199994</v>
      </c>
      <c r="E13" s="22">
        <f>Egresos!E219</f>
        <v>8219739.9577199994</v>
      </c>
      <c r="F13" s="22">
        <f>Egresos!F219</f>
        <v>8219739.9577199994</v>
      </c>
      <c r="G13" s="22">
        <f>Egresos!G219</f>
        <v>0</v>
      </c>
      <c r="H13" s="22">
        <f>Egresos!H219</f>
        <v>0</v>
      </c>
      <c r="I13" s="22">
        <f>Egresos!I219</f>
        <v>0</v>
      </c>
      <c r="J13" s="22">
        <f>Egresos!J219</f>
        <v>0</v>
      </c>
      <c r="K13" s="22">
        <f>Egresos!K219</f>
        <v>0</v>
      </c>
      <c r="L13" s="22">
        <f>Egresos!L219</f>
        <v>0</v>
      </c>
    </row>
    <row r="14" spans="1:12" x14ac:dyDescent="0.3">
      <c r="A14" t="s">
        <v>344</v>
      </c>
      <c r="B14" s="22">
        <f>Egresos!B220</f>
        <v>5973011.0359431999</v>
      </c>
      <c r="C14" s="22">
        <f>Egresos!C220</f>
        <v>4657852.6427079979</v>
      </c>
      <c r="D14" s="22">
        <f>Egresos!D220</f>
        <v>3342694.2494727951</v>
      </c>
      <c r="E14" s="22">
        <f>Egresos!E220</f>
        <v>2027535.8562375957</v>
      </c>
      <c r="F14" s="22">
        <f>Egresos!F220</f>
        <v>904171.39534919406</v>
      </c>
    </row>
    <row r="16" spans="1:12" x14ac:dyDescent="0.3">
      <c r="A16" t="s">
        <v>345</v>
      </c>
      <c r="B16" s="39">
        <f>B11+B13+B14</f>
        <v>14201790.927784823</v>
      </c>
      <c r="C16" s="39">
        <f t="shared" ref="C16:L16" si="2">C11+C13+C14</f>
        <v>12885309.31195832</v>
      </c>
      <c r="D16" s="39">
        <f t="shared" si="2"/>
        <v>11569967.242928224</v>
      </c>
      <c r="E16" s="39">
        <f t="shared" si="2"/>
        <v>10255047.281890433</v>
      </c>
      <c r="F16" s="39">
        <f t="shared" si="2"/>
        <v>9131929.9572238605</v>
      </c>
      <c r="G16" s="39">
        <f t="shared" si="2"/>
        <v>8274.7092936761092</v>
      </c>
      <c r="H16" s="39">
        <f t="shared" si="2"/>
        <v>8540.0838319558643</v>
      </c>
      <c r="I16" s="39">
        <f t="shared" si="2"/>
        <v>8815.0167254418175</v>
      </c>
      <c r="J16" s="39">
        <f t="shared" si="2"/>
        <v>9099.0030106495469</v>
      </c>
      <c r="K16" s="39">
        <f t="shared" si="2"/>
        <v>9401.5349895591662</v>
      </c>
      <c r="L16" s="39">
        <f t="shared" si="2"/>
        <v>9708.8325696012671</v>
      </c>
    </row>
    <row r="18" spans="1:12" x14ac:dyDescent="0.3">
      <c r="A18" t="s">
        <v>346</v>
      </c>
    </row>
    <row r="19" spans="1:12" x14ac:dyDescent="0.3">
      <c r="A19" s="5">
        <v>0.1</v>
      </c>
      <c r="B19" s="39">
        <f>B11/(1-$A$19)</f>
        <v>10044.371246250001</v>
      </c>
      <c r="C19" s="39">
        <f t="shared" ref="C19:L19" si="3">C11/(1-$A$19)</f>
        <v>8574.1239225813388</v>
      </c>
      <c r="D19" s="39">
        <f t="shared" si="3"/>
        <v>8370.0397060328432</v>
      </c>
      <c r="E19" s="39">
        <f t="shared" si="3"/>
        <v>8634.9643698207328</v>
      </c>
      <c r="F19" s="39">
        <f t="shared" si="3"/>
        <v>8909.5601718531871</v>
      </c>
      <c r="G19" s="39">
        <f t="shared" si="3"/>
        <v>9194.1214374178981</v>
      </c>
      <c r="H19" s="39">
        <f t="shared" si="3"/>
        <v>9488.9820355065149</v>
      </c>
      <c r="I19" s="39">
        <f t="shared" si="3"/>
        <v>9794.4630282686867</v>
      </c>
      <c r="J19" s="39">
        <f t="shared" si="3"/>
        <v>10110.003345166164</v>
      </c>
      <c r="K19" s="39">
        <f t="shared" si="3"/>
        <v>10446.149988399073</v>
      </c>
      <c r="L19" s="39">
        <f t="shared" si="3"/>
        <v>10787.591744001407</v>
      </c>
    </row>
    <row r="20" spans="1:12" x14ac:dyDescent="0.3">
      <c r="A20" s="5">
        <v>0.2</v>
      </c>
      <c r="B20" s="39">
        <f>B11/(1-$A$20)</f>
        <v>11299.91765203125</v>
      </c>
      <c r="C20" s="39">
        <f t="shared" ref="C20:L20" si="4">C11/(1-$A$20)</f>
        <v>9645.8894129040054</v>
      </c>
      <c r="D20" s="39">
        <f t="shared" si="4"/>
        <v>9416.2946692869482</v>
      </c>
      <c r="E20" s="39">
        <f t="shared" si="4"/>
        <v>9714.3349160483249</v>
      </c>
      <c r="F20" s="39">
        <f t="shared" si="4"/>
        <v>10023.255193334835</v>
      </c>
      <c r="G20" s="39">
        <f t="shared" si="4"/>
        <v>10343.386617095135</v>
      </c>
      <c r="H20" s="39">
        <f t="shared" si="4"/>
        <v>10675.104789944829</v>
      </c>
      <c r="I20" s="39">
        <f t="shared" si="4"/>
        <v>11018.77090680227</v>
      </c>
      <c r="J20" s="39">
        <f t="shared" si="4"/>
        <v>11373.753763311934</v>
      </c>
      <c r="K20" s="39">
        <f t="shared" si="4"/>
        <v>11751.918736948957</v>
      </c>
      <c r="L20" s="39">
        <f t="shared" si="4"/>
        <v>12136.040712001583</v>
      </c>
    </row>
    <row r="21" spans="1:12" x14ac:dyDescent="0.3">
      <c r="A21" s="5">
        <v>0.3</v>
      </c>
      <c r="B21" s="39">
        <f>B11/(1-$A$21)</f>
        <v>12914.191602321431</v>
      </c>
      <c r="C21" s="39">
        <f t="shared" ref="C21:L21" si="5">C11/(1-$A$21)</f>
        <v>11023.873614747436</v>
      </c>
      <c r="D21" s="39">
        <f t="shared" si="5"/>
        <v>10761.479622042227</v>
      </c>
      <c r="E21" s="39">
        <f t="shared" si="5"/>
        <v>11102.097046912373</v>
      </c>
      <c r="F21" s="39">
        <f t="shared" si="5"/>
        <v>11455.14879238267</v>
      </c>
      <c r="G21" s="39">
        <f t="shared" si="5"/>
        <v>11821.013276680156</v>
      </c>
      <c r="H21" s="39">
        <f t="shared" si="5"/>
        <v>12200.11975993695</v>
      </c>
      <c r="I21" s="39">
        <f t="shared" si="5"/>
        <v>12592.881036345454</v>
      </c>
      <c r="J21" s="39">
        <f t="shared" si="5"/>
        <v>12998.575729499353</v>
      </c>
      <c r="K21" s="39">
        <f t="shared" si="5"/>
        <v>13430.764270798809</v>
      </c>
      <c r="L21" s="39">
        <f t="shared" si="5"/>
        <v>13869.760813716097</v>
      </c>
    </row>
    <row r="23" spans="1:12" x14ac:dyDescent="0.3">
      <c r="A23" t="s">
        <v>347</v>
      </c>
      <c r="B23" s="29">
        <v>7700</v>
      </c>
      <c r="C23" s="39">
        <f>B23*(1+Premisas!C12)</f>
        <v>7961.8</v>
      </c>
      <c r="D23" s="39">
        <f>C23*(1+Premisas!D12)</f>
        <v>8232.5012000000006</v>
      </c>
      <c r="E23" s="39">
        <f>D23*(1+Premisas!E12)</f>
        <v>8512.4062408000009</v>
      </c>
      <c r="F23" s="39">
        <f>E23*(1+Premisas!F12)</f>
        <v>8801.8280529872009</v>
      </c>
      <c r="G23" s="39">
        <f>F23*(1+Premisas!G12)</f>
        <v>9101.0902067887655</v>
      </c>
      <c r="H23" s="39">
        <f>G23*(1+Premisas!H12)</f>
        <v>9410.5272738195836</v>
      </c>
      <c r="I23" s="39">
        <f>H23*(1+Premisas!I12)</f>
        <v>9730.4852011294497</v>
      </c>
      <c r="J23" s="39">
        <f>I23*(1+Premisas!J12)</f>
        <v>10061.321697967851</v>
      </c>
      <c r="K23" s="39">
        <f>J23*(1+Premisas!K12)</f>
        <v>10403.406635698759</v>
      </c>
      <c r="L23" s="39">
        <f>K23*(1+Premisas!L12)</f>
        <v>10757.122461312516</v>
      </c>
    </row>
    <row r="26" spans="1:12" x14ac:dyDescent="0.3">
      <c r="A26" t="s">
        <v>312</v>
      </c>
      <c r="B26" s="24">
        <v>2025</v>
      </c>
      <c r="C26" s="24">
        <f>B26+1</f>
        <v>2026</v>
      </c>
      <c r="D26" s="24">
        <f t="shared" ref="D26:L26" si="6">C26+1</f>
        <v>2027</v>
      </c>
      <c r="E26" s="24">
        <f t="shared" si="6"/>
        <v>2028</v>
      </c>
      <c r="F26" s="24">
        <f t="shared" si="6"/>
        <v>2029</v>
      </c>
      <c r="G26" s="24">
        <f t="shared" si="6"/>
        <v>2030</v>
      </c>
      <c r="H26" s="24">
        <f t="shared" si="6"/>
        <v>2031</v>
      </c>
      <c r="I26" s="24">
        <f t="shared" si="6"/>
        <v>2032</v>
      </c>
      <c r="J26" s="24">
        <f t="shared" si="6"/>
        <v>2033</v>
      </c>
      <c r="K26" s="24">
        <f t="shared" si="6"/>
        <v>2034</v>
      </c>
      <c r="L26" s="24">
        <f t="shared" si="6"/>
        <v>2035</v>
      </c>
    </row>
    <row r="27" spans="1:12" x14ac:dyDescent="0.3">
      <c r="A27" t="s">
        <v>348</v>
      </c>
      <c r="B27" s="22">
        <f>Capacidad!E16</f>
        <v>16000</v>
      </c>
      <c r="C27" s="22">
        <f>Capacidad!F16</f>
        <v>84881</v>
      </c>
      <c r="D27" s="22">
        <f>Capacidad!G16</f>
        <v>90823</v>
      </c>
      <c r="E27" s="22">
        <f>Capacidad!H16</f>
        <v>97180</v>
      </c>
      <c r="F27" s="22">
        <f>Capacidad!I16</f>
        <v>103981</v>
      </c>
      <c r="G27" s="22">
        <f>Capacidad!J16</f>
        <v>111262</v>
      </c>
      <c r="H27" s="22">
        <f>Capacidad!K16</f>
        <v>119050</v>
      </c>
      <c r="I27" s="22">
        <f>Capacidad!L16</f>
        <v>127384</v>
      </c>
      <c r="J27" s="22">
        <f>Capacidad!M16</f>
        <v>136824</v>
      </c>
      <c r="K27" s="22">
        <f>Capacidad!N16</f>
        <v>141223</v>
      </c>
      <c r="L27" s="22">
        <f>Capacidad!O16</f>
        <v>149634</v>
      </c>
    </row>
    <row r="28" spans="1:12" x14ac:dyDescent="0.3">
      <c r="A28" t="s">
        <v>350</v>
      </c>
      <c r="B28" s="39">
        <f>B23</f>
        <v>7700</v>
      </c>
      <c r="C28" s="39">
        <f t="shared" ref="C28:L28" si="7">C23</f>
        <v>7961.8</v>
      </c>
      <c r="D28" s="39">
        <f t="shared" si="7"/>
        <v>8232.5012000000006</v>
      </c>
      <c r="E28" s="39">
        <f t="shared" si="7"/>
        <v>8512.4062408000009</v>
      </c>
      <c r="F28" s="39">
        <f t="shared" si="7"/>
        <v>8801.8280529872009</v>
      </c>
      <c r="G28" s="39">
        <f t="shared" si="7"/>
        <v>9101.0902067887655</v>
      </c>
      <c r="H28" s="39">
        <f t="shared" si="7"/>
        <v>9410.5272738195836</v>
      </c>
      <c r="I28" s="39">
        <f t="shared" si="7"/>
        <v>9730.4852011294497</v>
      </c>
      <c r="J28" s="39">
        <f t="shared" si="7"/>
        <v>10061.321697967851</v>
      </c>
      <c r="K28" s="39">
        <f t="shared" si="7"/>
        <v>10403.406635698759</v>
      </c>
      <c r="L28" s="39">
        <f t="shared" si="7"/>
        <v>10757.122461312516</v>
      </c>
    </row>
    <row r="29" spans="1:12" x14ac:dyDescent="0.3">
      <c r="A29" t="s">
        <v>349</v>
      </c>
      <c r="B29" s="29">
        <f>B27*B28</f>
        <v>123200000</v>
      </c>
      <c r="C29" s="29">
        <f t="shared" ref="C29:L29" si="8">C27*C28</f>
        <v>675805545.80000007</v>
      </c>
      <c r="D29" s="29">
        <f t="shared" si="8"/>
        <v>747700456.48760009</v>
      </c>
      <c r="E29" s="29">
        <f t="shared" si="8"/>
        <v>827235638.48094404</v>
      </c>
      <c r="F29" s="29">
        <f t="shared" si="8"/>
        <v>915222882.77766216</v>
      </c>
      <c r="G29" s="29">
        <f t="shared" si="8"/>
        <v>1012605498.5877316</v>
      </c>
      <c r="H29" s="29">
        <f t="shared" si="8"/>
        <v>1120323271.9482214</v>
      </c>
      <c r="I29" s="29">
        <f t="shared" si="8"/>
        <v>1239508126.8606739</v>
      </c>
      <c r="J29" s="29">
        <f t="shared" si="8"/>
        <v>1376630280.0027533</v>
      </c>
      <c r="K29" s="29">
        <f t="shared" si="8"/>
        <v>1469200295.3132858</v>
      </c>
      <c r="L29" s="29">
        <f t="shared" si="8"/>
        <v>1609631262.3760371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0B64-F051-4834-9471-DFF836F6C5A2}">
  <dimension ref="A1:N2626"/>
  <sheetViews>
    <sheetView workbookViewId="0">
      <selection activeCell="C6" sqref="C6"/>
    </sheetView>
  </sheetViews>
  <sheetFormatPr baseColWidth="10" defaultColWidth="8.88671875" defaultRowHeight="14.4" x14ac:dyDescent="0.3"/>
  <cols>
    <col min="1" max="1" width="29.5546875" customWidth="1"/>
    <col min="2" max="6" width="16.21875" bestFit="1" customWidth="1"/>
    <col min="7" max="7" width="17.44140625" bestFit="1" customWidth="1"/>
    <col min="8" max="8" width="17.6640625" bestFit="1" customWidth="1"/>
    <col min="9" max="12" width="17.77734375" bestFit="1" customWidth="1"/>
  </cols>
  <sheetData>
    <row r="1" spans="1:12" x14ac:dyDescent="0.3">
      <c r="A1" t="s">
        <v>311</v>
      </c>
    </row>
    <row r="2" spans="1:12" x14ac:dyDescent="0.3">
      <c r="B2" s="24">
        <v>2025</v>
      </c>
      <c r="C2" s="24">
        <f>B2+1</f>
        <v>2026</v>
      </c>
      <c r="D2" s="24">
        <f t="shared" ref="D2:L2" si="0">C2+1</f>
        <v>2027</v>
      </c>
      <c r="E2" s="24">
        <f t="shared" si="0"/>
        <v>2028</v>
      </c>
      <c r="F2" s="24">
        <f t="shared" si="0"/>
        <v>2029</v>
      </c>
      <c r="G2" s="24">
        <f t="shared" si="0"/>
        <v>2030</v>
      </c>
      <c r="H2" s="24">
        <f t="shared" si="0"/>
        <v>2031</v>
      </c>
      <c r="I2" s="24">
        <f t="shared" si="0"/>
        <v>2032</v>
      </c>
      <c r="J2" s="24">
        <f t="shared" si="0"/>
        <v>2033</v>
      </c>
      <c r="K2" s="24">
        <f t="shared" si="0"/>
        <v>2034</v>
      </c>
      <c r="L2" s="24">
        <f t="shared" si="0"/>
        <v>2035</v>
      </c>
    </row>
    <row r="3" spans="1:12" x14ac:dyDescent="0.3">
      <c r="A3" s="46" t="s">
        <v>313</v>
      </c>
    </row>
    <row r="4" spans="1:12" x14ac:dyDescent="0.3">
      <c r="A4" s="47" t="s">
        <v>334</v>
      </c>
      <c r="B4" s="29">
        <f>Ingresos!B29</f>
        <v>123200000</v>
      </c>
      <c r="C4" s="29">
        <f>Ingresos!C29</f>
        <v>675805545.80000007</v>
      </c>
      <c r="D4" s="29">
        <f>Ingresos!D29</f>
        <v>747700456.48760009</v>
      </c>
      <c r="E4" s="29">
        <f>Ingresos!E29</f>
        <v>827235638.48094404</v>
      </c>
      <c r="F4" s="29">
        <f>Ingresos!F29</f>
        <v>915222882.77766216</v>
      </c>
      <c r="G4" s="29">
        <f>Ingresos!G29</f>
        <v>1012605498.5877316</v>
      </c>
      <c r="H4" s="29">
        <f>Ingresos!H29</f>
        <v>1120323271.9482214</v>
      </c>
      <c r="I4" s="29">
        <f>Ingresos!I29</f>
        <v>1239508126.8606739</v>
      </c>
      <c r="J4" s="29">
        <f>Ingresos!J29</f>
        <v>1376630280.0027533</v>
      </c>
      <c r="K4" s="29">
        <f>Ingresos!K29</f>
        <v>1469200295.3132858</v>
      </c>
      <c r="L4" s="29">
        <f>Ingresos!L29</f>
        <v>1609631262.3760371</v>
      </c>
    </row>
    <row r="5" spans="1:12" x14ac:dyDescent="0.3">
      <c r="A5" s="4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ht="15" thickBot="1" x14ac:dyDescent="0.35">
      <c r="A6" s="49" t="s">
        <v>314</v>
      </c>
      <c r="B6" s="59">
        <f>SUM(B4:B5)</f>
        <v>123200000</v>
      </c>
      <c r="C6" s="86">
        <v>126582900.40000001</v>
      </c>
      <c r="D6" s="59">
        <f t="shared" ref="C6:L6" si="1">SUM(D4:D5)</f>
        <v>747700456.48760009</v>
      </c>
      <c r="E6" s="59">
        <f t="shared" si="1"/>
        <v>827235638.48094404</v>
      </c>
      <c r="F6" s="59">
        <f t="shared" si="1"/>
        <v>915222882.77766216</v>
      </c>
      <c r="G6" s="59">
        <f t="shared" si="1"/>
        <v>1012605498.5877316</v>
      </c>
      <c r="H6" s="59">
        <f t="shared" si="1"/>
        <v>1120323271.9482214</v>
      </c>
      <c r="I6" s="59">
        <f t="shared" si="1"/>
        <v>1239508126.8606739</v>
      </c>
      <c r="J6" s="59">
        <f t="shared" si="1"/>
        <v>1376630280.0027533</v>
      </c>
      <c r="K6" s="59">
        <f t="shared" si="1"/>
        <v>1469200295.3132858</v>
      </c>
      <c r="L6" s="59">
        <f t="shared" si="1"/>
        <v>1609631262.3760371</v>
      </c>
    </row>
    <row r="7" spans="1:12" ht="15" thickTop="1" x14ac:dyDescent="0.3">
      <c r="A7" s="50"/>
    </row>
    <row r="8" spans="1:12" x14ac:dyDescent="0.3">
      <c r="A8" s="46" t="s">
        <v>315</v>
      </c>
    </row>
    <row r="9" spans="1:12" x14ac:dyDescent="0.3">
      <c r="A9" s="51" t="s">
        <v>335</v>
      </c>
      <c r="B9" s="39">
        <f>Egresos!B178</f>
        <v>122420600</v>
      </c>
      <c r="C9" s="39">
        <f>Egresos!C178</f>
        <v>632028421.69719994</v>
      </c>
      <c r="D9" s="39">
        <f>Egresos!D178</f>
        <v>660418026.72067726</v>
      </c>
      <c r="E9" s="39">
        <f>Egresos!E178</f>
        <v>730668709.98715913</v>
      </c>
      <c r="F9" s="39">
        <f>Egresos!F178</f>
        <v>808384808.39373052</v>
      </c>
      <c r="G9" s="39">
        <f>Egresos!G178</f>
        <v>894399514.43296719</v>
      </c>
      <c r="H9" s="39">
        <f>Egresos!H178</f>
        <v>989542908.70032072</v>
      </c>
      <c r="I9" s="39">
        <f>Egresos!I178</f>
        <v>1094814780.6288588</v>
      </c>
      <c r="J9" s="39">
        <f>Egresos!J178</f>
        <v>1215930049.4668477</v>
      </c>
      <c r="K9" s="39">
        <f>Egresos!K178</f>
        <v>1297693951.4605315</v>
      </c>
      <c r="L9" s="39">
        <f>Egresos!L178</f>
        <v>1421731781.5211539</v>
      </c>
    </row>
    <row r="10" spans="1:12" x14ac:dyDescent="0.3">
      <c r="A10" s="51" t="s">
        <v>316</v>
      </c>
      <c r="B10" s="39">
        <f>Egresos!B151</f>
        <v>5359707.6263999995</v>
      </c>
      <c r="C10" s="39">
        <f>Egresos!C151</f>
        <v>5541937.6856975993</v>
      </c>
      <c r="D10" s="39">
        <f>Egresos!D151</f>
        <v>5730363.5670113182</v>
      </c>
      <c r="E10" s="39">
        <f>Egresos!E151</f>
        <v>5925195.9282897031</v>
      </c>
      <c r="F10" s="39">
        <f>Egresos!F151</f>
        <v>6126652.5898515536</v>
      </c>
      <c r="G10" s="39">
        <f>Egresos!G151</f>
        <v>6334958.7779065063</v>
      </c>
      <c r="H10" s="39">
        <f>Egresos!H151</f>
        <v>6550347.3763553277</v>
      </c>
      <c r="I10" s="39">
        <f>Egresos!I151</f>
        <v>6773059.1871514088</v>
      </c>
      <c r="J10" s="39">
        <f>Egresos!J151</f>
        <v>7003343.1995145567</v>
      </c>
      <c r="K10" s="39">
        <f>Egresos!K151</f>
        <v>7241456.8682980519</v>
      </c>
      <c r="L10" s="39">
        <f>Egresos!L151</f>
        <v>7487666.4018201856</v>
      </c>
    </row>
    <row r="11" spans="1:12" x14ac:dyDescent="0.3">
      <c r="A11" s="51" t="s">
        <v>336</v>
      </c>
      <c r="B11" s="39">
        <f>Egresos!B152</f>
        <v>1742780.7478</v>
      </c>
      <c r="C11" s="39">
        <f>Egresos!C152</f>
        <v>1802035.2932252001</v>
      </c>
      <c r="D11" s="39">
        <f>Egresos!D152</f>
        <v>1863304.4931948569</v>
      </c>
      <c r="E11" s="39">
        <f>Egresos!E152</f>
        <v>1926656.845963482</v>
      </c>
      <c r="F11" s="39">
        <f>Egresos!F152</f>
        <v>1992163.1787262405</v>
      </c>
      <c r="G11" s="39">
        <f>Egresos!G152</f>
        <v>2059896.7268029328</v>
      </c>
      <c r="H11" s="39">
        <f>Egresos!H152</f>
        <v>2129933.2155142324</v>
      </c>
      <c r="I11" s="39">
        <f>Egresos!I152</f>
        <v>2202350.9448417164</v>
      </c>
      <c r="J11" s="39">
        <f>Egresos!J152</f>
        <v>2277230.8769663349</v>
      </c>
      <c r="K11" s="39">
        <f>Egresos!K152</f>
        <v>2354656.7267831904</v>
      </c>
      <c r="L11" s="39">
        <f>Egresos!L152</f>
        <v>2434715.0554938191</v>
      </c>
    </row>
    <row r="12" spans="1:12" x14ac:dyDescent="0.3">
      <c r="A12" s="51" t="s">
        <v>337</v>
      </c>
      <c r="B12" s="39">
        <f>Egresos!B153</f>
        <v>2005511.5138000003</v>
      </c>
      <c r="C12" s="39">
        <f>Egresos!C153</f>
        <v>2073698.9052692004</v>
      </c>
      <c r="D12" s="39">
        <f>Egresos!D153</f>
        <v>2144204.6680483534</v>
      </c>
      <c r="E12" s="39">
        <f>Egresos!E153</f>
        <v>2217107.6267619976</v>
      </c>
      <c r="F12" s="39">
        <f>Egresos!F153</f>
        <v>2292489.2860719054</v>
      </c>
      <c r="G12" s="39">
        <f>Egresos!G153</f>
        <v>2370433.9217983503</v>
      </c>
      <c r="H12" s="39">
        <f>Egresos!H153</f>
        <v>2451028.6751394942</v>
      </c>
      <c r="I12" s="39">
        <f>Egresos!I153</f>
        <v>2534363.6500942372</v>
      </c>
      <c r="J12" s="39">
        <f>Egresos!J153</f>
        <v>2620532.0141974413</v>
      </c>
      <c r="K12" s="39">
        <f>Egresos!K153</f>
        <v>2709630.1026801541</v>
      </c>
      <c r="L12" s="39">
        <f>Egresos!L153</f>
        <v>2801757.5261712796</v>
      </c>
    </row>
    <row r="13" spans="1:12" x14ac:dyDescent="0.3">
      <c r="A13" s="52" t="s">
        <v>338</v>
      </c>
      <c r="B13" s="29">
        <f>B6*Premisas!B24</f>
        <v>6160000</v>
      </c>
      <c r="C13" s="29">
        <f>C6*Premisas!C24</f>
        <v>6329145.0200000005</v>
      </c>
      <c r="D13" s="29">
        <f>D6*Premisas!D24</f>
        <v>37385022.824380003</v>
      </c>
      <c r="E13" s="29">
        <f>E6*Premisas!E24</f>
        <v>41361781.924047202</v>
      </c>
      <c r="F13" s="29">
        <f>F6*Premisas!F24</f>
        <v>45761144.138883114</v>
      </c>
      <c r="G13" s="29">
        <f>G6*Premisas!G24</f>
        <v>50630274.929386586</v>
      </c>
      <c r="H13" s="29">
        <f>H6*Premisas!H24</f>
        <v>56016163.597411074</v>
      </c>
      <c r="I13" s="29">
        <f>I6*Premisas!I24</f>
        <v>61975406.343033701</v>
      </c>
      <c r="J13" s="29">
        <f>J6*Premisas!J24</f>
        <v>68831514.000137672</v>
      </c>
      <c r="K13" s="29">
        <f>K6*Premisas!K24</f>
        <v>73460014.765664294</v>
      </c>
      <c r="L13" s="29">
        <f>L6*Premisas!L24</f>
        <v>80481563.118801862</v>
      </c>
    </row>
    <row r="14" spans="1:12" x14ac:dyDescent="0.3">
      <c r="A14" s="52" t="s">
        <v>317</v>
      </c>
    </row>
    <row r="15" spans="1:12" x14ac:dyDescent="0.3">
      <c r="A15" s="52" t="s">
        <v>318</v>
      </c>
    </row>
    <row r="16" spans="1:12" x14ac:dyDescent="0.3">
      <c r="A16" s="50"/>
    </row>
    <row r="17" spans="1:14" ht="15" thickBot="1" x14ac:dyDescent="0.35">
      <c r="A17" s="53" t="s">
        <v>319</v>
      </c>
      <c r="B17" s="56">
        <f>SUM(B9:B15)</f>
        <v>137688599.88799998</v>
      </c>
      <c r="C17" s="56">
        <f t="shared" ref="C17:L17" si="2">SUM(C9:C15)</f>
        <v>647775238.60139179</v>
      </c>
      <c r="D17" s="56">
        <f t="shared" si="2"/>
        <v>707540922.27331185</v>
      </c>
      <c r="E17" s="56">
        <f t="shared" si="2"/>
        <v>782099452.31222153</v>
      </c>
      <c r="F17" s="56">
        <f t="shared" si="2"/>
        <v>864557257.58726323</v>
      </c>
      <c r="G17" s="56">
        <f t="shared" si="2"/>
        <v>955795078.78886163</v>
      </c>
      <c r="H17" s="56">
        <f t="shared" si="2"/>
        <v>1056690381.5647408</v>
      </c>
      <c r="I17" s="56">
        <f t="shared" si="2"/>
        <v>1168299960.7539799</v>
      </c>
      <c r="J17" s="56">
        <f t="shared" si="2"/>
        <v>1296662669.5576634</v>
      </c>
      <c r="K17" s="56">
        <f t="shared" si="2"/>
        <v>1383459709.9239573</v>
      </c>
      <c r="L17" s="56">
        <f t="shared" si="2"/>
        <v>1514937483.623441</v>
      </c>
    </row>
    <row r="18" spans="1:14" ht="15" thickTop="1" x14ac:dyDescent="0.3">
      <c r="A18" s="50"/>
    </row>
    <row r="19" spans="1:14" ht="15" thickBot="1" x14ac:dyDescent="0.35">
      <c r="A19" s="53" t="s">
        <v>320</v>
      </c>
      <c r="B19" s="67">
        <f>B6-B17</f>
        <v>-14488599.887999982</v>
      </c>
      <c r="C19" s="67">
        <f t="shared" ref="C19:L19" si="3">C6-C17</f>
        <v>-521192338.20139182</v>
      </c>
      <c r="D19" s="67">
        <f t="shared" si="3"/>
        <v>40159534.214288235</v>
      </c>
      <c r="E19" s="67">
        <f t="shared" si="3"/>
        <v>45136186.16872251</v>
      </c>
      <c r="F19" s="67">
        <f t="shared" si="3"/>
        <v>50665625.190398932</v>
      </c>
      <c r="G19" s="67">
        <f t="shared" si="3"/>
        <v>56810419.798869967</v>
      </c>
      <c r="H19" s="67">
        <f t="shared" si="3"/>
        <v>63632890.383480668</v>
      </c>
      <c r="I19" s="67">
        <f t="shared" si="3"/>
        <v>71208166.106693983</v>
      </c>
      <c r="J19" s="67">
        <f t="shared" si="3"/>
        <v>79967610.445089817</v>
      </c>
      <c r="K19" s="67">
        <f t="shared" si="3"/>
        <v>85740585.38932848</v>
      </c>
      <c r="L19" s="67">
        <f t="shared" si="3"/>
        <v>94693778.75259614</v>
      </c>
    </row>
    <row r="20" spans="1:14" ht="15" thickTop="1" x14ac:dyDescent="0.3">
      <c r="A20" s="50"/>
    </row>
    <row r="21" spans="1:14" x14ac:dyDescent="0.3">
      <c r="A21" s="52" t="s">
        <v>321</v>
      </c>
      <c r="B21" s="39">
        <f>Egresos!B154+Egresos!B206</f>
        <v>13110346.057999998</v>
      </c>
      <c r="C21" s="39">
        <f>Egresos!C154+Egresos!C206</f>
        <v>13556097.823972</v>
      </c>
      <c r="D21" s="39">
        <f>Egresos!D154+Egresos!D206</f>
        <v>14017005.149987049</v>
      </c>
      <c r="E21" s="39">
        <f>Egresos!E154+Egresos!E206</f>
        <v>14493583.325086609</v>
      </c>
      <c r="F21" s="39">
        <f>Egresos!F154+Egresos!F206</f>
        <v>14986365.158139553</v>
      </c>
      <c r="G21" s="39">
        <f>Egresos!G154+Egresos!G206</f>
        <v>15495901.573516298</v>
      </c>
      <c r="H21" s="39">
        <f>Egresos!H154+Egresos!H206</f>
        <v>16022762.227015853</v>
      </c>
      <c r="I21" s="39">
        <f>Egresos!I154+Egresos!I206</f>
        <v>16567536.142734393</v>
      </c>
      <c r="J21" s="39">
        <f>Egresos!J154+Egresos!J206</f>
        <v>17130832.371587366</v>
      </c>
      <c r="K21" s="39">
        <f>Egresos!K154+Egresos!K206</f>
        <v>17713280.672221337</v>
      </c>
      <c r="L21" s="39">
        <f>Egresos!L154+Egresos!L206</f>
        <v>18315532.215076864</v>
      </c>
    </row>
    <row r="22" spans="1:14" x14ac:dyDescent="0.3">
      <c r="A22" s="50" t="s">
        <v>322</v>
      </c>
      <c r="B22" s="45">
        <f>Depreciación.!C65</f>
        <v>302650</v>
      </c>
      <c r="C22" s="45">
        <f>Depreciación.!D65</f>
        <v>302650</v>
      </c>
      <c r="D22" s="45">
        <f>Depreciación.!E65</f>
        <v>302650</v>
      </c>
      <c r="E22" s="45">
        <f>Depreciación.!F65</f>
        <v>302650</v>
      </c>
      <c r="F22" s="45">
        <f>Depreciación.!G65</f>
        <v>302650</v>
      </c>
      <c r="G22" s="45">
        <f>Depreciación.!H65</f>
        <v>302650</v>
      </c>
      <c r="H22" s="45">
        <f>Depreciación.!I65</f>
        <v>302650</v>
      </c>
      <c r="I22" s="45">
        <f>Depreciación.!J65</f>
        <v>302650</v>
      </c>
      <c r="J22" s="45">
        <f>Depreciación.!K65</f>
        <v>302650</v>
      </c>
      <c r="K22" s="45">
        <f>Depreciación.!L65</f>
        <v>302650</v>
      </c>
      <c r="L22" s="45">
        <f>Depreciación.!M65</f>
        <v>302650</v>
      </c>
    </row>
    <row r="23" spans="1:14" x14ac:dyDescent="0.3">
      <c r="A23" s="50" t="s">
        <v>323</v>
      </c>
      <c r="B23" s="45">
        <f>Depreciación.!C47</f>
        <v>288000</v>
      </c>
      <c r="C23" s="45">
        <f>Depreciación.!D47</f>
        <v>288000</v>
      </c>
      <c r="D23" s="45">
        <f>Depreciación.!E47</f>
        <v>288000</v>
      </c>
      <c r="E23" s="45">
        <f>Depreciación.!F47</f>
        <v>288000</v>
      </c>
      <c r="F23" s="45">
        <f>Depreciación.!G47</f>
        <v>288000</v>
      </c>
      <c r="G23" s="45">
        <f>Depreciación.!H47</f>
        <v>288000</v>
      </c>
      <c r="H23" s="45">
        <f>Depreciación.!I47</f>
        <v>288000</v>
      </c>
      <c r="I23" s="45">
        <f>Depreciación.!J47</f>
        <v>288000</v>
      </c>
      <c r="J23" s="45">
        <f>Depreciación.!K47</f>
        <v>288000</v>
      </c>
      <c r="K23" s="45">
        <f>Depreciación.!L47</f>
        <v>288000</v>
      </c>
      <c r="L23" s="45">
        <f>Depreciación.!M47</f>
        <v>288000</v>
      </c>
    </row>
    <row r="24" spans="1:14" x14ac:dyDescent="0.3">
      <c r="A24" s="50" t="s">
        <v>324</v>
      </c>
      <c r="B24" s="45">
        <f>Depreciación.!C26</f>
        <v>806000</v>
      </c>
      <c r="C24" s="45">
        <f>Depreciación.!D26</f>
        <v>806000</v>
      </c>
      <c r="D24" s="45">
        <f>Depreciación.!E26</f>
        <v>806000</v>
      </c>
      <c r="E24" s="45">
        <f>Depreciación.!F26</f>
        <v>806000</v>
      </c>
      <c r="F24" s="45">
        <f>Depreciación.!G26</f>
        <v>806000</v>
      </c>
      <c r="G24" s="45">
        <f>Depreciación.!H26</f>
        <v>806000</v>
      </c>
      <c r="H24" s="45">
        <f>Depreciación.!I26</f>
        <v>806000</v>
      </c>
      <c r="I24" s="45">
        <f>Depreciación.!J26</f>
        <v>806000</v>
      </c>
      <c r="J24" s="45">
        <f>Depreciación.!K26</f>
        <v>806000</v>
      </c>
      <c r="K24" s="45">
        <f>Depreciación.!L26</f>
        <v>806000</v>
      </c>
      <c r="L24" s="45">
        <f>Depreciación.!M26</f>
        <v>806000</v>
      </c>
    </row>
    <row r="25" spans="1:14" x14ac:dyDescent="0.3">
      <c r="A25" s="50" t="s">
        <v>325</v>
      </c>
      <c r="B25" s="45">
        <f>Depreciación.!C85</f>
        <v>18474.75</v>
      </c>
      <c r="C25" s="45">
        <f>Depreciación.!D85</f>
        <v>18474.75</v>
      </c>
      <c r="D25" s="45">
        <f>Depreciación.!E85</f>
        <v>18474.75</v>
      </c>
      <c r="E25" s="45">
        <f>Depreciación.!F85</f>
        <v>18474.75</v>
      </c>
      <c r="F25" s="45">
        <f>Depreciación.!G85</f>
        <v>18474.75</v>
      </c>
      <c r="G25" s="45">
        <f>Depreciación.!H85</f>
        <v>18474.75</v>
      </c>
      <c r="H25" s="45">
        <f>Depreciación.!I85</f>
        <v>18474.75</v>
      </c>
      <c r="I25" s="45">
        <f>Depreciación.!J85</f>
        <v>18474.75</v>
      </c>
      <c r="J25" s="45">
        <f>Depreciación.!K85</f>
        <v>18474.75</v>
      </c>
      <c r="K25" s="45">
        <f>Depreciación.!L85</f>
        <v>18474.75</v>
      </c>
      <c r="L25" s="45">
        <f>Depreciación.!M85</f>
        <v>18474.75</v>
      </c>
    </row>
    <row r="26" spans="1:14" x14ac:dyDescent="0.3">
      <c r="A26" s="50" t="s">
        <v>326</v>
      </c>
    </row>
    <row r="27" spans="1:14" x14ac:dyDescent="0.3">
      <c r="A27" s="54" t="s">
        <v>327</v>
      </c>
    </row>
    <row r="28" spans="1:14" x14ac:dyDescent="0.3">
      <c r="A28" s="50" t="s">
        <v>339</v>
      </c>
      <c r="B28" s="39">
        <f>SUM(B21:B27)</f>
        <v>14525470.807999998</v>
      </c>
      <c r="C28" s="39">
        <f t="shared" ref="C28:L28" si="4">SUM(C21:C27)</f>
        <v>14971222.573972</v>
      </c>
      <c r="D28" s="39">
        <f t="shared" si="4"/>
        <v>15432129.899987049</v>
      </c>
      <c r="E28" s="39">
        <f t="shared" si="4"/>
        <v>15908708.075086609</v>
      </c>
      <c r="F28" s="39">
        <f t="shared" si="4"/>
        <v>16401489.908139553</v>
      </c>
      <c r="G28" s="39">
        <f t="shared" si="4"/>
        <v>16911026.323516298</v>
      </c>
      <c r="H28" s="39">
        <f t="shared" si="4"/>
        <v>17437886.977015853</v>
      </c>
      <c r="I28" s="39">
        <f t="shared" si="4"/>
        <v>17982660.892734393</v>
      </c>
      <c r="J28" s="39">
        <f t="shared" si="4"/>
        <v>18545957.121587366</v>
      </c>
      <c r="K28" s="39">
        <f t="shared" si="4"/>
        <v>19128405.422221337</v>
      </c>
      <c r="L28" s="39">
        <f t="shared" si="4"/>
        <v>19730656.965076864</v>
      </c>
    </row>
    <row r="29" spans="1:14" x14ac:dyDescent="0.3">
      <c r="A29" s="50"/>
    </row>
    <row r="30" spans="1:14" ht="15" thickBot="1" x14ac:dyDescent="0.35">
      <c r="A30" s="55" t="s">
        <v>328</v>
      </c>
      <c r="B30" s="63">
        <f>B19-B28</f>
        <v>-29014070.69599998</v>
      </c>
      <c r="C30" s="63">
        <f t="shared" ref="C30:L30" si="5">C19-C28</f>
        <v>-536163560.7753638</v>
      </c>
      <c r="D30" s="63">
        <f t="shared" si="5"/>
        <v>24727404.314301185</v>
      </c>
      <c r="E30" s="63">
        <f t="shared" si="5"/>
        <v>29227478.093635902</v>
      </c>
      <c r="F30" s="63">
        <f t="shared" si="5"/>
        <v>34264135.282259375</v>
      </c>
      <c r="G30" s="63">
        <f t="shared" si="5"/>
        <v>39899393.475353673</v>
      </c>
      <c r="H30" s="63">
        <f t="shared" si="5"/>
        <v>46195003.406464815</v>
      </c>
      <c r="I30" s="63">
        <f t="shared" si="5"/>
        <v>53225505.21395959</v>
      </c>
      <c r="J30" s="63">
        <f t="shared" si="5"/>
        <v>61421653.323502451</v>
      </c>
      <c r="K30" s="63">
        <f t="shared" si="5"/>
        <v>66612179.967107147</v>
      </c>
      <c r="L30" s="63">
        <f t="shared" si="5"/>
        <v>74963121.787519276</v>
      </c>
    </row>
    <row r="31" spans="1:14" x14ac:dyDescent="0.3">
      <c r="A31" s="50"/>
    </row>
    <row r="32" spans="1:14" x14ac:dyDescent="0.3">
      <c r="A32" s="51" t="s">
        <v>292</v>
      </c>
      <c r="B32" s="22">
        <f>Egresos!B220</f>
        <v>5973011.0359431999</v>
      </c>
      <c r="C32" s="22">
        <f>Egresos!C220</f>
        <v>4657852.6427079979</v>
      </c>
      <c r="D32" s="22">
        <f>Egresos!D220</f>
        <v>3342694.2494727951</v>
      </c>
      <c r="E32" s="22">
        <f>Egresos!E220</f>
        <v>2027535.8562375957</v>
      </c>
      <c r="F32" s="22">
        <f>Egresos!F220</f>
        <v>904171.39534919406</v>
      </c>
      <c r="G32" s="22">
        <f>Egresos!G220</f>
        <v>0</v>
      </c>
      <c r="H32" s="22">
        <f>Egresos!H220</f>
        <v>0</v>
      </c>
      <c r="I32" s="22">
        <f>Egresos!I220</f>
        <v>0</v>
      </c>
      <c r="J32" s="22">
        <f>Egresos!J220</f>
        <v>0</v>
      </c>
      <c r="K32" s="22">
        <f>Egresos!K220</f>
        <v>0</v>
      </c>
      <c r="L32" s="22">
        <f>Egresos!L220</f>
        <v>0</v>
      </c>
      <c r="M32" s="22"/>
      <c r="N32" s="22"/>
    </row>
    <row r="33" spans="1:13" x14ac:dyDescent="0.3">
      <c r="A33" s="51" t="s">
        <v>329</v>
      </c>
      <c r="B33" s="22">
        <f>Egresos!B219</f>
        <v>8219739.9577199994</v>
      </c>
      <c r="C33" s="22">
        <f>Egresos!C219</f>
        <v>8219739.9577199994</v>
      </c>
      <c r="D33" s="22">
        <f>Egresos!D219</f>
        <v>8219739.9577199994</v>
      </c>
      <c r="E33" s="22">
        <f>Egresos!E219</f>
        <v>8219739.9577199994</v>
      </c>
      <c r="F33" s="22">
        <f>Egresos!F219</f>
        <v>8219739.9577199994</v>
      </c>
      <c r="G33" s="22">
        <f>Egresos!G219</f>
        <v>0</v>
      </c>
      <c r="H33" s="22">
        <f>Egresos!H219</f>
        <v>0</v>
      </c>
      <c r="I33" s="22">
        <f>Egresos!I219</f>
        <v>0</v>
      </c>
      <c r="J33" s="22">
        <f>Egresos!J219</f>
        <v>0</v>
      </c>
      <c r="K33" s="22">
        <f>Egresos!K219</f>
        <v>0</v>
      </c>
      <c r="L33" s="22">
        <f>Egresos!L219</f>
        <v>0</v>
      </c>
    </row>
    <row r="34" spans="1:13" x14ac:dyDescent="0.3">
      <c r="A34" s="51" t="s">
        <v>330</v>
      </c>
    </row>
    <row r="35" spans="1:13" x14ac:dyDescent="0.3">
      <c r="A35" s="50"/>
    </row>
    <row r="36" spans="1:13" ht="15" thickBot="1" x14ac:dyDescent="0.35">
      <c r="A36" s="55" t="s">
        <v>331</v>
      </c>
      <c r="B36" s="63">
        <f>B30-B32-B33+B34</f>
        <v>-43206821.689663179</v>
      </c>
      <c r="C36" s="63">
        <f t="shared" ref="C36:L36" si="6">C30-C32-C33+C34</f>
        <v>-549041153.37579179</v>
      </c>
      <c r="D36" s="63">
        <f t="shared" si="6"/>
        <v>13164970.107108388</v>
      </c>
      <c r="E36" s="63">
        <f t="shared" si="6"/>
        <v>18980202.279678307</v>
      </c>
      <c r="F36" s="63">
        <f t="shared" si="6"/>
        <v>25140223.929190181</v>
      </c>
      <c r="G36" s="63">
        <f t="shared" si="6"/>
        <v>39899393.475353673</v>
      </c>
      <c r="H36" s="63">
        <f t="shared" si="6"/>
        <v>46195003.406464815</v>
      </c>
      <c r="I36" s="63">
        <f t="shared" si="6"/>
        <v>53225505.21395959</v>
      </c>
      <c r="J36" s="63">
        <f t="shared" si="6"/>
        <v>61421653.323502451</v>
      </c>
      <c r="K36" s="63">
        <f t="shared" si="6"/>
        <v>66612179.967107147</v>
      </c>
      <c r="L36" s="63">
        <f t="shared" si="6"/>
        <v>74963121.787519276</v>
      </c>
    </row>
    <row r="37" spans="1:13" x14ac:dyDescent="0.3">
      <c r="A37" s="50"/>
    </row>
    <row r="38" spans="1:13" x14ac:dyDescent="0.3">
      <c r="A38" s="50" t="s">
        <v>332</v>
      </c>
      <c r="B38">
        <f>IF(B36&lt;0,0,B36*Premisas!B13)</f>
        <v>0</v>
      </c>
      <c r="C38">
        <f>IF(C36&lt;0,0,C36*Premisas!C13)</f>
        <v>0</v>
      </c>
      <c r="D38">
        <f>IF(D36&lt;0,0,D36*Premisas!D13)</f>
        <v>4476089.8364168527</v>
      </c>
      <c r="E38">
        <f>IF(E36&lt;0,0,E36*Premisas!E13)</f>
        <v>6453268.7750906246</v>
      </c>
      <c r="F38">
        <f>IF(F36&lt;0,0,F36*Premisas!F13)</f>
        <v>8547676.1359246615</v>
      </c>
      <c r="G38">
        <f>IF(G36&lt;0,0,G36*Premisas!G13)</f>
        <v>13565793.781620249</v>
      </c>
      <c r="H38">
        <f>IF(H36&lt;0,0,H36*Premisas!H13)</f>
        <v>15706301.158198038</v>
      </c>
      <c r="I38">
        <f>IF(I36&lt;0,0,I36*Premisas!I13)</f>
        <v>18096671.772746261</v>
      </c>
      <c r="J38">
        <f>IF(J36&lt;0,0,J36*Premisas!J13)</f>
        <v>20883362.129990835</v>
      </c>
      <c r="K38">
        <f>IF(K36&lt;0,0,K36*Premisas!K13)</f>
        <v>22648141.188816432</v>
      </c>
      <c r="L38">
        <f>IF(L36&lt;0,0,L36*Premisas!L13)</f>
        <v>25487461.407756556</v>
      </c>
      <c r="M38">
        <f>IF(M36&lt;0,0,M36*Premisas!M13)</f>
        <v>0</v>
      </c>
    </row>
    <row r="39" spans="1:13" x14ac:dyDescent="0.3">
      <c r="A39" s="50"/>
    </row>
    <row r="40" spans="1:13" ht="15" thickBot="1" x14ac:dyDescent="0.35">
      <c r="A40" s="55" t="s">
        <v>333</v>
      </c>
      <c r="B40" s="63">
        <f>B36-B38</f>
        <v>-43206821.689663179</v>
      </c>
      <c r="C40" s="63">
        <f t="shared" ref="C40:L40" si="7">C36-C38</f>
        <v>-549041153.37579179</v>
      </c>
      <c r="D40" s="63">
        <f t="shared" si="7"/>
        <v>8688880.2706915364</v>
      </c>
      <c r="E40" s="63">
        <f t="shared" si="7"/>
        <v>12526933.504587684</v>
      </c>
      <c r="F40" s="63">
        <f t="shared" si="7"/>
        <v>16592547.79326552</v>
      </c>
      <c r="G40" s="63">
        <f t="shared" si="7"/>
        <v>26333599.693733424</v>
      </c>
      <c r="H40" s="63">
        <f t="shared" si="7"/>
        <v>30488702.248266779</v>
      </c>
      <c r="I40" s="63">
        <f t="shared" si="7"/>
        <v>35128833.441213325</v>
      </c>
      <c r="J40" s="63">
        <f t="shared" si="7"/>
        <v>40538291.19351162</v>
      </c>
      <c r="K40" s="63">
        <f t="shared" si="7"/>
        <v>43964038.778290719</v>
      </c>
      <c r="L40" s="63">
        <f t="shared" si="7"/>
        <v>49475660.379762724</v>
      </c>
    </row>
    <row r="49" spans="1:8" ht="15" thickBot="1" x14ac:dyDescent="0.35">
      <c r="A49" s="1" t="s">
        <v>447</v>
      </c>
    </row>
    <row r="50" spans="1:8" ht="15" thickBot="1" x14ac:dyDescent="0.35">
      <c r="A50" s="73" t="s">
        <v>448</v>
      </c>
      <c r="B50" s="24"/>
      <c r="D50" t="s">
        <v>452</v>
      </c>
      <c r="E50" s="75">
        <f>Ingresos!B23</f>
        <v>7700</v>
      </c>
    </row>
    <row r="51" spans="1:8" ht="15" thickBot="1" x14ac:dyDescent="0.35">
      <c r="A51" t="s">
        <v>258</v>
      </c>
      <c r="B51" s="29">
        <f>Egresos!B220</f>
        <v>5973011.0359431999</v>
      </c>
    </row>
    <row r="52" spans="1:8" x14ac:dyDescent="0.3">
      <c r="A52" t="s">
        <v>449</v>
      </c>
      <c r="B52" s="39">
        <f>Egresos!B153+Egresos!B154+Egresos!B152</f>
        <v>11542638.319599999</v>
      </c>
      <c r="D52" t="s">
        <v>453</v>
      </c>
      <c r="E52" s="81">
        <f>B54/(E50-B60)</f>
        <v>24186.706615316998</v>
      </c>
      <c r="G52" t="s">
        <v>456</v>
      </c>
      <c r="H52" s="81">
        <f>B54/((E50-B60)/E50)</f>
        <v>186237640.9379409</v>
      </c>
    </row>
    <row r="53" spans="1:8" ht="15" thickBot="1" x14ac:dyDescent="0.35">
      <c r="A53" t="s">
        <v>329</v>
      </c>
      <c r="B53" s="29">
        <f>Egresos!B219+Egresos!B220</f>
        <v>14192750.993663199</v>
      </c>
      <c r="D53" t="s">
        <v>454</v>
      </c>
      <c r="E53" s="82"/>
      <c r="G53" t="s">
        <v>454</v>
      </c>
      <c r="H53" s="82"/>
    </row>
    <row r="54" spans="1:8" x14ac:dyDescent="0.3">
      <c r="A54" s="1" t="s">
        <v>17</v>
      </c>
      <c r="B54" s="72">
        <f>SUM(B51:B53)</f>
        <v>31708400.349206399</v>
      </c>
    </row>
    <row r="55" spans="1:8" ht="15" thickBot="1" x14ac:dyDescent="0.35"/>
    <row r="56" spans="1:8" ht="15" thickBot="1" x14ac:dyDescent="0.35">
      <c r="D56" t="s">
        <v>455</v>
      </c>
      <c r="E56" s="75">
        <v>500000</v>
      </c>
    </row>
    <row r="57" spans="1:8" ht="15" thickBot="1" x14ac:dyDescent="0.35">
      <c r="A57" s="73" t="s">
        <v>450</v>
      </c>
      <c r="B57" s="24"/>
    </row>
    <row r="58" spans="1:8" x14ac:dyDescent="0.3">
      <c r="A58" t="s">
        <v>451</v>
      </c>
      <c r="B58" s="39">
        <f>Egresos!B176</f>
        <v>6121.03</v>
      </c>
      <c r="D58" t="s">
        <v>457</v>
      </c>
      <c r="E58" s="81">
        <f>(B54+E56)/(E50-B60)</f>
        <v>24568.099343252616</v>
      </c>
      <c r="G58" t="s">
        <v>456</v>
      </c>
      <c r="H58" s="81">
        <f>(B54+E56)/((E50-B60)/E50)</f>
        <v>189174364.94304514</v>
      </c>
    </row>
    <row r="59" spans="1:8" ht="15" thickBot="1" x14ac:dyDescent="0.35">
      <c r="A59" t="s">
        <v>228</v>
      </c>
      <c r="B59" s="29">
        <f>Egresos!B151/Capacidad!E17</f>
        <v>267.98538131999999</v>
      </c>
      <c r="D59" t="s">
        <v>458</v>
      </c>
      <c r="E59" s="82"/>
      <c r="G59" t="s">
        <v>454</v>
      </c>
      <c r="H59" s="82"/>
    </row>
    <row r="60" spans="1:8" x14ac:dyDescent="0.3">
      <c r="A60" s="1" t="s">
        <v>17</v>
      </c>
      <c r="B60" s="74">
        <f>SUM(B58:B59)</f>
        <v>6389.0153813199995</v>
      </c>
    </row>
    <row r="64" spans="1:8" x14ac:dyDescent="0.3">
      <c r="A64" s="24" t="s">
        <v>459</v>
      </c>
      <c r="B64" s="24" t="s">
        <v>77</v>
      </c>
      <c r="C64" s="24" t="s">
        <v>312</v>
      </c>
    </row>
    <row r="65" spans="1:4" x14ac:dyDescent="0.3">
      <c r="A65">
        <v>0</v>
      </c>
      <c r="B65" s="29">
        <f>$B$54+($B$60*A65)</f>
        <v>31708400.349206399</v>
      </c>
      <c r="C65" s="39">
        <f>$E$50*A65</f>
        <v>0</v>
      </c>
      <c r="D65" s="76">
        <f>C65-B65</f>
        <v>-31708400.349206399</v>
      </c>
    </row>
    <row r="66" spans="1:4" x14ac:dyDescent="0.3">
      <c r="A66">
        <v>500</v>
      </c>
      <c r="B66" s="29">
        <f t="shared" ref="B66:B129" si="8">$B$54+($B$60*A66)</f>
        <v>34902908.039866403</v>
      </c>
      <c r="C66" s="39">
        <f t="shared" ref="C66:C129" si="9">$E$50*A66</f>
        <v>3850000</v>
      </c>
      <c r="D66" s="76">
        <f t="shared" ref="D66:D129" si="10">C66-B66</f>
        <v>-31052908.039866403</v>
      </c>
    </row>
    <row r="67" spans="1:4" x14ac:dyDescent="0.3">
      <c r="A67">
        <v>1000</v>
      </c>
      <c r="B67" s="29">
        <f t="shared" si="8"/>
        <v>38097415.730526403</v>
      </c>
      <c r="C67" s="39">
        <f t="shared" si="9"/>
        <v>7700000</v>
      </c>
      <c r="D67" s="76">
        <f t="shared" si="10"/>
        <v>-30397415.730526403</v>
      </c>
    </row>
    <row r="68" spans="1:4" x14ac:dyDescent="0.3">
      <c r="A68">
        <v>1500</v>
      </c>
      <c r="B68" s="29">
        <f t="shared" si="8"/>
        <v>41291923.421186402</v>
      </c>
      <c r="C68" s="39">
        <f t="shared" si="9"/>
        <v>11550000</v>
      </c>
      <c r="D68" s="76">
        <f t="shared" si="10"/>
        <v>-29741923.421186402</v>
      </c>
    </row>
    <row r="69" spans="1:4" x14ac:dyDescent="0.3">
      <c r="A69">
        <v>2000</v>
      </c>
      <c r="B69" s="29">
        <f t="shared" si="8"/>
        <v>44486431.111846402</v>
      </c>
      <c r="C69" s="39">
        <f t="shared" si="9"/>
        <v>15400000</v>
      </c>
      <c r="D69" s="76">
        <f t="shared" si="10"/>
        <v>-29086431.111846402</v>
      </c>
    </row>
    <row r="70" spans="1:4" x14ac:dyDescent="0.3">
      <c r="A70">
        <v>2500</v>
      </c>
      <c r="B70" s="29">
        <f t="shared" si="8"/>
        <v>47680938.802506402</v>
      </c>
      <c r="C70" s="39">
        <f t="shared" si="9"/>
        <v>19250000</v>
      </c>
      <c r="D70" s="76">
        <f t="shared" si="10"/>
        <v>-28430938.802506402</v>
      </c>
    </row>
    <row r="71" spans="1:4" x14ac:dyDescent="0.3">
      <c r="A71">
        <v>3000</v>
      </c>
      <c r="B71" s="29">
        <f t="shared" si="8"/>
        <v>50875446.493166402</v>
      </c>
      <c r="C71" s="39">
        <f t="shared" si="9"/>
        <v>23100000</v>
      </c>
      <c r="D71" s="76">
        <f t="shared" si="10"/>
        <v>-27775446.493166402</v>
      </c>
    </row>
    <row r="72" spans="1:4" x14ac:dyDescent="0.3">
      <c r="A72">
        <v>3500</v>
      </c>
      <c r="B72" s="29">
        <f t="shared" si="8"/>
        <v>54069954.183826402</v>
      </c>
      <c r="C72" s="39">
        <f t="shared" si="9"/>
        <v>26950000</v>
      </c>
      <c r="D72" s="76">
        <f t="shared" si="10"/>
        <v>-27119954.183826402</v>
      </c>
    </row>
    <row r="73" spans="1:4" x14ac:dyDescent="0.3">
      <c r="A73">
        <v>4000</v>
      </c>
      <c r="B73" s="29">
        <f t="shared" si="8"/>
        <v>57264461.874486402</v>
      </c>
      <c r="C73" s="39">
        <f t="shared" si="9"/>
        <v>30800000</v>
      </c>
      <c r="D73" s="76">
        <f t="shared" si="10"/>
        <v>-26464461.874486402</v>
      </c>
    </row>
    <row r="74" spans="1:4" x14ac:dyDescent="0.3">
      <c r="A74">
        <v>4500</v>
      </c>
      <c r="B74" s="29">
        <f t="shared" si="8"/>
        <v>60458969.565146402</v>
      </c>
      <c r="C74" s="39">
        <f t="shared" si="9"/>
        <v>34650000</v>
      </c>
      <c r="D74" s="76">
        <f t="shared" si="10"/>
        <v>-25808969.565146402</v>
      </c>
    </row>
    <row r="75" spans="1:4" x14ac:dyDescent="0.3">
      <c r="A75">
        <v>5000</v>
      </c>
      <c r="B75" s="29">
        <f t="shared" si="8"/>
        <v>63653477.255806401</v>
      </c>
      <c r="C75" s="39">
        <f t="shared" si="9"/>
        <v>38500000</v>
      </c>
      <c r="D75" s="76">
        <f t="shared" si="10"/>
        <v>-25153477.255806401</v>
      </c>
    </row>
    <row r="76" spans="1:4" x14ac:dyDescent="0.3">
      <c r="A76">
        <v>5500</v>
      </c>
      <c r="B76" s="29">
        <f t="shared" si="8"/>
        <v>66847984.946466401</v>
      </c>
      <c r="C76" s="39">
        <f t="shared" si="9"/>
        <v>42350000</v>
      </c>
      <c r="D76" s="76">
        <f t="shared" si="10"/>
        <v>-24497984.946466401</v>
      </c>
    </row>
    <row r="77" spans="1:4" x14ac:dyDescent="0.3">
      <c r="A77">
        <v>6000</v>
      </c>
      <c r="B77" s="29">
        <f t="shared" si="8"/>
        <v>70042492.637126401</v>
      </c>
      <c r="C77" s="39">
        <f t="shared" si="9"/>
        <v>46200000</v>
      </c>
      <c r="D77" s="76">
        <f t="shared" si="10"/>
        <v>-23842492.637126401</v>
      </c>
    </row>
    <row r="78" spans="1:4" x14ac:dyDescent="0.3">
      <c r="A78">
        <v>6500</v>
      </c>
      <c r="B78" s="29">
        <f t="shared" si="8"/>
        <v>73237000.327786401</v>
      </c>
      <c r="C78" s="39">
        <f t="shared" si="9"/>
        <v>50050000</v>
      </c>
      <c r="D78" s="76">
        <f t="shared" si="10"/>
        <v>-23187000.327786401</v>
      </c>
    </row>
    <row r="79" spans="1:4" x14ac:dyDescent="0.3">
      <c r="A79">
        <v>7000</v>
      </c>
      <c r="B79" s="29">
        <f t="shared" si="8"/>
        <v>76431508.018446401</v>
      </c>
      <c r="C79" s="39">
        <f t="shared" si="9"/>
        <v>53900000</v>
      </c>
      <c r="D79" s="76">
        <f t="shared" si="10"/>
        <v>-22531508.018446401</v>
      </c>
    </row>
    <row r="80" spans="1:4" x14ac:dyDescent="0.3">
      <c r="A80">
        <v>7500</v>
      </c>
      <c r="B80" s="29">
        <f t="shared" si="8"/>
        <v>79626015.709106401</v>
      </c>
      <c r="C80" s="39">
        <f t="shared" si="9"/>
        <v>57750000</v>
      </c>
      <c r="D80" s="76">
        <f t="shared" si="10"/>
        <v>-21876015.709106401</v>
      </c>
    </row>
    <row r="81" spans="1:4" x14ac:dyDescent="0.3">
      <c r="A81">
        <v>8000</v>
      </c>
      <c r="B81" s="29">
        <f t="shared" si="8"/>
        <v>82820523.3997664</v>
      </c>
      <c r="C81" s="39">
        <f t="shared" si="9"/>
        <v>61600000</v>
      </c>
      <c r="D81" s="76">
        <f t="shared" si="10"/>
        <v>-21220523.3997664</v>
      </c>
    </row>
    <row r="82" spans="1:4" x14ac:dyDescent="0.3">
      <c r="A82">
        <v>8500</v>
      </c>
      <c r="B82" s="29">
        <f t="shared" si="8"/>
        <v>86015031.0904264</v>
      </c>
      <c r="C82" s="39">
        <f t="shared" si="9"/>
        <v>65450000</v>
      </c>
      <c r="D82" s="76">
        <f t="shared" si="10"/>
        <v>-20565031.0904264</v>
      </c>
    </row>
    <row r="83" spans="1:4" x14ac:dyDescent="0.3">
      <c r="A83">
        <v>9000</v>
      </c>
      <c r="B83" s="29">
        <f t="shared" si="8"/>
        <v>89209538.7810864</v>
      </c>
      <c r="C83" s="39">
        <f t="shared" si="9"/>
        <v>69300000</v>
      </c>
      <c r="D83" s="76">
        <f t="shared" si="10"/>
        <v>-19909538.7810864</v>
      </c>
    </row>
    <row r="84" spans="1:4" x14ac:dyDescent="0.3">
      <c r="A84">
        <v>9500</v>
      </c>
      <c r="B84" s="29">
        <f t="shared" si="8"/>
        <v>92404046.4717464</v>
      </c>
      <c r="C84" s="39">
        <f t="shared" si="9"/>
        <v>73150000</v>
      </c>
      <c r="D84" s="76">
        <f t="shared" si="10"/>
        <v>-19254046.4717464</v>
      </c>
    </row>
    <row r="85" spans="1:4" x14ac:dyDescent="0.3">
      <c r="A85">
        <v>10000</v>
      </c>
      <c r="B85" s="29">
        <f t="shared" si="8"/>
        <v>95598554.1624064</v>
      </c>
      <c r="C85" s="39">
        <f t="shared" si="9"/>
        <v>77000000</v>
      </c>
      <c r="D85" s="76">
        <f t="shared" si="10"/>
        <v>-18598554.1624064</v>
      </c>
    </row>
    <row r="86" spans="1:4" x14ac:dyDescent="0.3">
      <c r="A86">
        <v>10500</v>
      </c>
      <c r="B86" s="29">
        <f t="shared" si="8"/>
        <v>98793061.8530664</v>
      </c>
      <c r="C86" s="39">
        <f t="shared" si="9"/>
        <v>80850000</v>
      </c>
      <c r="D86" s="76">
        <f t="shared" si="10"/>
        <v>-17943061.8530664</v>
      </c>
    </row>
    <row r="87" spans="1:4" x14ac:dyDescent="0.3">
      <c r="A87">
        <v>11000</v>
      </c>
      <c r="B87" s="29">
        <f t="shared" si="8"/>
        <v>101987569.5437264</v>
      </c>
      <c r="C87" s="39">
        <f t="shared" si="9"/>
        <v>84700000</v>
      </c>
      <c r="D87" s="76">
        <f t="shared" si="10"/>
        <v>-17287569.5437264</v>
      </c>
    </row>
    <row r="88" spans="1:4" x14ac:dyDescent="0.3">
      <c r="A88">
        <v>11500</v>
      </c>
      <c r="B88" s="29">
        <f t="shared" si="8"/>
        <v>105182077.2343864</v>
      </c>
      <c r="C88" s="39">
        <f t="shared" si="9"/>
        <v>88550000</v>
      </c>
      <c r="D88" s="76">
        <f t="shared" si="10"/>
        <v>-16632077.234386399</v>
      </c>
    </row>
    <row r="89" spans="1:4" x14ac:dyDescent="0.3">
      <c r="A89">
        <v>12000</v>
      </c>
      <c r="B89" s="29">
        <f t="shared" si="8"/>
        <v>108376584.9250464</v>
      </c>
      <c r="C89" s="39">
        <f t="shared" si="9"/>
        <v>92400000</v>
      </c>
      <c r="D89" s="76">
        <f t="shared" si="10"/>
        <v>-15976584.925046399</v>
      </c>
    </row>
    <row r="90" spans="1:4" x14ac:dyDescent="0.3">
      <c r="A90">
        <v>12500</v>
      </c>
      <c r="B90" s="29">
        <f t="shared" si="8"/>
        <v>111571092.6157064</v>
      </c>
      <c r="C90" s="39">
        <f t="shared" si="9"/>
        <v>96250000</v>
      </c>
      <c r="D90" s="76">
        <f t="shared" si="10"/>
        <v>-15321092.615706399</v>
      </c>
    </row>
    <row r="91" spans="1:4" x14ac:dyDescent="0.3">
      <c r="A91">
        <v>13000</v>
      </c>
      <c r="B91" s="29">
        <f t="shared" si="8"/>
        <v>114765600.3063664</v>
      </c>
      <c r="C91" s="39">
        <f t="shared" si="9"/>
        <v>100100000</v>
      </c>
      <c r="D91" s="76">
        <f t="shared" si="10"/>
        <v>-14665600.306366399</v>
      </c>
    </row>
    <row r="92" spans="1:4" x14ac:dyDescent="0.3">
      <c r="A92">
        <v>13500</v>
      </c>
      <c r="B92" s="29">
        <f t="shared" si="8"/>
        <v>117960107.9970264</v>
      </c>
      <c r="C92" s="39">
        <f t="shared" si="9"/>
        <v>103950000</v>
      </c>
      <c r="D92" s="76">
        <f t="shared" si="10"/>
        <v>-14010107.997026399</v>
      </c>
    </row>
    <row r="93" spans="1:4" x14ac:dyDescent="0.3">
      <c r="A93">
        <v>14000</v>
      </c>
      <c r="B93" s="29">
        <f t="shared" si="8"/>
        <v>121154615.6876864</v>
      </c>
      <c r="C93" s="39">
        <f t="shared" si="9"/>
        <v>107800000</v>
      </c>
      <c r="D93" s="76">
        <f t="shared" si="10"/>
        <v>-13354615.687686399</v>
      </c>
    </row>
    <row r="94" spans="1:4" x14ac:dyDescent="0.3">
      <c r="A94">
        <v>14500</v>
      </c>
      <c r="B94" s="29">
        <f t="shared" si="8"/>
        <v>124349123.3783464</v>
      </c>
      <c r="C94" s="39">
        <f t="shared" si="9"/>
        <v>111650000</v>
      </c>
      <c r="D94" s="76">
        <f t="shared" si="10"/>
        <v>-12699123.378346398</v>
      </c>
    </row>
    <row r="95" spans="1:4" x14ac:dyDescent="0.3">
      <c r="A95">
        <v>15000</v>
      </c>
      <c r="B95" s="29">
        <f t="shared" si="8"/>
        <v>127543631.0690064</v>
      </c>
      <c r="C95" s="39">
        <f t="shared" si="9"/>
        <v>115500000</v>
      </c>
      <c r="D95" s="76">
        <f t="shared" si="10"/>
        <v>-12043631.069006398</v>
      </c>
    </row>
    <row r="96" spans="1:4" x14ac:dyDescent="0.3">
      <c r="A96">
        <v>15500</v>
      </c>
      <c r="B96" s="29">
        <f t="shared" si="8"/>
        <v>130738138.7596664</v>
      </c>
      <c r="C96" s="39">
        <f t="shared" si="9"/>
        <v>119350000</v>
      </c>
      <c r="D96" s="76">
        <f t="shared" si="10"/>
        <v>-11388138.759666398</v>
      </c>
    </row>
    <row r="97" spans="1:4" x14ac:dyDescent="0.3">
      <c r="A97">
        <v>16000</v>
      </c>
      <c r="B97" s="29">
        <f t="shared" si="8"/>
        <v>133932646.4503264</v>
      </c>
      <c r="C97" s="39">
        <f t="shared" si="9"/>
        <v>123200000</v>
      </c>
      <c r="D97" s="76">
        <f t="shared" si="10"/>
        <v>-10732646.450326398</v>
      </c>
    </row>
    <row r="98" spans="1:4" x14ac:dyDescent="0.3">
      <c r="A98">
        <v>16500</v>
      </c>
      <c r="B98" s="29">
        <f t="shared" si="8"/>
        <v>137127154.14098638</v>
      </c>
      <c r="C98" s="39">
        <f t="shared" si="9"/>
        <v>127050000</v>
      </c>
      <c r="D98" s="76">
        <f t="shared" si="10"/>
        <v>-10077154.140986383</v>
      </c>
    </row>
    <row r="99" spans="1:4" x14ac:dyDescent="0.3">
      <c r="A99">
        <v>17000</v>
      </c>
      <c r="B99" s="29">
        <f t="shared" si="8"/>
        <v>140321661.83164638</v>
      </c>
      <c r="C99" s="39">
        <f t="shared" si="9"/>
        <v>130900000</v>
      </c>
      <c r="D99" s="76">
        <f t="shared" si="10"/>
        <v>-9421661.8316463828</v>
      </c>
    </row>
    <row r="100" spans="1:4" x14ac:dyDescent="0.3">
      <c r="A100">
        <v>17500</v>
      </c>
      <c r="B100" s="29">
        <f t="shared" si="8"/>
        <v>143516169.52230638</v>
      </c>
      <c r="C100" s="39">
        <f t="shared" si="9"/>
        <v>134750000</v>
      </c>
      <c r="D100" s="76">
        <f t="shared" si="10"/>
        <v>-8766169.5223063827</v>
      </c>
    </row>
    <row r="101" spans="1:4" x14ac:dyDescent="0.3">
      <c r="A101">
        <v>18000</v>
      </c>
      <c r="B101" s="29">
        <f t="shared" si="8"/>
        <v>146710677.21296638</v>
      </c>
      <c r="C101" s="39">
        <f t="shared" si="9"/>
        <v>138600000</v>
      </c>
      <c r="D101" s="76">
        <f t="shared" si="10"/>
        <v>-8110677.2129663825</v>
      </c>
    </row>
    <row r="102" spans="1:4" x14ac:dyDescent="0.3">
      <c r="A102">
        <v>18500</v>
      </c>
      <c r="B102" s="29">
        <f t="shared" si="8"/>
        <v>149905184.90362638</v>
      </c>
      <c r="C102" s="39">
        <f t="shared" si="9"/>
        <v>142450000</v>
      </c>
      <c r="D102" s="76">
        <f t="shared" si="10"/>
        <v>-7455184.9036263824</v>
      </c>
    </row>
    <row r="103" spans="1:4" x14ac:dyDescent="0.3">
      <c r="A103">
        <v>19000</v>
      </c>
      <c r="B103" s="29">
        <f t="shared" si="8"/>
        <v>153099692.59428638</v>
      </c>
      <c r="C103" s="39">
        <f t="shared" si="9"/>
        <v>146300000</v>
      </c>
      <c r="D103" s="76">
        <f t="shared" si="10"/>
        <v>-6799692.5942863822</v>
      </c>
    </row>
    <row r="104" spans="1:4" x14ac:dyDescent="0.3">
      <c r="A104">
        <v>19500</v>
      </c>
      <c r="B104" s="29">
        <f t="shared" si="8"/>
        <v>156294200.28494638</v>
      </c>
      <c r="C104" s="39">
        <f t="shared" si="9"/>
        <v>150150000</v>
      </c>
      <c r="D104" s="76">
        <f t="shared" si="10"/>
        <v>-6144200.284946382</v>
      </c>
    </row>
    <row r="105" spans="1:4" x14ac:dyDescent="0.3">
      <c r="A105">
        <v>20000</v>
      </c>
      <c r="B105" s="29">
        <f t="shared" si="8"/>
        <v>159488707.97560638</v>
      </c>
      <c r="C105" s="39">
        <f t="shared" si="9"/>
        <v>154000000</v>
      </c>
      <c r="D105" s="76">
        <f t="shared" si="10"/>
        <v>-5488707.9756063819</v>
      </c>
    </row>
    <row r="106" spans="1:4" x14ac:dyDescent="0.3">
      <c r="A106">
        <v>20500</v>
      </c>
      <c r="B106" s="29">
        <f t="shared" si="8"/>
        <v>162683215.66626638</v>
      </c>
      <c r="C106" s="39">
        <f t="shared" si="9"/>
        <v>157850000</v>
      </c>
      <c r="D106" s="76">
        <f t="shared" si="10"/>
        <v>-4833215.6662663817</v>
      </c>
    </row>
    <row r="107" spans="1:4" x14ac:dyDescent="0.3">
      <c r="A107">
        <v>21000</v>
      </c>
      <c r="B107" s="29">
        <f t="shared" si="8"/>
        <v>165877723.35692638</v>
      </c>
      <c r="C107" s="39">
        <f t="shared" si="9"/>
        <v>161700000</v>
      </c>
      <c r="D107" s="76">
        <f t="shared" si="10"/>
        <v>-4177723.3569263816</v>
      </c>
    </row>
    <row r="108" spans="1:4" x14ac:dyDescent="0.3">
      <c r="A108">
        <v>21500</v>
      </c>
      <c r="B108" s="29">
        <f t="shared" si="8"/>
        <v>169072231.04758638</v>
      </c>
      <c r="C108" s="39">
        <f t="shared" si="9"/>
        <v>165550000</v>
      </c>
      <c r="D108" s="76">
        <f t="shared" si="10"/>
        <v>-3522231.0475863814</v>
      </c>
    </row>
    <row r="109" spans="1:4" x14ac:dyDescent="0.3">
      <c r="A109">
        <v>22000</v>
      </c>
      <c r="B109" s="29">
        <f t="shared" si="8"/>
        <v>172266738.73824638</v>
      </c>
      <c r="C109" s="39">
        <f t="shared" si="9"/>
        <v>169400000</v>
      </c>
      <c r="D109" s="76">
        <f t="shared" si="10"/>
        <v>-2866738.7382463813</v>
      </c>
    </row>
    <row r="110" spans="1:4" x14ac:dyDescent="0.3">
      <c r="A110">
        <v>22500</v>
      </c>
      <c r="B110" s="29">
        <f t="shared" si="8"/>
        <v>175461246.42890638</v>
      </c>
      <c r="C110" s="39">
        <f t="shared" si="9"/>
        <v>173250000</v>
      </c>
      <c r="D110" s="76">
        <f t="shared" si="10"/>
        <v>-2211246.4289063811</v>
      </c>
    </row>
    <row r="111" spans="1:4" x14ac:dyDescent="0.3">
      <c r="A111">
        <v>23000</v>
      </c>
      <c r="B111" s="29">
        <f t="shared" si="8"/>
        <v>178655754.11956638</v>
      </c>
      <c r="C111" s="39">
        <f t="shared" si="9"/>
        <v>177100000</v>
      </c>
      <c r="D111" s="76">
        <f t="shared" si="10"/>
        <v>-1555754.119566381</v>
      </c>
    </row>
    <row r="112" spans="1:4" x14ac:dyDescent="0.3">
      <c r="A112">
        <v>23500</v>
      </c>
      <c r="B112" s="29">
        <f t="shared" si="8"/>
        <v>181850261.81022638</v>
      </c>
      <c r="C112" s="39">
        <f t="shared" si="9"/>
        <v>180950000</v>
      </c>
      <c r="D112" s="76">
        <f t="shared" si="10"/>
        <v>-900261.81022638083</v>
      </c>
    </row>
    <row r="113" spans="1:4" x14ac:dyDescent="0.3">
      <c r="A113">
        <v>24000</v>
      </c>
      <c r="B113" s="29">
        <f t="shared" si="8"/>
        <v>185044769.50088638</v>
      </c>
      <c r="C113" s="39">
        <f t="shared" si="9"/>
        <v>184800000</v>
      </c>
      <c r="D113" s="76">
        <f t="shared" si="10"/>
        <v>-244769.50088638067</v>
      </c>
    </row>
    <row r="114" spans="1:4" x14ac:dyDescent="0.3">
      <c r="A114">
        <v>24500</v>
      </c>
      <c r="B114" s="29">
        <f t="shared" si="8"/>
        <v>188239277.19154638</v>
      </c>
      <c r="C114" s="39">
        <f t="shared" si="9"/>
        <v>188650000</v>
      </c>
      <c r="D114" s="76">
        <f t="shared" si="10"/>
        <v>410722.80845361948</v>
      </c>
    </row>
    <row r="115" spans="1:4" x14ac:dyDescent="0.3">
      <c r="A115">
        <v>25000</v>
      </c>
      <c r="B115" s="29">
        <f t="shared" si="8"/>
        <v>191433784.88220638</v>
      </c>
      <c r="C115" s="39">
        <f t="shared" si="9"/>
        <v>192500000</v>
      </c>
      <c r="D115" s="76">
        <f t="shared" si="10"/>
        <v>1066215.1177936196</v>
      </c>
    </row>
    <row r="116" spans="1:4" x14ac:dyDescent="0.3">
      <c r="A116">
        <v>25500</v>
      </c>
      <c r="B116" s="29">
        <f t="shared" si="8"/>
        <v>194628292.57286638</v>
      </c>
      <c r="C116" s="39">
        <f t="shared" si="9"/>
        <v>196350000</v>
      </c>
      <c r="D116" s="76">
        <f t="shared" si="10"/>
        <v>1721707.4271336198</v>
      </c>
    </row>
    <row r="117" spans="1:4" x14ac:dyDescent="0.3">
      <c r="A117">
        <v>26000</v>
      </c>
      <c r="B117" s="29">
        <f t="shared" si="8"/>
        <v>197822800.26352638</v>
      </c>
      <c r="C117" s="39">
        <f t="shared" si="9"/>
        <v>200200000</v>
      </c>
      <c r="D117" s="76">
        <f t="shared" si="10"/>
        <v>2377199.7364736199</v>
      </c>
    </row>
    <row r="118" spans="1:4" x14ac:dyDescent="0.3">
      <c r="A118">
        <v>26500</v>
      </c>
      <c r="B118" s="29">
        <f t="shared" si="8"/>
        <v>201017307.95418638</v>
      </c>
      <c r="C118" s="39">
        <f t="shared" si="9"/>
        <v>204050000</v>
      </c>
      <c r="D118" s="76">
        <f t="shared" si="10"/>
        <v>3032692.0458136201</v>
      </c>
    </row>
    <row r="119" spans="1:4" x14ac:dyDescent="0.3">
      <c r="A119">
        <v>27000</v>
      </c>
      <c r="B119" s="29">
        <f t="shared" si="8"/>
        <v>204211815.64484638</v>
      </c>
      <c r="C119" s="39">
        <f t="shared" si="9"/>
        <v>207900000</v>
      </c>
      <c r="D119" s="76">
        <f t="shared" si="10"/>
        <v>3688184.3551536202</v>
      </c>
    </row>
    <row r="120" spans="1:4" x14ac:dyDescent="0.3">
      <c r="A120">
        <v>27500</v>
      </c>
      <c r="B120" s="29">
        <f t="shared" si="8"/>
        <v>207406323.33550638</v>
      </c>
      <c r="C120" s="39">
        <f t="shared" si="9"/>
        <v>211750000</v>
      </c>
      <c r="D120" s="76">
        <f t="shared" si="10"/>
        <v>4343676.6644936204</v>
      </c>
    </row>
    <row r="121" spans="1:4" x14ac:dyDescent="0.3">
      <c r="A121">
        <v>28000</v>
      </c>
      <c r="B121" s="29">
        <f t="shared" si="8"/>
        <v>210600831.02616638</v>
      </c>
      <c r="C121" s="39">
        <f t="shared" si="9"/>
        <v>215600000</v>
      </c>
      <c r="D121" s="76">
        <f t="shared" si="10"/>
        <v>4999168.9738336205</v>
      </c>
    </row>
    <row r="122" spans="1:4" x14ac:dyDescent="0.3">
      <c r="A122">
        <v>28500</v>
      </c>
      <c r="B122" s="29">
        <f t="shared" si="8"/>
        <v>213795338.71682638</v>
      </c>
      <c r="C122" s="39">
        <f t="shared" si="9"/>
        <v>219450000</v>
      </c>
      <c r="D122" s="76">
        <f t="shared" si="10"/>
        <v>5654661.2831736207</v>
      </c>
    </row>
    <row r="123" spans="1:4" x14ac:dyDescent="0.3">
      <c r="A123">
        <v>29000</v>
      </c>
      <c r="B123" s="29">
        <f t="shared" si="8"/>
        <v>216989846.40748638</v>
      </c>
      <c r="C123" s="39">
        <f t="shared" si="9"/>
        <v>223300000</v>
      </c>
      <c r="D123" s="76">
        <f t="shared" si="10"/>
        <v>6310153.5925136209</v>
      </c>
    </row>
    <row r="124" spans="1:4" x14ac:dyDescent="0.3">
      <c r="A124">
        <v>29500</v>
      </c>
      <c r="B124" s="29">
        <f t="shared" si="8"/>
        <v>220184354.09814638</v>
      </c>
      <c r="C124" s="39">
        <f t="shared" si="9"/>
        <v>227150000</v>
      </c>
      <c r="D124" s="76">
        <f t="shared" si="10"/>
        <v>6965645.901853621</v>
      </c>
    </row>
    <row r="125" spans="1:4" x14ac:dyDescent="0.3">
      <c r="A125">
        <v>30000</v>
      </c>
      <c r="B125" s="29">
        <f t="shared" si="8"/>
        <v>223378861.78880638</v>
      </c>
      <c r="C125" s="39">
        <f t="shared" si="9"/>
        <v>231000000</v>
      </c>
      <c r="D125" s="76">
        <f t="shared" si="10"/>
        <v>7621138.2111936212</v>
      </c>
    </row>
    <row r="126" spans="1:4" x14ac:dyDescent="0.3">
      <c r="A126">
        <v>30500</v>
      </c>
      <c r="B126" s="29">
        <f t="shared" si="8"/>
        <v>226573369.47946638</v>
      </c>
      <c r="C126" s="39">
        <f t="shared" si="9"/>
        <v>234850000</v>
      </c>
      <c r="D126" s="76">
        <f t="shared" si="10"/>
        <v>8276630.5205336213</v>
      </c>
    </row>
    <row r="127" spans="1:4" x14ac:dyDescent="0.3">
      <c r="A127">
        <v>31000</v>
      </c>
      <c r="B127" s="29">
        <f t="shared" si="8"/>
        <v>229767877.17012638</v>
      </c>
      <c r="C127" s="39">
        <f t="shared" si="9"/>
        <v>238700000</v>
      </c>
      <c r="D127" s="76">
        <f t="shared" si="10"/>
        <v>8932122.8298736215</v>
      </c>
    </row>
    <row r="128" spans="1:4" x14ac:dyDescent="0.3">
      <c r="A128">
        <v>31500</v>
      </c>
      <c r="B128" s="29">
        <f t="shared" si="8"/>
        <v>232962384.86078638</v>
      </c>
      <c r="C128" s="39">
        <f t="shared" si="9"/>
        <v>242550000</v>
      </c>
      <c r="D128" s="76">
        <f t="shared" si="10"/>
        <v>9587615.1392136216</v>
      </c>
    </row>
    <row r="129" spans="1:4" x14ac:dyDescent="0.3">
      <c r="A129">
        <v>32000</v>
      </c>
      <c r="B129" s="29">
        <f t="shared" si="8"/>
        <v>236156892.55144638</v>
      </c>
      <c r="C129" s="39">
        <f t="shared" si="9"/>
        <v>246400000</v>
      </c>
      <c r="D129" s="76">
        <f t="shared" si="10"/>
        <v>10243107.448553622</v>
      </c>
    </row>
    <row r="130" spans="1:4" x14ac:dyDescent="0.3">
      <c r="A130">
        <v>32500</v>
      </c>
      <c r="B130" s="29">
        <f t="shared" ref="B130:B193" si="11">$B$54+($B$60*A130)</f>
        <v>239351400.24210638</v>
      </c>
      <c r="C130" s="39">
        <f t="shared" ref="C130:C193" si="12">$E$50*A130</f>
        <v>250250000</v>
      </c>
      <c r="D130" s="76">
        <f t="shared" ref="D130:D193" si="13">C130-B130</f>
        <v>10898599.757893622</v>
      </c>
    </row>
    <row r="131" spans="1:4" x14ac:dyDescent="0.3">
      <c r="A131">
        <v>33000</v>
      </c>
      <c r="B131" s="29">
        <f t="shared" si="11"/>
        <v>242545907.93276638</v>
      </c>
      <c r="C131" s="39">
        <f t="shared" si="12"/>
        <v>254100000</v>
      </c>
      <c r="D131" s="76">
        <f t="shared" si="13"/>
        <v>11554092.067233622</v>
      </c>
    </row>
    <row r="132" spans="1:4" x14ac:dyDescent="0.3">
      <c r="A132">
        <v>33500</v>
      </c>
      <c r="B132" s="29">
        <f t="shared" si="11"/>
        <v>245740415.62342638</v>
      </c>
      <c r="C132" s="39">
        <f t="shared" si="12"/>
        <v>257950000</v>
      </c>
      <c r="D132" s="76">
        <f t="shared" si="13"/>
        <v>12209584.376573622</v>
      </c>
    </row>
    <row r="133" spans="1:4" x14ac:dyDescent="0.3">
      <c r="A133">
        <v>34000</v>
      </c>
      <c r="B133" s="29">
        <f t="shared" si="11"/>
        <v>248934923.31408638</v>
      </c>
      <c r="C133" s="39">
        <f t="shared" si="12"/>
        <v>261800000</v>
      </c>
      <c r="D133" s="76">
        <f t="shared" si="13"/>
        <v>12865076.685913622</v>
      </c>
    </row>
    <row r="134" spans="1:4" x14ac:dyDescent="0.3">
      <c r="A134">
        <v>34500</v>
      </c>
      <c r="B134" s="29">
        <f t="shared" si="11"/>
        <v>252129431.00474638</v>
      </c>
      <c r="C134" s="39">
        <f t="shared" si="12"/>
        <v>265650000</v>
      </c>
      <c r="D134" s="76">
        <f t="shared" si="13"/>
        <v>13520568.995253623</v>
      </c>
    </row>
    <row r="135" spans="1:4" x14ac:dyDescent="0.3">
      <c r="A135">
        <v>35000</v>
      </c>
      <c r="B135" s="29">
        <f t="shared" si="11"/>
        <v>255323938.69540638</v>
      </c>
      <c r="C135" s="39">
        <f t="shared" si="12"/>
        <v>269500000</v>
      </c>
      <c r="D135" s="76">
        <f t="shared" si="13"/>
        <v>14176061.304593623</v>
      </c>
    </row>
    <row r="136" spans="1:4" x14ac:dyDescent="0.3">
      <c r="A136">
        <v>35500</v>
      </c>
      <c r="B136" s="29">
        <f t="shared" si="11"/>
        <v>258518446.38606638</v>
      </c>
      <c r="C136" s="39">
        <f t="shared" si="12"/>
        <v>273350000</v>
      </c>
      <c r="D136" s="76">
        <f t="shared" si="13"/>
        <v>14831553.613933623</v>
      </c>
    </row>
    <row r="137" spans="1:4" x14ac:dyDescent="0.3">
      <c r="A137">
        <v>36000</v>
      </c>
      <c r="B137" s="29">
        <f t="shared" si="11"/>
        <v>261712954.07672638</v>
      </c>
      <c r="C137" s="39">
        <f t="shared" si="12"/>
        <v>277200000</v>
      </c>
      <c r="D137" s="76">
        <f t="shared" si="13"/>
        <v>15487045.923273623</v>
      </c>
    </row>
    <row r="138" spans="1:4" x14ac:dyDescent="0.3">
      <c r="A138">
        <v>36500</v>
      </c>
      <c r="B138" s="29">
        <f t="shared" si="11"/>
        <v>264907461.76738638</v>
      </c>
      <c r="C138" s="39">
        <f t="shared" si="12"/>
        <v>281050000</v>
      </c>
      <c r="D138" s="76">
        <f t="shared" si="13"/>
        <v>16142538.232613623</v>
      </c>
    </row>
    <row r="139" spans="1:4" x14ac:dyDescent="0.3">
      <c r="A139">
        <v>37000</v>
      </c>
      <c r="B139" s="29">
        <f t="shared" si="11"/>
        <v>268101969.45804638</v>
      </c>
      <c r="C139" s="39">
        <f t="shared" si="12"/>
        <v>284900000</v>
      </c>
      <c r="D139" s="76">
        <f t="shared" si="13"/>
        <v>16798030.541953623</v>
      </c>
    </row>
    <row r="140" spans="1:4" x14ac:dyDescent="0.3">
      <c r="A140">
        <v>37500</v>
      </c>
      <c r="B140" s="29">
        <f t="shared" si="11"/>
        <v>271296477.14870638</v>
      </c>
      <c r="C140" s="39">
        <f t="shared" si="12"/>
        <v>288750000</v>
      </c>
      <c r="D140" s="76">
        <f t="shared" si="13"/>
        <v>17453522.851293623</v>
      </c>
    </row>
    <row r="141" spans="1:4" x14ac:dyDescent="0.3">
      <c r="A141">
        <v>38000</v>
      </c>
      <c r="B141" s="29">
        <f t="shared" si="11"/>
        <v>274490984.83936638</v>
      </c>
      <c r="C141" s="39">
        <f t="shared" si="12"/>
        <v>292600000</v>
      </c>
      <c r="D141" s="76">
        <f t="shared" si="13"/>
        <v>18109015.160633624</v>
      </c>
    </row>
    <row r="142" spans="1:4" x14ac:dyDescent="0.3">
      <c r="A142">
        <v>38500</v>
      </c>
      <c r="B142" s="29">
        <f t="shared" si="11"/>
        <v>277685492.53002638</v>
      </c>
      <c r="C142" s="39">
        <f t="shared" si="12"/>
        <v>296450000</v>
      </c>
      <c r="D142" s="76">
        <f t="shared" si="13"/>
        <v>18764507.469973624</v>
      </c>
    </row>
    <row r="143" spans="1:4" x14ac:dyDescent="0.3">
      <c r="A143">
        <v>39000</v>
      </c>
      <c r="B143" s="29">
        <f t="shared" si="11"/>
        <v>280880000.22068638</v>
      </c>
      <c r="C143" s="39">
        <f t="shared" si="12"/>
        <v>300300000</v>
      </c>
      <c r="D143" s="76">
        <f t="shared" si="13"/>
        <v>19419999.779313624</v>
      </c>
    </row>
    <row r="144" spans="1:4" x14ac:dyDescent="0.3">
      <c r="A144">
        <v>39500</v>
      </c>
      <c r="B144" s="29">
        <f t="shared" si="11"/>
        <v>284074507.91134638</v>
      </c>
      <c r="C144" s="39">
        <f t="shared" si="12"/>
        <v>304150000</v>
      </c>
      <c r="D144" s="76">
        <f t="shared" si="13"/>
        <v>20075492.088653624</v>
      </c>
    </row>
    <row r="145" spans="1:4" x14ac:dyDescent="0.3">
      <c r="A145">
        <v>40000</v>
      </c>
      <c r="B145" s="29">
        <f t="shared" si="11"/>
        <v>287269015.60200638</v>
      </c>
      <c r="C145" s="39">
        <f t="shared" si="12"/>
        <v>308000000</v>
      </c>
      <c r="D145" s="76">
        <f t="shared" si="13"/>
        <v>20730984.397993624</v>
      </c>
    </row>
    <row r="146" spans="1:4" x14ac:dyDescent="0.3">
      <c r="A146">
        <v>40500</v>
      </c>
      <c r="B146" s="29">
        <f t="shared" si="11"/>
        <v>290463523.29266638</v>
      </c>
      <c r="C146" s="39">
        <f t="shared" si="12"/>
        <v>311850000</v>
      </c>
      <c r="D146" s="76">
        <f t="shared" si="13"/>
        <v>21386476.707333624</v>
      </c>
    </row>
    <row r="147" spans="1:4" x14ac:dyDescent="0.3">
      <c r="A147">
        <v>41000</v>
      </c>
      <c r="B147" s="29">
        <f t="shared" si="11"/>
        <v>293658030.98332638</v>
      </c>
      <c r="C147" s="39">
        <f t="shared" si="12"/>
        <v>315700000</v>
      </c>
      <c r="D147" s="76">
        <f t="shared" si="13"/>
        <v>22041969.016673625</v>
      </c>
    </row>
    <row r="148" spans="1:4" x14ac:dyDescent="0.3">
      <c r="A148">
        <v>41500</v>
      </c>
      <c r="B148" s="29">
        <f t="shared" si="11"/>
        <v>296852538.67398638</v>
      </c>
      <c r="C148" s="39">
        <f t="shared" si="12"/>
        <v>319550000</v>
      </c>
      <c r="D148" s="76">
        <f t="shared" si="13"/>
        <v>22697461.326013625</v>
      </c>
    </row>
    <row r="149" spans="1:4" x14ac:dyDescent="0.3">
      <c r="A149">
        <v>42000</v>
      </c>
      <c r="B149" s="29">
        <f t="shared" si="11"/>
        <v>300047046.36464638</v>
      </c>
      <c r="C149" s="39">
        <f t="shared" si="12"/>
        <v>323400000</v>
      </c>
      <c r="D149" s="76">
        <f t="shared" si="13"/>
        <v>23352953.635353625</v>
      </c>
    </row>
    <row r="150" spans="1:4" x14ac:dyDescent="0.3">
      <c r="A150">
        <v>42500</v>
      </c>
      <c r="B150" s="29">
        <f t="shared" si="11"/>
        <v>303241554.05530638</v>
      </c>
      <c r="C150" s="39">
        <f t="shared" si="12"/>
        <v>327250000</v>
      </c>
      <c r="D150" s="76">
        <f t="shared" si="13"/>
        <v>24008445.944693625</v>
      </c>
    </row>
    <row r="151" spans="1:4" x14ac:dyDescent="0.3">
      <c r="A151">
        <v>43000</v>
      </c>
      <c r="B151" s="29">
        <f t="shared" si="11"/>
        <v>306436061.74596637</v>
      </c>
      <c r="C151" s="39">
        <f t="shared" si="12"/>
        <v>331100000</v>
      </c>
      <c r="D151" s="76">
        <f t="shared" si="13"/>
        <v>24663938.254033625</v>
      </c>
    </row>
    <row r="152" spans="1:4" x14ac:dyDescent="0.3">
      <c r="A152">
        <v>43500</v>
      </c>
      <c r="B152" s="29">
        <f t="shared" si="11"/>
        <v>309630569.43662637</v>
      </c>
      <c r="C152" s="39">
        <f t="shared" si="12"/>
        <v>334950000</v>
      </c>
      <c r="D152" s="76">
        <f t="shared" si="13"/>
        <v>25319430.563373625</v>
      </c>
    </row>
    <row r="153" spans="1:4" x14ac:dyDescent="0.3">
      <c r="A153">
        <v>44000</v>
      </c>
      <c r="B153" s="29">
        <f t="shared" si="11"/>
        <v>312825077.12728637</v>
      </c>
      <c r="C153" s="39">
        <f t="shared" si="12"/>
        <v>338800000</v>
      </c>
      <c r="D153" s="76">
        <f t="shared" si="13"/>
        <v>25974922.872713625</v>
      </c>
    </row>
    <row r="154" spans="1:4" x14ac:dyDescent="0.3">
      <c r="A154">
        <v>44500</v>
      </c>
      <c r="B154" s="29">
        <f t="shared" si="11"/>
        <v>316019584.81794637</v>
      </c>
      <c r="C154" s="39">
        <f t="shared" si="12"/>
        <v>342650000</v>
      </c>
      <c r="D154" s="76">
        <f t="shared" si="13"/>
        <v>26630415.182053626</v>
      </c>
    </row>
    <row r="155" spans="1:4" x14ac:dyDescent="0.3">
      <c r="A155">
        <v>45000</v>
      </c>
      <c r="B155" s="29">
        <f t="shared" si="11"/>
        <v>319214092.50860637</v>
      </c>
      <c r="C155" s="39">
        <f t="shared" si="12"/>
        <v>346500000</v>
      </c>
      <c r="D155" s="76">
        <f t="shared" si="13"/>
        <v>27285907.491393626</v>
      </c>
    </row>
    <row r="156" spans="1:4" x14ac:dyDescent="0.3">
      <c r="A156">
        <v>45500</v>
      </c>
      <c r="B156" s="29">
        <f t="shared" si="11"/>
        <v>322408600.19926637</v>
      </c>
      <c r="C156" s="39">
        <f t="shared" si="12"/>
        <v>350350000</v>
      </c>
      <c r="D156" s="76">
        <f t="shared" si="13"/>
        <v>27941399.800733626</v>
      </c>
    </row>
    <row r="157" spans="1:4" x14ac:dyDescent="0.3">
      <c r="A157">
        <v>46000</v>
      </c>
      <c r="B157" s="29">
        <f t="shared" si="11"/>
        <v>325603107.88992637</v>
      </c>
      <c r="C157" s="39">
        <f t="shared" si="12"/>
        <v>354200000</v>
      </c>
      <c r="D157" s="76">
        <f t="shared" si="13"/>
        <v>28596892.110073626</v>
      </c>
    </row>
    <row r="158" spans="1:4" x14ac:dyDescent="0.3">
      <c r="A158">
        <v>46500</v>
      </c>
      <c r="B158" s="29">
        <f t="shared" si="11"/>
        <v>328797615.58058637</v>
      </c>
      <c r="C158" s="39">
        <f t="shared" si="12"/>
        <v>358050000</v>
      </c>
      <c r="D158" s="76">
        <f t="shared" si="13"/>
        <v>29252384.419413626</v>
      </c>
    </row>
    <row r="159" spans="1:4" x14ac:dyDescent="0.3">
      <c r="A159">
        <v>47000</v>
      </c>
      <c r="B159" s="29">
        <f t="shared" si="11"/>
        <v>331992123.27124637</v>
      </c>
      <c r="C159" s="39">
        <f t="shared" si="12"/>
        <v>361900000</v>
      </c>
      <c r="D159" s="76">
        <f t="shared" si="13"/>
        <v>29907876.728753626</v>
      </c>
    </row>
    <row r="160" spans="1:4" x14ac:dyDescent="0.3">
      <c r="A160">
        <v>47500</v>
      </c>
      <c r="B160" s="29">
        <f t="shared" si="11"/>
        <v>335186630.96190637</v>
      </c>
      <c r="C160" s="39">
        <f t="shared" si="12"/>
        <v>365750000</v>
      </c>
      <c r="D160" s="76">
        <f t="shared" si="13"/>
        <v>30563369.038093626</v>
      </c>
    </row>
    <row r="161" spans="1:4" x14ac:dyDescent="0.3">
      <c r="A161">
        <v>48000</v>
      </c>
      <c r="B161" s="29">
        <f t="shared" si="11"/>
        <v>338381138.65256637</v>
      </c>
      <c r="C161" s="39">
        <f t="shared" si="12"/>
        <v>369600000</v>
      </c>
      <c r="D161" s="76">
        <f t="shared" si="13"/>
        <v>31218861.347433627</v>
      </c>
    </row>
    <row r="162" spans="1:4" x14ac:dyDescent="0.3">
      <c r="A162">
        <v>48500</v>
      </c>
      <c r="B162" s="29">
        <f t="shared" si="11"/>
        <v>341575646.34322637</v>
      </c>
      <c r="C162" s="39">
        <f t="shared" si="12"/>
        <v>373450000</v>
      </c>
      <c r="D162" s="76">
        <f t="shared" si="13"/>
        <v>31874353.656773627</v>
      </c>
    </row>
    <row r="163" spans="1:4" x14ac:dyDescent="0.3">
      <c r="A163">
        <v>49000</v>
      </c>
      <c r="B163" s="29">
        <f t="shared" si="11"/>
        <v>344770154.03388637</v>
      </c>
      <c r="C163" s="39">
        <f t="shared" si="12"/>
        <v>377300000</v>
      </c>
      <c r="D163" s="76">
        <f t="shared" si="13"/>
        <v>32529845.966113627</v>
      </c>
    </row>
    <row r="164" spans="1:4" x14ac:dyDescent="0.3">
      <c r="A164">
        <v>49500</v>
      </c>
      <c r="B164" s="29">
        <f t="shared" si="11"/>
        <v>347964661.72454637</v>
      </c>
      <c r="C164" s="39">
        <f t="shared" si="12"/>
        <v>381150000</v>
      </c>
      <c r="D164" s="76">
        <f t="shared" si="13"/>
        <v>33185338.275453627</v>
      </c>
    </row>
    <row r="165" spans="1:4" x14ac:dyDescent="0.3">
      <c r="A165">
        <v>50000</v>
      </c>
      <c r="B165" s="29">
        <f t="shared" si="11"/>
        <v>351159169.41520637</v>
      </c>
      <c r="C165" s="39">
        <f t="shared" si="12"/>
        <v>385000000</v>
      </c>
      <c r="D165" s="76">
        <f t="shared" si="13"/>
        <v>33840830.584793627</v>
      </c>
    </row>
    <row r="166" spans="1:4" x14ac:dyDescent="0.3">
      <c r="A166">
        <v>50500</v>
      </c>
      <c r="B166" s="29">
        <f t="shared" si="11"/>
        <v>354353677.10586637</v>
      </c>
      <c r="C166" s="39">
        <f t="shared" si="12"/>
        <v>388850000</v>
      </c>
      <c r="D166" s="76">
        <f t="shared" si="13"/>
        <v>34496322.894133627</v>
      </c>
    </row>
    <row r="167" spans="1:4" x14ac:dyDescent="0.3">
      <c r="A167">
        <v>51000</v>
      </c>
      <c r="B167" s="29">
        <f t="shared" si="11"/>
        <v>357548184.79652637</v>
      </c>
      <c r="C167" s="39">
        <f t="shared" si="12"/>
        <v>392700000</v>
      </c>
      <c r="D167" s="76">
        <f t="shared" si="13"/>
        <v>35151815.203473628</v>
      </c>
    </row>
    <row r="168" spans="1:4" x14ac:dyDescent="0.3">
      <c r="A168">
        <v>51500</v>
      </c>
      <c r="B168" s="29">
        <f t="shared" si="11"/>
        <v>360742692.48718637</v>
      </c>
      <c r="C168" s="39">
        <f t="shared" si="12"/>
        <v>396550000</v>
      </c>
      <c r="D168" s="76">
        <f t="shared" si="13"/>
        <v>35807307.512813628</v>
      </c>
    </row>
    <row r="169" spans="1:4" x14ac:dyDescent="0.3">
      <c r="A169">
        <v>52000</v>
      </c>
      <c r="B169" s="29">
        <f t="shared" si="11"/>
        <v>363937200.17784637</v>
      </c>
      <c r="C169" s="39">
        <f t="shared" si="12"/>
        <v>400400000</v>
      </c>
      <c r="D169" s="76">
        <f t="shared" si="13"/>
        <v>36462799.822153628</v>
      </c>
    </row>
    <row r="170" spans="1:4" x14ac:dyDescent="0.3">
      <c r="A170">
        <v>52500</v>
      </c>
      <c r="B170" s="29">
        <f t="shared" si="11"/>
        <v>367131707.86850637</v>
      </c>
      <c r="C170" s="39">
        <f t="shared" si="12"/>
        <v>404250000</v>
      </c>
      <c r="D170" s="76">
        <f t="shared" si="13"/>
        <v>37118292.131493628</v>
      </c>
    </row>
    <row r="171" spans="1:4" x14ac:dyDescent="0.3">
      <c r="A171">
        <v>53000</v>
      </c>
      <c r="B171" s="29">
        <f t="shared" si="11"/>
        <v>370326215.55916637</v>
      </c>
      <c r="C171" s="39">
        <f t="shared" si="12"/>
        <v>408100000</v>
      </c>
      <c r="D171" s="76">
        <f t="shared" si="13"/>
        <v>37773784.440833628</v>
      </c>
    </row>
    <row r="172" spans="1:4" x14ac:dyDescent="0.3">
      <c r="A172">
        <v>53500</v>
      </c>
      <c r="B172" s="29">
        <f t="shared" si="11"/>
        <v>373520723.24982637</v>
      </c>
      <c r="C172" s="39">
        <f t="shared" si="12"/>
        <v>411950000</v>
      </c>
      <c r="D172" s="76">
        <f t="shared" si="13"/>
        <v>38429276.750173628</v>
      </c>
    </row>
    <row r="173" spans="1:4" x14ac:dyDescent="0.3">
      <c r="A173">
        <v>54000</v>
      </c>
      <c r="B173" s="29">
        <f t="shared" si="11"/>
        <v>376715230.94048637</v>
      </c>
      <c r="C173" s="39">
        <f t="shared" si="12"/>
        <v>415800000</v>
      </c>
      <c r="D173" s="76">
        <f t="shared" si="13"/>
        <v>39084769.059513628</v>
      </c>
    </row>
    <row r="174" spans="1:4" x14ac:dyDescent="0.3">
      <c r="A174">
        <v>54500</v>
      </c>
      <c r="B174" s="29">
        <f t="shared" si="11"/>
        <v>379909738.63114637</v>
      </c>
      <c r="C174" s="39">
        <f t="shared" si="12"/>
        <v>419650000</v>
      </c>
      <c r="D174" s="76">
        <f t="shared" si="13"/>
        <v>39740261.368853629</v>
      </c>
    </row>
    <row r="175" spans="1:4" x14ac:dyDescent="0.3">
      <c r="A175">
        <v>55000</v>
      </c>
      <c r="B175" s="29">
        <f t="shared" si="11"/>
        <v>383104246.32180637</v>
      </c>
      <c r="C175" s="39">
        <f t="shared" si="12"/>
        <v>423500000</v>
      </c>
      <c r="D175" s="76">
        <f t="shared" si="13"/>
        <v>40395753.678193629</v>
      </c>
    </row>
    <row r="176" spans="1:4" x14ac:dyDescent="0.3">
      <c r="A176">
        <v>55500</v>
      </c>
      <c r="B176" s="29">
        <f t="shared" si="11"/>
        <v>386298754.01246637</v>
      </c>
      <c r="C176" s="39">
        <f t="shared" si="12"/>
        <v>427350000</v>
      </c>
      <c r="D176" s="76">
        <f t="shared" si="13"/>
        <v>41051245.987533629</v>
      </c>
    </row>
    <row r="177" spans="1:4" x14ac:dyDescent="0.3">
      <c r="A177">
        <v>56000</v>
      </c>
      <c r="B177" s="29">
        <f t="shared" si="11"/>
        <v>389493261.70312637</v>
      </c>
      <c r="C177" s="39">
        <f t="shared" si="12"/>
        <v>431200000</v>
      </c>
      <c r="D177" s="76">
        <f t="shared" si="13"/>
        <v>41706738.296873629</v>
      </c>
    </row>
    <row r="178" spans="1:4" x14ac:dyDescent="0.3">
      <c r="A178">
        <v>56500</v>
      </c>
      <c r="B178" s="29">
        <f t="shared" si="11"/>
        <v>392687769.39378637</v>
      </c>
      <c r="C178" s="39">
        <f t="shared" si="12"/>
        <v>435050000</v>
      </c>
      <c r="D178" s="76">
        <f t="shared" si="13"/>
        <v>42362230.606213629</v>
      </c>
    </row>
    <row r="179" spans="1:4" x14ac:dyDescent="0.3">
      <c r="A179">
        <v>57000</v>
      </c>
      <c r="B179" s="29">
        <f t="shared" si="11"/>
        <v>395882277.08444637</v>
      </c>
      <c r="C179" s="39">
        <f t="shared" si="12"/>
        <v>438900000</v>
      </c>
      <c r="D179" s="76">
        <f t="shared" si="13"/>
        <v>43017722.915553629</v>
      </c>
    </row>
    <row r="180" spans="1:4" x14ac:dyDescent="0.3">
      <c r="A180">
        <v>57500</v>
      </c>
      <c r="B180" s="29">
        <f t="shared" si="11"/>
        <v>399076784.77510637</v>
      </c>
      <c r="C180" s="39">
        <f t="shared" si="12"/>
        <v>442750000</v>
      </c>
      <c r="D180" s="76">
        <f t="shared" si="13"/>
        <v>43673215.22489363</v>
      </c>
    </row>
    <row r="181" spans="1:4" x14ac:dyDescent="0.3">
      <c r="A181">
        <v>58000</v>
      </c>
      <c r="B181" s="29">
        <f t="shared" si="11"/>
        <v>402271292.46576637</v>
      </c>
      <c r="C181" s="39">
        <f t="shared" si="12"/>
        <v>446600000</v>
      </c>
      <c r="D181" s="76">
        <f t="shared" si="13"/>
        <v>44328707.53423363</v>
      </c>
    </row>
    <row r="182" spans="1:4" x14ac:dyDescent="0.3">
      <c r="A182">
        <v>58500</v>
      </c>
      <c r="B182" s="29">
        <f t="shared" si="11"/>
        <v>405465800.15642637</v>
      </c>
      <c r="C182" s="39">
        <f t="shared" si="12"/>
        <v>450450000</v>
      </c>
      <c r="D182" s="76">
        <f t="shared" si="13"/>
        <v>44984199.84357363</v>
      </c>
    </row>
    <row r="183" spans="1:4" x14ac:dyDescent="0.3">
      <c r="A183">
        <v>59000</v>
      </c>
      <c r="B183" s="29">
        <f t="shared" si="11"/>
        <v>408660307.84708637</v>
      </c>
      <c r="C183" s="39">
        <f t="shared" si="12"/>
        <v>454300000</v>
      </c>
      <c r="D183" s="76">
        <f t="shared" si="13"/>
        <v>45639692.15291363</v>
      </c>
    </row>
    <row r="184" spans="1:4" x14ac:dyDescent="0.3">
      <c r="A184">
        <v>59500</v>
      </c>
      <c r="B184" s="29">
        <f t="shared" si="11"/>
        <v>411854815.53774637</v>
      </c>
      <c r="C184" s="39">
        <f t="shared" si="12"/>
        <v>458150000</v>
      </c>
      <c r="D184" s="76">
        <f t="shared" si="13"/>
        <v>46295184.46225363</v>
      </c>
    </row>
    <row r="185" spans="1:4" x14ac:dyDescent="0.3">
      <c r="A185">
        <v>60000</v>
      </c>
      <c r="B185" s="29">
        <f t="shared" si="11"/>
        <v>415049323.22840637</v>
      </c>
      <c r="C185" s="39">
        <f t="shared" si="12"/>
        <v>462000000</v>
      </c>
      <c r="D185" s="76">
        <f t="shared" si="13"/>
        <v>46950676.77159363</v>
      </c>
    </row>
    <row r="186" spans="1:4" x14ac:dyDescent="0.3">
      <c r="A186">
        <v>60500</v>
      </c>
      <c r="B186" s="29">
        <f t="shared" si="11"/>
        <v>418243830.91906637</v>
      </c>
      <c r="C186" s="39">
        <f t="shared" si="12"/>
        <v>465850000</v>
      </c>
      <c r="D186" s="76">
        <f t="shared" si="13"/>
        <v>47606169.08093363</v>
      </c>
    </row>
    <row r="187" spans="1:4" x14ac:dyDescent="0.3">
      <c r="A187">
        <v>61000</v>
      </c>
      <c r="B187" s="29">
        <f t="shared" si="11"/>
        <v>421438338.60972637</v>
      </c>
      <c r="C187" s="39">
        <f t="shared" si="12"/>
        <v>469700000</v>
      </c>
      <c r="D187" s="76">
        <f t="shared" si="13"/>
        <v>48261661.390273631</v>
      </c>
    </row>
    <row r="188" spans="1:4" x14ac:dyDescent="0.3">
      <c r="A188">
        <v>61500</v>
      </c>
      <c r="B188" s="29">
        <f t="shared" si="11"/>
        <v>424632846.30038637</v>
      </c>
      <c r="C188" s="39">
        <f t="shared" si="12"/>
        <v>473550000</v>
      </c>
      <c r="D188" s="76">
        <f t="shared" si="13"/>
        <v>48917153.699613631</v>
      </c>
    </row>
    <row r="189" spans="1:4" x14ac:dyDescent="0.3">
      <c r="A189">
        <v>62000</v>
      </c>
      <c r="B189" s="29">
        <f t="shared" si="11"/>
        <v>427827353.99104637</v>
      </c>
      <c r="C189" s="39">
        <f t="shared" si="12"/>
        <v>477400000</v>
      </c>
      <c r="D189" s="76">
        <f t="shared" si="13"/>
        <v>49572646.008953631</v>
      </c>
    </row>
    <row r="190" spans="1:4" x14ac:dyDescent="0.3">
      <c r="A190">
        <v>62500</v>
      </c>
      <c r="B190" s="29">
        <f t="shared" si="11"/>
        <v>431021861.68170637</v>
      </c>
      <c r="C190" s="39">
        <f t="shared" si="12"/>
        <v>481250000</v>
      </c>
      <c r="D190" s="76">
        <f t="shared" si="13"/>
        <v>50228138.318293631</v>
      </c>
    </row>
    <row r="191" spans="1:4" x14ac:dyDescent="0.3">
      <c r="A191">
        <v>63000</v>
      </c>
      <c r="B191" s="29">
        <f t="shared" si="11"/>
        <v>434216369.37236637</v>
      </c>
      <c r="C191" s="39">
        <f t="shared" si="12"/>
        <v>485100000</v>
      </c>
      <c r="D191" s="76">
        <f t="shared" si="13"/>
        <v>50883630.627633631</v>
      </c>
    </row>
    <row r="192" spans="1:4" x14ac:dyDescent="0.3">
      <c r="A192">
        <v>63500</v>
      </c>
      <c r="B192" s="29">
        <f t="shared" si="11"/>
        <v>437410877.06302637</v>
      </c>
      <c r="C192" s="39">
        <f t="shared" si="12"/>
        <v>488950000</v>
      </c>
      <c r="D192" s="76">
        <f t="shared" si="13"/>
        <v>51539122.936973631</v>
      </c>
    </row>
    <row r="193" spans="1:4" x14ac:dyDescent="0.3">
      <c r="A193">
        <v>64000</v>
      </c>
      <c r="B193" s="29">
        <f t="shared" si="11"/>
        <v>440605384.75368637</v>
      </c>
      <c r="C193" s="39">
        <f t="shared" si="12"/>
        <v>492800000</v>
      </c>
      <c r="D193" s="76">
        <f t="shared" si="13"/>
        <v>52194615.246313632</v>
      </c>
    </row>
    <row r="194" spans="1:4" x14ac:dyDescent="0.3">
      <c r="A194">
        <v>64500</v>
      </c>
      <c r="B194" s="29">
        <f t="shared" ref="B194:B257" si="14">$B$54+($B$60*A194)</f>
        <v>443799892.44434637</v>
      </c>
      <c r="C194" s="39">
        <f t="shared" ref="C194:C257" si="15">$E$50*A194</f>
        <v>496650000</v>
      </c>
      <c r="D194" s="76">
        <f t="shared" ref="D194:D257" si="16">C194-B194</f>
        <v>52850107.555653632</v>
      </c>
    </row>
    <row r="195" spans="1:4" x14ac:dyDescent="0.3">
      <c r="A195">
        <v>65000</v>
      </c>
      <c r="B195" s="29">
        <f t="shared" si="14"/>
        <v>446994400.13500637</v>
      </c>
      <c r="C195" s="39">
        <f t="shared" si="15"/>
        <v>500500000</v>
      </c>
      <c r="D195" s="76">
        <f t="shared" si="16"/>
        <v>53505599.864993632</v>
      </c>
    </row>
    <row r="196" spans="1:4" x14ac:dyDescent="0.3">
      <c r="A196">
        <v>65500</v>
      </c>
      <c r="B196" s="29">
        <f t="shared" si="14"/>
        <v>450188907.82566637</v>
      </c>
      <c r="C196" s="39">
        <f t="shared" si="15"/>
        <v>504350000</v>
      </c>
      <c r="D196" s="76">
        <f t="shared" si="16"/>
        <v>54161092.174333632</v>
      </c>
    </row>
    <row r="197" spans="1:4" x14ac:dyDescent="0.3">
      <c r="A197">
        <v>66000</v>
      </c>
      <c r="B197" s="29">
        <f t="shared" si="14"/>
        <v>453383415.51632637</v>
      </c>
      <c r="C197" s="39">
        <f t="shared" si="15"/>
        <v>508200000</v>
      </c>
      <c r="D197" s="76">
        <f t="shared" si="16"/>
        <v>54816584.483673632</v>
      </c>
    </row>
    <row r="198" spans="1:4" x14ac:dyDescent="0.3">
      <c r="A198">
        <v>66500</v>
      </c>
      <c r="B198" s="29">
        <f t="shared" si="14"/>
        <v>456577923.20698637</v>
      </c>
      <c r="C198" s="39">
        <f t="shared" si="15"/>
        <v>512050000</v>
      </c>
      <c r="D198" s="76">
        <f t="shared" si="16"/>
        <v>55472076.793013632</v>
      </c>
    </row>
    <row r="199" spans="1:4" x14ac:dyDescent="0.3">
      <c r="A199">
        <v>67000</v>
      </c>
      <c r="B199" s="29">
        <f t="shared" si="14"/>
        <v>459772430.89764637</v>
      </c>
      <c r="C199" s="39">
        <f t="shared" si="15"/>
        <v>515900000</v>
      </c>
      <c r="D199" s="76">
        <f t="shared" si="16"/>
        <v>56127569.102353632</v>
      </c>
    </row>
    <row r="200" spans="1:4" x14ac:dyDescent="0.3">
      <c r="A200">
        <v>67500</v>
      </c>
      <c r="B200" s="29">
        <f t="shared" si="14"/>
        <v>462966938.58830637</v>
      </c>
      <c r="C200" s="39">
        <f t="shared" si="15"/>
        <v>519750000</v>
      </c>
      <c r="D200" s="76">
        <f t="shared" si="16"/>
        <v>56783061.411693633</v>
      </c>
    </row>
    <row r="201" spans="1:4" x14ac:dyDescent="0.3">
      <c r="A201">
        <v>68000</v>
      </c>
      <c r="B201" s="29">
        <f t="shared" si="14"/>
        <v>466161446.27896637</v>
      </c>
      <c r="C201" s="39">
        <f t="shared" si="15"/>
        <v>523600000</v>
      </c>
      <c r="D201" s="76">
        <f t="shared" si="16"/>
        <v>57438553.721033633</v>
      </c>
    </row>
    <row r="202" spans="1:4" x14ac:dyDescent="0.3">
      <c r="A202">
        <v>68500</v>
      </c>
      <c r="B202" s="29">
        <f t="shared" si="14"/>
        <v>469355953.96962637</v>
      </c>
      <c r="C202" s="39">
        <f t="shared" si="15"/>
        <v>527450000</v>
      </c>
      <c r="D202" s="76">
        <f t="shared" si="16"/>
        <v>58094046.030373633</v>
      </c>
    </row>
    <row r="203" spans="1:4" x14ac:dyDescent="0.3">
      <c r="A203">
        <v>69000</v>
      </c>
      <c r="B203" s="29">
        <f t="shared" si="14"/>
        <v>472550461.66028637</v>
      </c>
      <c r="C203" s="39">
        <f t="shared" si="15"/>
        <v>531300000</v>
      </c>
      <c r="D203" s="76">
        <f t="shared" si="16"/>
        <v>58749538.339713633</v>
      </c>
    </row>
    <row r="204" spans="1:4" x14ac:dyDescent="0.3">
      <c r="A204">
        <v>69500</v>
      </c>
      <c r="B204" s="29">
        <f t="shared" si="14"/>
        <v>475744969.35094637</v>
      </c>
      <c r="C204" s="39">
        <f t="shared" si="15"/>
        <v>535150000</v>
      </c>
      <c r="D204" s="76">
        <f t="shared" si="16"/>
        <v>59405030.649053633</v>
      </c>
    </row>
    <row r="205" spans="1:4" x14ac:dyDescent="0.3">
      <c r="A205">
        <v>70000</v>
      </c>
      <c r="B205" s="29">
        <f t="shared" si="14"/>
        <v>478939477.04160637</v>
      </c>
      <c r="C205" s="39">
        <f t="shared" si="15"/>
        <v>539000000</v>
      </c>
      <c r="D205" s="76">
        <f t="shared" si="16"/>
        <v>60060522.958393633</v>
      </c>
    </row>
    <row r="206" spans="1:4" x14ac:dyDescent="0.3">
      <c r="A206">
        <v>70500</v>
      </c>
      <c r="B206" s="29">
        <f t="shared" si="14"/>
        <v>482133984.73226637</v>
      </c>
      <c r="C206" s="39">
        <f t="shared" si="15"/>
        <v>542850000</v>
      </c>
      <c r="D206" s="76">
        <f t="shared" si="16"/>
        <v>60716015.267733634</v>
      </c>
    </row>
    <row r="207" spans="1:4" x14ac:dyDescent="0.3">
      <c r="A207">
        <v>71000</v>
      </c>
      <c r="B207" s="29">
        <f t="shared" si="14"/>
        <v>485328492.42292637</v>
      </c>
      <c r="C207" s="39">
        <f t="shared" si="15"/>
        <v>546700000</v>
      </c>
      <c r="D207" s="76">
        <f t="shared" si="16"/>
        <v>61371507.577073634</v>
      </c>
    </row>
    <row r="208" spans="1:4" x14ac:dyDescent="0.3">
      <c r="A208">
        <v>71500</v>
      </c>
      <c r="B208" s="29">
        <f t="shared" si="14"/>
        <v>488523000.11358637</v>
      </c>
      <c r="C208" s="39">
        <f t="shared" si="15"/>
        <v>550550000</v>
      </c>
      <c r="D208" s="76">
        <f t="shared" si="16"/>
        <v>62026999.886413634</v>
      </c>
    </row>
    <row r="209" spans="1:4" x14ac:dyDescent="0.3">
      <c r="A209">
        <v>72000</v>
      </c>
      <c r="B209" s="29">
        <f t="shared" si="14"/>
        <v>491717507.80424637</v>
      </c>
      <c r="C209" s="39">
        <f t="shared" si="15"/>
        <v>554400000</v>
      </c>
      <c r="D209" s="76">
        <f t="shared" si="16"/>
        <v>62682492.195753634</v>
      </c>
    </row>
    <row r="210" spans="1:4" x14ac:dyDescent="0.3">
      <c r="A210">
        <v>72500</v>
      </c>
      <c r="B210" s="29">
        <f t="shared" si="14"/>
        <v>494912015.49490637</v>
      </c>
      <c r="C210" s="39">
        <f t="shared" si="15"/>
        <v>558250000</v>
      </c>
      <c r="D210" s="76">
        <f t="shared" si="16"/>
        <v>63337984.505093634</v>
      </c>
    </row>
    <row r="211" spans="1:4" x14ac:dyDescent="0.3">
      <c r="A211">
        <v>73000</v>
      </c>
      <c r="B211" s="29">
        <f t="shared" si="14"/>
        <v>498106523.18556637</v>
      </c>
      <c r="C211" s="39">
        <f t="shared" si="15"/>
        <v>562100000</v>
      </c>
      <c r="D211" s="76">
        <f t="shared" si="16"/>
        <v>63993476.814433634</v>
      </c>
    </row>
    <row r="212" spans="1:4" x14ac:dyDescent="0.3">
      <c r="A212">
        <v>73500</v>
      </c>
      <c r="B212" s="29">
        <f t="shared" si="14"/>
        <v>501301030.87622637</v>
      </c>
      <c r="C212" s="39">
        <f t="shared" si="15"/>
        <v>565950000</v>
      </c>
      <c r="D212" s="76">
        <f t="shared" si="16"/>
        <v>64648969.123773634</v>
      </c>
    </row>
    <row r="213" spans="1:4" x14ac:dyDescent="0.3">
      <c r="A213">
        <v>74000</v>
      </c>
      <c r="B213" s="29">
        <f t="shared" si="14"/>
        <v>504495538.56688637</v>
      </c>
      <c r="C213" s="39">
        <f t="shared" si="15"/>
        <v>569800000</v>
      </c>
      <c r="D213" s="76">
        <f t="shared" si="16"/>
        <v>65304461.433113635</v>
      </c>
    </row>
    <row r="214" spans="1:4" x14ac:dyDescent="0.3">
      <c r="A214">
        <v>74500</v>
      </c>
      <c r="B214" s="29">
        <f t="shared" si="14"/>
        <v>507690046.25754637</v>
      </c>
      <c r="C214" s="39">
        <f t="shared" si="15"/>
        <v>573650000</v>
      </c>
      <c r="D214" s="76">
        <f t="shared" si="16"/>
        <v>65959953.742453635</v>
      </c>
    </row>
    <row r="215" spans="1:4" x14ac:dyDescent="0.3">
      <c r="A215">
        <v>75000</v>
      </c>
      <c r="B215" s="29">
        <f t="shared" si="14"/>
        <v>510884553.94820637</v>
      </c>
      <c r="C215" s="39">
        <f t="shared" si="15"/>
        <v>577500000</v>
      </c>
      <c r="D215" s="76">
        <f t="shared" si="16"/>
        <v>66615446.051793635</v>
      </c>
    </row>
    <row r="216" spans="1:4" x14ac:dyDescent="0.3">
      <c r="A216">
        <v>75500</v>
      </c>
      <c r="B216" s="29">
        <f t="shared" si="14"/>
        <v>514079061.63886636</v>
      </c>
      <c r="C216" s="39">
        <f t="shared" si="15"/>
        <v>581350000</v>
      </c>
      <c r="D216" s="76">
        <f t="shared" si="16"/>
        <v>67270938.361133635</v>
      </c>
    </row>
    <row r="217" spans="1:4" x14ac:dyDescent="0.3">
      <c r="A217">
        <v>76000</v>
      </c>
      <c r="B217" s="29">
        <f t="shared" si="14"/>
        <v>517273569.32952636</v>
      </c>
      <c r="C217" s="39">
        <f t="shared" si="15"/>
        <v>585200000</v>
      </c>
      <c r="D217" s="76">
        <f t="shared" si="16"/>
        <v>67926430.670473635</v>
      </c>
    </row>
    <row r="218" spans="1:4" x14ac:dyDescent="0.3">
      <c r="A218">
        <v>76500</v>
      </c>
      <c r="B218" s="29">
        <f t="shared" si="14"/>
        <v>520468077.02018636</v>
      </c>
      <c r="C218" s="39">
        <f t="shared" si="15"/>
        <v>589050000</v>
      </c>
      <c r="D218" s="76">
        <f t="shared" si="16"/>
        <v>68581922.979813635</v>
      </c>
    </row>
    <row r="219" spans="1:4" x14ac:dyDescent="0.3">
      <c r="A219">
        <v>77000</v>
      </c>
      <c r="B219" s="29">
        <f t="shared" si="14"/>
        <v>523662584.71084636</v>
      </c>
      <c r="C219" s="39">
        <f t="shared" si="15"/>
        <v>592900000</v>
      </c>
      <c r="D219" s="76">
        <f t="shared" si="16"/>
        <v>69237415.289153636</v>
      </c>
    </row>
    <row r="220" spans="1:4" x14ac:dyDescent="0.3">
      <c r="A220">
        <v>77500</v>
      </c>
      <c r="B220" s="29">
        <f t="shared" si="14"/>
        <v>526857092.40150636</v>
      </c>
      <c r="C220" s="39">
        <f t="shared" si="15"/>
        <v>596750000</v>
      </c>
      <c r="D220" s="76">
        <f t="shared" si="16"/>
        <v>69892907.598493636</v>
      </c>
    </row>
    <row r="221" spans="1:4" x14ac:dyDescent="0.3">
      <c r="A221">
        <v>78000</v>
      </c>
      <c r="B221" s="29">
        <f t="shared" si="14"/>
        <v>530051600.09216636</v>
      </c>
      <c r="C221" s="39">
        <f t="shared" si="15"/>
        <v>600600000</v>
      </c>
      <c r="D221" s="76">
        <f t="shared" si="16"/>
        <v>70548399.907833636</v>
      </c>
    </row>
    <row r="222" spans="1:4" x14ac:dyDescent="0.3">
      <c r="A222">
        <v>78500</v>
      </c>
      <c r="B222" s="29">
        <f t="shared" si="14"/>
        <v>533246107.78282636</v>
      </c>
      <c r="C222" s="39">
        <f t="shared" si="15"/>
        <v>604450000</v>
      </c>
      <c r="D222" s="76">
        <f t="shared" si="16"/>
        <v>71203892.217173636</v>
      </c>
    </row>
    <row r="223" spans="1:4" x14ac:dyDescent="0.3">
      <c r="A223">
        <v>79000</v>
      </c>
      <c r="B223" s="29">
        <f t="shared" si="14"/>
        <v>536440615.47348636</v>
      </c>
      <c r="C223" s="39">
        <f t="shared" si="15"/>
        <v>608300000</v>
      </c>
      <c r="D223" s="76">
        <f t="shared" si="16"/>
        <v>71859384.526513636</v>
      </c>
    </row>
    <row r="224" spans="1:4" x14ac:dyDescent="0.3">
      <c r="A224">
        <v>79500</v>
      </c>
      <c r="B224" s="29">
        <f t="shared" si="14"/>
        <v>539635123.16414642</v>
      </c>
      <c r="C224" s="39">
        <f t="shared" si="15"/>
        <v>612150000</v>
      </c>
      <c r="D224" s="76">
        <f t="shared" si="16"/>
        <v>72514876.835853577</v>
      </c>
    </row>
    <row r="225" spans="1:4" x14ac:dyDescent="0.3">
      <c r="A225">
        <v>80000</v>
      </c>
      <c r="B225" s="29">
        <f t="shared" si="14"/>
        <v>542829630.85480642</v>
      </c>
      <c r="C225" s="39">
        <f t="shared" si="15"/>
        <v>616000000</v>
      </c>
      <c r="D225" s="76">
        <f t="shared" si="16"/>
        <v>73170369.145193577</v>
      </c>
    </row>
    <row r="226" spans="1:4" x14ac:dyDescent="0.3">
      <c r="A226">
        <v>80500</v>
      </c>
      <c r="B226" s="29">
        <f t="shared" si="14"/>
        <v>546024138.54546642</v>
      </c>
      <c r="C226" s="39">
        <f t="shared" si="15"/>
        <v>619850000</v>
      </c>
      <c r="D226" s="76">
        <f t="shared" si="16"/>
        <v>73825861.454533577</v>
      </c>
    </row>
    <row r="227" spans="1:4" x14ac:dyDescent="0.3">
      <c r="A227">
        <v>81000</v>
      </c>
      <c r="B227" s="29">
        <f t="shared" si="14"/>
        <v>549218646.23612642</v>
      </c>
      <c r="C227" s="39">
        <f t="shared" si="15"/>
        <v>623700000</v>
      </c>
      <c r="D227" s="76">
        <f t="shared" si="16"/>
        <v>74481353.763873577</v>
      </c>
    </row>
    <row r="228" spans="1:4" x14ac:dyDescent="0.3">
      <c r="A228">
        <v>81500</v>
      </c>
      <c r="B228" s="29">
        <f t="shared" si="14"/>
        <v>552413153.92678642</v>
      </c>
      <c r="C228" s="39">
        <f t="shared" si="15"/>
        <v>627550000</v>
      </c>
      <c r="D228" s="76">
        <f t="shared" si="16"/>
        <v>75136846.073213577</v>
      </c>
    </row>
    <row r="229" spans="1:4" x14ac:dyDescent="0.3">
      <c r="A229">
        <v>82000</v>
      </c>
      <c r="B229" s="29">
        <f t="shared" si="14"/>
        <v>555607661.61744642</v>
      </c>
      <c r="C229" s="39">
        <f t="shared" si="15"/>
        <v>631400000</v>
      </c>
      <c r="D229" s="76">
        <f t="shared" si="16"/>
        <v>75792338.382553577</v>
      </c>
    </row>
    <row r="230" spans="1:4" x14ac:dyDescent="0.3">
      <c r="A230">
        <v>82500</v>
      </c>
      <c r="B230" s="29">
        <f t="shared" si="14"/>
        <v>558802169.30810642</v>
      </c>
      <c r="C230" s="39">
        <f t="shared" si="15"/>
        <v>635250000</v>
      </c>
      <c r="D230" s="76">
        <f t="shared" si="16"/>
        <v>76447830.691893578</v>
      </c>
    </row>
    <row r="231" spans="1:4" x14ac:dyDescent="0.3">
      <c r="A231">
        <v>83000</v>
      </c>
      <c r="B231" s="29">
        <f t="shared" si="14"/>
        <v>561996676.99876642</v>
      </c>
      <c r="C231" s="39">
        <f t="shared" si="15"/>
        <v>639100000</v>
      </c>
      <c r="D231" s="76">
        <f t="shared" si="16"/>
        <v>77103323.001233578</v>
      </c>
    </row>
    <row r="232" spans="1:4" x14ac:dyDescent="0.3">
      <c r="A232">
        <v>83500</v>
      </c>
      <c r="B232" s="29">
        <f t="shared" si="14"/>
        <v>565191184.68942642</v>
      </c>
      <c r="C232" s="39">
        <f t="shared" si="15"/>
        <v>642950000</v>
      </c>
      <c r="D232" s="76">
        <f t="shared" si="16"/>
        <v>77758815.310573578</v>
      </c>
    </row>
    <row r="233" spans="1:4" x14ac:dyDescent="0.3">
      <c r="A233">
        <v>84000</v>
      </c>
      <c r="B233" s="29">
        <f t="shared" si="14"/>
        <v>568385692.38008642</v>
      </c>
      <c r="C233" s="39">
        <f t="shared" si="15"/>
        <v>646800000</v>
      </c>
      <c r="D233" s="76">
        <f t="shared" si="16"/>
        <v>78414307.619913578</v>
      </c>
    </row>
    <row r="234" spans="1:4" x14ac:dyDescent="0.3">
      <c r="A234">
        <v>84500</v>
      </c>
      <c r="B234" s="29">
        <f t="shared" si="14"/>
        <v>571580200.07074642</v>
      </c>
      <c r="C234" s="39">
        <f t="shared" si="15"/>
        <v>650650000</v>
      </c>
      <c r="D234" s="76">
        <f t="shared" si="16"/>
        <v>79069799.929253578</v>
      </c>
    </row>
    <row r="235" spans="1:4" x14ac:dyDescent="0.3">
      <c r="A235">
        <v>85000</v>
      </c>
      <c r="B235" s="29">
        <f t="shared" si="14"/>
        <v>574774707.76140642</v>
      </c>
      <c r="C235" s="39">
        <f t="shared" si="15"/>
        <v>654500000</v>
      </c>
      <c r="D235" s="76">
        <f t="shared" si="16"/>
        <v>79725292.238593578</v>
      </c>
    </row>
    <row r="236" spans="1:4" x14ac:dyDescent="0.3">
      <c r="A236">
        <v>85500</v>
      </c>
      <c r="B236" s="29">
        <f t="shared" si="14"/>
        <v>577969215.45206642</v>
      </c>
      <c r="C236" s="39">
        <f t="shared" si="15"/>
        <v>658350000</v>
      </c>
      <c r="D236" s="76">
        <f t="shared" si="16"/>
        <v>80380784.547933578</v>
      </c>
    </row>
    <row r="237" spans="1:4" x14ac:dyDescent="0.3">
      <c r="A237">
        <v>86000</v>
      </c>
      <c r="B237" s="29">
        <f t="shared" si="14"/>
        <v>581163723.14272642</v>
      </c>
      <c r="C237" s="39">
        <f t="shared" si="15"/>
        <v>662200000</v>
      </c>
      <c r="D237" s="76">
        <f t="shared" si="16"/>
        <v>81036276.857273579</v>
      </c>
    </row>
    <row r="238" spans="1:4" x14ac:dyDescent="0.3">
      <c r="A238">
        <v>86500</v>
      </c>
      <c r="B238" s="29">
        <f t="shared" si="14"/>
        <v>584358230.83338642</v>
      </c>
      <c r="C238" s="39">
        <f t="shared" si="15"/>
        <v>666050000</v>
      </c>
      <c r="D238" s="76">
        <f t="shared" si="16"/>
        <v>81691769.166613579</v>
      </c>
    </row>
    <row r="239" spans="1:4" x14ac:dyDescent="0.3">
      <c r="A239">
        <v>87000</v>
      </c>
      <c r="B239" s="29">
        <f t="shared" si="14"/>
        <v>587552738.52404642</v>
      </c>
      <c r="C239" s="39">
        <f t="shared" si="15"/>
        <v>669900000</v>
      </c>
      <c r="D239" s="76">
        <f t="shared" si="16"/>
        <v>82347261.475953579</v>
      </c>
    </row>
    <row r="240" spans="1:4" x14ac:dyDescent="0.3">
      <c r="A240">
        <v>87500</v>
      </c>
      <c r="B240" s="29">
        <f t="shared" si="14"/>
        <v>590747246.21470642</v>
      </c>
      <c r="C240" s="39">
        <f t="shared" si="15"/>
        <v>673750000</v>
      </c>
      <c r="D240" s="76">
        <f t="shared" si="16"/>
        <v>83002753.785293579</v>
      </c>
    </row>
    <row r="241" spans="1:4" x14ac:dyDescent="0.3">
      <c r="A241">
        <v>88000</v>
      </c>
      <c r="B241" s="29">
        <f t="shared" si="14"/>
        <v>593941753.90536642</v>
      </c>
      <c r="C241" s="39">
        <f t="shared" si="15"/>
        <v>677600000</v>
      </c>
      <c r="D241" s="76">
        <f t="shared" si="16"/>
        <v>83658246.094633579</v>
      </c>
    </row>
    <row r="242" spans="1:4" x14ac:dyDescent="0.3">
      <c r="A242">
        <v>88500</v>
      </c>
      <c r="B242" s="29">
        <f t="shared" si="14"/>
        <v>597136261.59602642</v>
      </c>
      <c r="C242" s="39">
        <f t="shared" si="15"/>
        <v>681450000</v>
      </c>
      <c r="D242" s="76">
        <f t="shared" si="16"/>
        <v>84313738.403973579</v>
      </c>
    </row>
    <row r="243" spans="1:4" x14ac:dyDescent="0.3">
      <c r="A243">
        <v>89000</v>
      </c>
      <c r="B243" s="29">
        <f t="shared" si="14"/>
        <v>600330769.28668642</v>
      </c>
      <c r="C243" s="39">
        <f t="shared" si="15"/>
        <v>685300000</v>
      </c>
      <c r="D243" s="76">
        <f t="shared" si="16"/>
        <v>84969230.71331358</v>
      </c>
    </row>
    <row r="244" spans="1:4" x14ac:dyDescent="0.3">
      <c r="A244">
        <v>89500</v>
      </c>
      <c r="B244" s="29">
        <f t="shared" si="14"/>
        <v>603525276.97734642</v>
      </c>
      <c r="C244" s="39">
        <f t="shared" si="15"/>
        <v>689150000</v>
      </c>
      <c r="D244" s="76">
        <f t="shared" si="16"/>
        <v>85624723.02265358</v>
      </c>
    </row>
    <row r="245" spans="1:4" x14ac:dyDescent="0.3">
      <c r="A245">
        <v>90000</v>
      </c>
      <c r="B245" s="29">
        <f t="shared" si="14"/>
        <v>606719784.66800642</v>
      </c>
      <c r="C245" s="39">
        <f t="shared" si="15"/>
        <v>693000000</v>
      </c>
      <c r="D245" s="76">
        <f t="shared" si="16"/>
        <v>86280215.33199358</v>
      </c>
    </row>
    <row r="246" spans="1:4" x14ac:dyDescent="0.3">
      <c r="A246">
        <v>90500</v>
      </c>
      <c r="B246" s="29">
        <f t="shared" si="14"/>
        <v>609914292.35866642</v>
      </c>
      <c r="C246" s="39">
        <f t="shared" si="15"/>
        <v>696850000</v>
      </c>
      <c r="D246" s="76">
        <f t="shared" si="16"/>
        <v>86935707.64133358</v>
      </c>
    </row>
    <row r="247" spans="1:4" x14ac:dyDescent="0.3">
      <c r="A247">
        <v>91000</v>
      </c>
      <c r="B247" s="29">
        <f t="shared" si="14"/>
        <v>613108800.04932642</v>
      </c>
      <c r="C247" s="39">
        <f t="shared" si="15"/>
        <v>700700000</v>
      </c>
      <c r="D247" s="76">
        <f t="shared" si="16"/>
        <v>87591199.95067358</v>
      </c>
    </row>
    <row r="248" spans="1:4" x14ac:dyDescent="0.3">
      <c r="A248">
        <v>91500</v>
      </c>
      <c r="B248" s="29">
        <f t="shared" si="14"/>
        <v>616303307.73998642</v>
      </c>
      <c r="C248" s="39">
        <f t="shared" si="15"/>
        <v>704550000</v>
      </c>
      <c r="D248" s="76">
        <f t="shared" si="16"/>
        <v>88246692.26001358</v>
      </c>
    </row>
    <row r="249" spans="1:4" x14ac:dyDescent="0.3">
      <c r="A249">
        <v>92000</v>
      </c>
      <c r="B249" s="29">
        <f t="shared" si="14"/>
        <v>619497815.43064642</v>
      </c>
      <c r="C249" s="39">
        <f t="shared" si="15"/>
        <v>708400000</v>
      </c>
      <c r="D249" s="76">
        <f t="shared" si="16"/>
        <v>88902184.56935358</v>
      </c>
    </row>
    <row r="250" spans="1:4" x14ac:dyDescent="0.3">
      <c r="A250">
        <v>92500</v>
      </c>
      <c r="B250" s="29">
        <f t="shared" si="14"/>
        <v>622692323.12130642</v>
      </c>
      <c r="C250" s="39">
        <f t="shared" si="15"/>
        <v>712250000</v>
      </c>
      <c r="D250" s="76">
        <f t="shared" si="16"/>
        <v>89557676.878693581</v>
      </c>
    </row>
    <row r="251" spans="1:4" x14ac:dyDescent="0.3">
      <c r="A251">
        <v>93000</v>
      </c>
      <c r="B251" s="29">
        <f t="shared" si="14"/>
        <v>625886830.81196642</v>
      </c>
      <c r="C251" s="39">
        <f t="shared" si="15"/>
        <v>716100000</v>
      </c>
      <c r="D251" s="76">
        <f t="shared" si="16"/>
        <v>90213169.188033581</v>
      </c>
    </row>
    <row r="252" spans="1:4" x14ac:dyDescent="0.3">
      <c r="A252">
        <v>93500</v>
      </c>
      <c r="B252" s="29">
        <f t="shared" si="14"/>
        <v>629081338.50262642</v>
      </c>
      <c r="C252" s="39">
        <f t="shared" si="15"/>
        <v>719950000</v>
      </c>
      <c r="D252" s="76">
        <f t="shared" si="16"/>
        <v>90868661.497373581</v>
      </c>
    </row>
    <row r="253" spans="1:4" x14ac:dyDescent="0.3">
      <c r="A253">
        <v>94000</v>
      </c>
      <c r="B253" s="29">
        <f t="shared" si="14"/>
        <v>632275846.19328642</v>
      </c>
      <c r="C253" s="39">
        <f t="shared" si="15"/>
        <v>723800000</v>
      </c>
      <c r="D253" s="76">
        <f t="shared" si="16"/>
        <v>91524153.806713581</v>
      </c>
    </row>
    <row r="254" spans="1:4" x14ac:dyDescent="0.3">
      <c r="A254">
        <v>94500</v>
      </c>
      <c r="B254" s="29">
        <f t="shared" si="14"/>
        <v>635470353.88394642</v>
      </c>
      <c r="C254" s="39">
        <f t="shared" si="15"/>
        <v>727650000</v>
      </c>
      <c r="D254" s="76">
        <f t="shared" si="16"/>
        <v>92179646.116053581</v>
      </c>
    </row>
    <row r="255" spans="1:4" x14ac:dyDescent="0.3">
      <c r="A255">
        <v>95000</v>
      </c>
      <c r="B255" s="29">
        <f t="shared" si="14"/>
        <v>638664861.57460642</v>
      </c>
      <c r="C255" s="39">
        <f t="shared" si="15"/>
        <v>731500000</v>
      </c>
      <c r="D255" s="76">
        <f t="shared" si="16"/>
        <v>92835138.425393581</v>
      </c>
    </row>
    <row r="256" spans="1:4" x14ac:dyDescent="0.3">
      <c r="A256">
        <v>95500</v>
      </c>
      <c r="B256" s="29">
        <f t="shared" si="14"/>
        <v>641859369.26526642</v>
      </c>
      <c r="C256" s="39">
        <f t="shared" si="15"/>
        <v>735350000</v>
      </c>
      <c r="D256" s="76">
        <f t="shared" si="16"/>
        <v>93490630.734733582</v>
      </c>
    </row>
    <row r="257" spans="1:4" x14ac:dyDescent="0.3">
      <c r="A257">
        <v>96000</v>
      </c>
      <c r="B257" s="29">
        <f t="shared" si="14"/>
        <v>645053876.95592642</v>
      </c>
      <c r="C257" s="39">
        <f t="shared" si="15"/>
        <v>739200000</v>
      </c>
      <c r="D257" s="76">
        <f t="shared" si="16"/>
        <v>94146123.044073582</v>
      </c>
    </row>
    <row r="258" spans="1:4" x14ac:dyDescent="0.3">
      <c r="A258">
        <v>96500</v>
      </c>
      <c r="B258" s="29">
        <f t="shared" ref="B258:B321" si="17">$B$54+($B$60*A258)</f>
        <v>648248384.64658642</v>
      </c>
      <c r="C258" s="39">
        <f t="shared" ref="C258:C321" si="18">$E$50*A258</f>
        <v>743050000</v>
      </c>
      <c r="D258" s="76">
        <f t="shared" ref="D258:D321" si="19">C258-B258</f>
        <v>94801615.353413582</v>
      </c>
    </row>
    <row r="259" spans="1:4" x14ac:dyDescent="0.3">
      <c r="A259">
        <v>97000</v>
      </c>
      <c r="B259" s="29">
        <f t="shared" si="17"/>
        <v>651442892.33724642</v>
      </c>
      <c r="C259" s="39">
        <f t="shared" si="18"/>
        <v>746900000</v>
      </c>
      <c r="D259" s="76">
        <f t="shared" si="19"/>
        <v>95457107.662753582</v>
      </c>
    </row>
    <row r="260" spans="1:4" x14ac:dyDescent="0.3">
      <c r="A260">
        <v>97500</v>
      </c>
      <c r="B260" s="29">
        <f t="shared" si="17"/>
        <v>654637400.02790642</v>
      </c>
      <c r="C260" s="39">
        <f t="shared" si="18"/>
        <v>750750000</v>
      </c>
      <c r="D260" s="76">
        <f t="shared" si="19"/>
        <v>96112599.972093582</v>
      </c>
    </row>
    <row r="261" spans="1:4" x14ac:dyDescent="0.3">
      <c r="A261">
        <v>98000</v>
      </c>
      <c r="B261" s="29">
        <f t="shared" si="17"/>
        <v>657831907.71856642</v>
      </c>
      <c r="C261" s="39">
        <f t="shared" si="18"/>
        <v>754600000</v>
      </c>
      <c r="D261" s="76">
        <f t="shared" si="19"/>
        <v>96768092.281433582</v>
      </c>
    </row>
    <row r="262" spans="1:4" x14ac:dyDescent="0.3">
      <c r="A262">
        <v>98500</v>
      </c>
      <c r="B262" s="29">
        <f t="shared" si="17"/>
        <v>661026415.40922642</v>
      </c>
      <c r="C262" s="39">
        <f t="shared" si="18"/>
        <v>758450000</v>
      </c>
      <c r="D262" s="76">
        <f t="shared" si="19"/>
        <v>97423584.590773582</v>
      </c>
    </row>
    <row r="263" spans="1:4" x14ac:dyDescent="0.3">
      <c r="A263">
        <v>99000</v>
      </c>
      <c r="B263" s="29">
        <f t="shared" si="17"/>
        <v>664220923.09988642</v>
      </c>
      <c r="C263" s="39">
        <f t="shared" si="18"/>
        <v>762300000</v>
      </c>
      <c r="D263" s="76">
        <f t="shared" si="19"/>
        <v>98079076.900113583</v>
      </c>
    </row>
    <row r="264" spans="1:4" x14ac:dyDescent="0.3">
      <c r="A264">
        <v>99500</v>
      </c>
      <c r="B264" s="29">
        <f t="shared" si="17"/>
        <v>667415430.79054642</v>
      </c>
      <c r="C264" s="39">
        <f t="shared" si="18"/>
        <v>766150000</v>
      </c>
      <c r="D264" s="76">
        <f t="shared" si="19"/>
        <v>98734569.209453583</v>
      </c>
    </row>
    <row r="265" spans="1:4" x14ac:dyDescent="0.3">
      <c r="A265">
        <v>100000</v>
      </c>
      <c r="B265" s="29">
        <f t="shared" si="17"/>
        <v>670609938.48120642</v>
      </c>
      <c r="C265" s="39">
        <f t="shared" si="18"/>
        <v>770000000</v>
      </c>
      <c r="D265" s="76">
        <f t="shared" si="19"/>
        <v>99390061.518793583</v>
      </c>
    </row>
    <row r="266" spans="1:4" x14ac:dyDescent="0.3">
      <c r="A266">
        <v>100500</v>
      </c>
      <c r="B266" s="29">
        <f t="shared" si="17"/>
        <v>673804446.17186642</v>
      </c>
      <c r="C266" s="39">
        <f t="shared" si="18"/>
        <v>773850000</v>
      </c>
      <c r="D266" s="76">
        <f t="shared" si="19"/>
        <v>100045553.82813358</v>
      </c>
    </row>
    <row r="267" spans="1:4" x14ac:dyDescent="0.3">
      <c r="A267">
        <v>101000</v>
      </c>
      <c r="B267" s="29">
        <f t="shared" si="17"/>
        <v>676998953.86252642</v>
      </c>
      <c r="C267" s="39">
        <f t="shared" si="18"/>
        <v>777700000</v>
      </c>
      <c r="D267" s="76">
        <f t="shared" si="19"/>
        <v>100701046.13747358</v>
      </c>
    </row>
    <row r="268" spans="1:4" x14ac:dyDescent="0.3">
      <c r="A268">
        <v>101500</v>
      </c>
      <c r="B268" s="29">
        <f t="shared" si="17"/>
        <v>680193461.55318642</v>
      </c>
      <c r="C268" s="39">
        <f t="shared" si="18"/>
        <v>781550000</v>
      </c>
      <c r="D268" s="76">
        <f t="shared" si="19"/>
        <v>101356538.44681358</v>
      </c>
    </row>
    <row r="269" spans="1:4" x14ac:dyDescent="0.3">
      <c r="A269">
        <v>102000</v>
      </c>
      <c r="B269" s="29">
        <f t="shared" si="17"/>
        <v>683387969.24384642</v>
      </c>
      <c r="C269" s="39">
        <f t="shared" si="18"/>
        <v>785400000</v>
      </c>
      <c r="D269" s="76">
        <f t="shared" si="19"/>
        <v>102012030.75615358</v>
      </c>
    </row>
    <row r="270" spans="1:4" x14ac:dyDescent="0.3">
      <c r="A270">
        <v>102500</v>
      </c>
      <c r="B270" s="29">
        <f t="shared" si="17"/>
        <v>686582476.93450642</v>
      </c>
      <c r="C270" s="39">
        <f t="shared" si="18"/>
        <v>789250000</v>
      </c>
      <c r="D270" s="76">
        <f t="shared" si="19"/>
        <v>102667523.06549358</v>
      </c>
    </row>
    <row r="271" spans="1:4" x14ac:dyDescent="0.3">
      <c r="A271">
        <v>103000</v>
      </c>
      <c r="B271" s="29">
        <f t="shared" si="17"/>
        <v>689776984.62516642</v>
      </c>
      <c r="C271" s="39">
        <f t="shared" si="18"/>
        <v>793100000</v>
      </c>
      <c r="D271" s="76">
        <f t="shared" si="19"/>
        <v>103323015.37483358</v>
      </c>
    </row>
    <row r="272" spans="1:4" x14ac:dyDescent="0.3">
      <c r="A272">
        <v>103500</v>
      </c>
      <c r="B272" s="29">
        <f t="shared" si="17"/>
        <v>692971492.31582642</v>
      </c>
      <c r="C272" s="39">
        <f t="shared" si="18"/>
        <v>796950000</v>
      </c>
      <c r="D272" s="76">
        <f t="shared" si="19"/>
        <v>103978507.68417358</v>
      </c>
    </row>
    <row r="273" spans="1:4" x14ac:dyDescent="0.3">
      <c r="A273">
        <v>104000</v>
      </c>
      <c r="B273" s="29">
        <f t="shared" si="17"/>
        <v>696166000.00648642</v>
      </c>
      <c r="C273" s="39">
        <f t="shared" si="18"/>
        <v>800800000</v>
      </c>
      <c r="D273" s="76">
        <f t="shared" si="19"/>
        <v>104633999.99351358</v>
      </c>
    </row>
    <row r="274" spans="1:4" x14ac:dyDescent="0.3">
      <c r="A274">
        <v>104500</v>
      </c>
      <c r="B274" s="29">
        <f t="shared" si="17"/>
        <v>699360507.69714642</v>
      </c>
      <c r="C274" s="39">
        <f t="shared" si="18"/>
        <v>804650000</v>
      </c>
      <c r="D274" s="76">
        <f t="shared" si="19"/>
        <v>105289492.30285358</v>
      </c>
    </row>
    <row r="275" spans="1:4" x14ac:dyDescent="0.3">
      <c r="A275">
        <v>105000</v>
      </c>
      <c r="B275" s="29">
        <f t="shared" si="17"/>
        <v>702555015.38780642</v>
      </c>
      <c r="C275" s="39">
        <f t="shared" si="18"/>
        <v>808500000</v>
      </c>
      <c r="D275" s="76">
        <f t="shared" si="19"/>
        <v>105944984.61219358</v>
      </c>
    </row>
    <row r="276" spans="1:4" x14ac:dyDescent="0.3">
      <c r="A276">
        <v>105500</v>
      </c>
      <c r="B276" s="29">
        <f t="shared" si="17"/>
        <v>705749523.07846642</v>
      </c>
      <c r="C276" s="39">
        <f t="shared" si="18"/>
        <v>812350000</v>
      </c>
      <c r="D276" s="76">
        <f t="shared" si="19"/>
        <v>106600476.92153358</v>
      </c>
    </row>
    <row r="277" spans="1:4" x14ac:dyDescent="0.3">
      <c r="A277">
        <v>106000</v>
      </c>
      <c r="B277" s="29">
        <f t="shared" si="17"/>
        <v>708944030.76912642</v>
      </c>
      <c r="C277" s="39">
        <f t="shared" si="18"/>
        <v>816200000</v>
      </c>
      <c r="D277" s="76">
        <f t="shared" si="19"/>
        <v>107255969.23087358</v>
      </c>
    </row>
    <row r="278" spans="1:4" x14ac:dyDescent="0.3">
      <c r="A278">
        <v>106500</v>
      </c>
      <c r="B278" s="29">
        <f t="shared" si="17"/>
        <v>712138538.45978642</v>
      </c>
      <c r="C278" s="39">
        <f t="shared" si="18"/>
        <v>820050000</v>
      </c>
      <c r="D278" s="76">
        <f t="shared" si="19"/>
        <v>107911461.54021358</v>
      </c>
    </row>
    <row r="279" spans="1:4" x14ac:dyDescent="0.3">
      <c r="A279">
        <v>107000</v>
      </c>
      <c r="B279" s="29">
        <f t="shared" si="17"/>
        <v>715333046.15044641</v>
      </c>
      <c r="C279" s="39">
        <f t="shared" si="18"/>
        <v>823900000</v>
      </c>
      <c r="D279" s="76">
        <f t="shared" si="19"/>
        <v>108566953.84955359</v>
      </c>
    </row>
    <row r="280" spans="1:4" x14ac:dyDescent="0.3">
      <c r="A280">
        <v>107500</v>
      </c>
      <c r="B280" s="29">
        <f t="shared" si="17"/>
        <v>718527553.84110641</v>
      </c>
      <c r="C280" s="39">
        <f t="shared" si="18"/>
        <v>827750000</v>
      </c>
      <c r="D280" s="76">
        <f t="shared" si="19"/>
        <v>109222446.15889359</v>
      </c>
    </row>
    <row r="281" spans="1:4" x14ac:dyDescent="0.3">
      <c r="A281">
        <v>108000</v>
      </c>
      <c r="B281" s="29">
        <f t="shared" si="17"/>
        <v>721722061.53176641</v>
      </c>
      <c r="C281" s="39">
        <f t="shared" si="18"/>
        <v>831600000</v>
      </c>
      <c r="D281" s="76">
        <f t="shared" si="19"/>
        <v>109877938.46823359</v>
      </c>
    </row>
    <row r="282" spans="1:4" x14ac:dyDescent="0.3">
      <c r="A282">
        <v>108500</v>
      </c>
      <c r="B282" s="29">
        <f t="shared" si="17"/>
        <v>724916569.22242641</v>
      </c>
      <c r="C282" s="39">
        <f t="shared" si="18"/>
        <v>835450000</v>
      </c>
      <c r="D282" s="76">
        <f t="shared" si="19"/>
        <v>110533430.77757359</v>
      </c>
    </row>
    <row r="283" spans="1:4" x14ac:dyDescent="0.3">
      <c r="A283">
        <v>109000</v>
      </c>
      <c r="B283" s="29">
        <f t="shared" si="17"/>
        <v>728111076.91308641</v>
      </c>
      <c r="C283" s="39">
        <f t="shared" si="18"/>
        <v>839300000</v>
      </c>
      <c r="D283" s="76">
        <f t="shared" si="19"/>
        <v>111188923.08691359</v>
      </c>
    </row>
    <row r="284" spans="1:4" x14ac:dyDescent="0.3">
      <c r="A284">
        <v>109500</v>
      </c>
      <c r="B284" s="29">
        <f t="shared" si="17"/>
        <v>731305584.60374641</v>
      </c>
      <c r="C284" s="39">
        <f t="shared" si="18"/>
        <v>843150000</v>
      </c>
      <c r="D284" s="76">
        <f t="shared" si="19"/>
        <v>111844415.39625359</v>
      </c>
    </row>
    <row r="285" spans="1:4" x14ac:dyDescent="0.3">
      <c r="A285">
        <v>110000</v>
      </c>
      <c r="B285" s="29">
        <f t="shared" si="17"/>
        <v>734500092.29440641</v>
      </c>
      <c r="C285" s="39">
        <f t="shared" si="18"/>
        <v>847000000</v>
      </c>
      <c r="D285" s="76">
        <f t="shared" si="19"/>
        <v>112499907.70559359</v>
      </c>
    </row>
    <row r="286" spans="1:4" x14ac:dyDescent="0.3">
      <c r="A286">
        <v>110500</v>
      </c>
      <c r="B286" s="29">
        <f t="shared" si="17"/>
        <v>737694599.98506641</v>
      </c>
      <c r="C286" s="39">
        <f t="shared" si="18"/>
        <v>850850000</v>
      </c>
      <c r="D286" s="76">
        <f t="shared" si="19"/>
        <v>113155400.01493359</v>
      </c>
    </row>
    <row r="287" spans="1:4" x14ac:dyDescent="0.3">
      <c r="A287">
        <v>111000</v>
      </c>
      <c r="B287" s="29">
        <f t="shared" si="17"/>
        <v>740889107.67572641</v>
      </c>
      <c r="C287" s="39">
        <f t="shared" si="18"/>
        <v>854700000</v>
      </c>
      <c r="D287" s="76">
        <f t="shared" si="19"/>
        <v>113810892.32427359</v>
      </c>
    </row>
    <row r="288" spans="1:4" x14ac:dyDescent="0.3">
      <c r="A288">
        <v>111500</v>
      </c>
      <c r="B288" s="29">
        <f t="shared" si="17"/>
        <v>744083615.36638641</v>
      </c>
      <c r="C288" s="39">
        <f t="shared" si="18"/>
        <v>858550000</v>
      </c>
      <c r="D288" s="76">
        <f t="shared" si="19"/>
        <v>114466384.63361359</v>
      </c>
    </row>
    <row r="289" spans="1:4" x14ac:dyDescent="0.3">
      <c r="A289">
        <v>112000</v>
      </c>
      <c r="B289" s="29">
        <f t="shared" si="17"/>
        <v>747278123.05704641</v>
      </c>
      <c r="C289" s="39">
        <f t="shared" si="18"/>
        <v>862400000</v>
      </c>
      <c r="D289" s="76">
        <f t="shared" si="19"/>
        <v>115121876.94295359</v>
      </c>
    </row>
    <row r="290" spans="1:4" x14ac:dyDescent="0.3">
      <c r="A290">
        <v>112500</v>
      </c>
      <c r="B290" s="29">
        <f t="shared" si="17"/>
        <v>750472630.74770641</v>
      </c>
      <c r="C290" s="39">
        <f t="shared" si="18"/>
        <v>866250000</v>
      </c>
      <c r="D290" s="76">
        <f t="shared" si="19"/>
        <v>115777369.25229359</v>
      </c>
    </row>
    <row r="291" spans="1:4" x14ac:dyDescent="0.3">
      <c r="A291">
        <v>113000</v>
      </c>
      <c r="B291" s="29">
        <f t="shared" si="17"/>
        <v>753667138.43836641</v>
      </c>
      <c r="C291" s="39">
        <f t="shared" si="18"/>
        <v>870100000</v>
      </c>
      <c r="D291" s="76">
        <f t="shared" si="19"/>
        <v>116432861.56163359</v>
      </c>
    </row>
    <row r="292" spans="1:4" x14ac:dyDescent="0.3">
      <c r="A292">
        <v>113500</v>
      </c>
      <c r="B292" s="29">
        <f t="shared" si="17"/>
        <v>756861646.12902641</v>
      </c>
      <c r="C292" s="39">
        <f t="shared" si="18"/>
        <v>873950000</v>
      </c>
      <c r="D292" s="76">
        <f t="shared" si="19"/>
        <v>117088353.87097359</v>
      </c>
    </row>
    <row r="293" spans="1:4" x14ac:dyDescent="0.3">
      <c r="A293">
        <v>114000</v>
      </c>
      <c r="B293" s="29">
        <f t="shared" si="17"/>
        <v>760056153.81968641</v>
      </c>
      <c r="C293" s="39">
        <f t="shared" si="18"/>
        <v>877800000</v>
      </c>
      <c r="D293" s="76">
        <f t="shared" si="19"/>
        <v>117743846.18031359</v>
      </c>
    </row>
    <row r="294" spans="1:4" x14ac:dyDescent="0.3">
      <c r="A294">
        <v>114500</v>
      </c>
      <c r="B294" s="29">
        <f t="shared" si="17"/>
        <v>763250661.51034641</v>
      </c>
      <c r="C294" s="39">
        <f t="shared" si="18"/>
        <v>881650000</v>
      </c>
      <c r="D294" s="76">
        <f t="shared" si="19"/>
        <v>118399338.48965359</v>
      </c>
    </row>
    <row r="295" spans="1:4" x14ac:dyDescent="0.3">
      <c r="A295">
        <v>115000</v>
      </c>
      <c r="B295" s="29">
        <f t="shared" si="17"/>
        <v>766445169.20100641</v>
      </c>
      <c r="C295" s="39">
        <f t="shared" si="18"/>
        <v>885500000</v>
      </c>
      <c r="D295" s="76">
        <f t="shared" si="19"/>
        <v>119054830.79899359</v>
      </c>
    </row>
    <row r="296" spans="1:4" x14ac:dyDescent="0.3">
      <c r="A296">
        <v>115500</v>
      </c>
      <c r="B296" s="29">
        <f t="shared" si="17"/>
        <v>769639676.89166641</v>
      </c>
      <c r="C296" s="39">
        <f t="shared" si="18"/>
        <v>889350000</v>
      </c>
      <c r="D296" s="76">
        <f t="shared" si="19"/>
        <v>119710323.10833359</v>
      </c>
    </row>
    <row r="297" spans="1:4" x14ac:dyDescent="0.3">
      <c r="A297">
        <v>116000</v>
      </c>
      <c r="B297" s="29">
        <f t="shared" si="17"/>
        <v>772834184.58232641</v>
      </c>
      <c r="C297" s="39">
        <f t="shared" si="18"/>
        <v>893200000</v>
      </c>
      <c r="D297" s="76">
        <f t="shared" si="19"/>
        <v>120365815.41767359</v>
      </c>
    </row>
    <row r="298" spans="1:4" x14ac:dyDescent="0.3">
      <c r="A298">
        <v>116500</v>
      </c>
      <c r="B298" s="29">
        <f t="shared" si="17"/>
        <v>776028692.27298641</v>
      </c>
      <c r="C298" s="39">
        <f t="shared" si="18"/>
        <v>897050000</v>
      </c>
      <c r="D298" s="76">
        <f t="shared" si="19"/>
        <v>121021307.72701359</v>
      </c>
    </row>
    <row r="299" spans="1:4" x14ac:dyDescent="0.3">
      <c r="A299">
        <v>117000</v>
      </c>
      <c r="B299" s="29">
        <f t="shared" si="17"/>
        <v>779223199.96364641</v>
      </c>
      <c r="C299" s="39">
        <f t="shared" si="18"/>
        <v>900900000</v>
      </c>
      <c r="D299" s="76">
        <f t="shared" si="19"/>
        <v>121676800.03635359</v>
      </c>
    </row>
    <row r="300" spans="1:4" x14ac:dyDescent="0.3">
      <c r="A300">
        <v>117500</v>
      </c>
      <c r="B300" s="29">
        <f t="shared" si="17"/>
        <v>782417707.65430641</v>
      </c>
      <c r="C300" s="39">
        <f t="shared" si="18"/>
        <v>904750000</v>
      </c>
      <c r="D300" s="76">
        <f t="shared" si="19"/>
        <v>122332292.34569359</v>
      </c>
    </row>
    <row r="301" spans="1:4" x14ac:dyDescent="0.3">
      <c r="A301">
        <v>118000</v>
      </c>
      <c r="B301" s="29">
        <f t="shared" si="17"/>
        <v>785612215.34496641</v>
      </c>
      <c r="C301" s="39">
        <f t="shared" si="18"/>
        <v>908600000</v>
      </c>
      <c r="D301" s="76">
        <f t="shared" si="19"/>
        <v>122987784.65503359</v>
      </c>
    </row>
    <row r="302" spans="1:4" x14ac:dyDescent="0.3">
      <c r="A302">
        <v>118500</v>
      </c>
      <c r="B302" s="29">
        <f t="shared" si="17"/>
        <v>788806723.03562641</v>
      </c>
      <c r="C302" s="39">
        <f t="shared" si="18"/>
        <v>912450000</v>
      </c>
      <c r="D302" s="76">
        <f t="shared" si="19"/>
        <v>123643276.96437359</v>
      </c>
    </row>
    <row r="303" spans="1:4" x14ac:dyDescent="0.3">
      <c r="A303">
        <v>119000</v>
      </c>
      <c r="B303" s="29">
        <f t="shared" si="17"/>
        <v>792001230.72628641</v>
      </c>
      <c r="C303" s="39">
        <f t="shared" si="18"/>
        <v>916300000</v>
      </c>
      <c r="D303" s="76">
        <f t="shared" si="19"/>
        <v>124298769.27371359</v>
      </c>
    </row>
    <row r="304" spans="1:4" x14ac:dyDescent="0.3">
      <c r="A304">
        <v>119500</v>
      </c>
      <c r="B304" s="29">
        <f t="shared" si="17"/>
        <v>795195738.41694641</v>
      </c>
      <c r="C304" s="39">
        <f t="shared" si="18"/>
        <v>920150000</v>
      </c>
      <c r="D304" s="76">
        <f t="shared" si="19"/>
        <v>124954261.58305359</v>
      </c>
    </row>
    <row r="305" spans="1:4" x14ac:dyDescent="0.3">
      <c r="A305">
        <v>120000</v>
      </c>
      <c r="B305" s="29">
        <f t="shared" si="17"/>
        <v>798390246.10760641</v>
      </c>
      <c r="C305" s="39">
        <f t="shared" si="18"/>
        <v>924000000</v>
      </c>
      <c r="D305" s="76">
        <f t="shared" si="19"/>
        <v>125609753.89239359</v>
      </c>
    </row>
    <row r="306" spans="1:4" x14ac:dyDescent="0.3">
      <c r="A306">
        <v>120500</v>
      </c>
      <c r="B306" s="29">
        <f t="shared" si="17"/>
        <v>801584753.79826641</v>
      </c>
      <c r="C306" s="39">
        <f t="shared" si="18"/>
        <v>927850000</v>
      </c>
      <c r="D306" s="76">
        <f t="shared" si="19"/>
        <v>126265246.20173359</v>
      </c>
    </row>
    <row r="307" spans="1:4" x14ac:dyDescent="0.3">
      <c r="A307">
        <v>121000</v>
      </c>
      <c r="B307" s="29">
        <f t="shared" si="17"/>
        <v>804779261.48892641</v>
      </c>
      <c r="C307" s="39">
        <f t="shared" si="18"/>
        <v>931700000</v>
      </c>
      <c r="D307" s="76">
        <f t="shared" si="19"/>
        <v>126920738.51107359</v>
      </c>
    </row>
    <row r="308" spans="1:4" x14ac:dyDescent="0.3">
      <c r="A308">
        <v>121500</v>
      </c>
      <c r="B308" s="29">
        <f t="shared" si="17"/>
        <v>807973769.17958641</v>
      </c>
      <c r="C308" s="39">
        <f t="shared" si="18"/>
        <v>935550000</v>
      </c>
      <c r="D308" s="76">
        <f t="shared" si="19"/>
        <v>127576230.82041359</v>
      </c>
    </row>
    <row r="309" spans="1:4" x14ac:dyDescent="0.3">
      <c r="A309">
        <v>122000</v>
      </c>
      <c r="B309" s="29">
        <f t="shared" si="17"/>
        <v>811168276.87024641</v>
      </c>
      <c r="C309" s="39">
        <f t="shared" si="18"/>
        <v>939400000</v>
      </c>
      <c r="D309" s="76">
        <f t="shared" si="19"/>
        <v>128231723.12975359</v>
      </c>
    </row>
    <row r="310" spans="1:4" x14ac:dyDescent="0.3">
      <c r="A310">
        <v>122500</v>
      </c>
      <c r="B310" s="29">
        <f t="shared" si="17"/>
        <v>814362784.56090641</v>
      </c>
      <c r="C310" s="39">
        <f t="shared" si="18"/>
        <v>943250000</v>
      </c>
      <c r="D310" s="76">
        <f t="shared" si="19"/>
        <v>128887215.43909359</v>
      </c>
    </row>
    <row r="311" spans="1:4" x14ac:dyDescent="0.3">
      <c r="A311">
        <v>123000</v>
      </c>
      <c r="B311" s="29">
        <f t="shared" si="17"/>
        <v>817557292.25156641</v>
      </c>
      <c r="C311" s="39">
        <f t="shared" si="18"/>
        <v>947100000</v>
      </c>
      <c r="D311" s="76">
        <f t="shared" si="19"/>
        <v>129542707.74843359</v>
      </c>
    </row>
    <row r="312" spans="1:4" x14ac:dyDescent="0.3">
      <c r="A312">
        <v>123500</v>
      </c>
      <c r="B312" s="29">
        <f t="shared" si="17"/>
        <v>820751799.94222641</v>
      </c>
      <c r="C312" s="39">
        <f t="shared" si="18"/>
        <v>950950000</v>
      </c>
      <c r="D312" s="76">
        <f t="shared" si="19"/>
        <v>130198200.05777359</v>
      </c>
    </row>
    <row r="313" spans="1:4" x14ac:dyDescent="0.3">
      <c r="A313">
        <v>124000</v>
      </c>
      <c r="B313" s="29">
        <f t="shared" si="17"/>
        <v>823946307.63288641</v>
      </c>
      <c r="C313" s="39">
        <f t="shared" si="18"/>
        <v>954800000</v>
      </c>
      <c r="D313" s="76">
        <f t="shared" si="19"/>
        <v>130853692.36711359</v>
      </c>
    </row>
    <row r="314" spans="1:4" x14ac:dyDescent="0.3">
      <c r="A314">
        <v>124500</v>
      </c>
      <c r="B314" s="29">
        <f t="shared" si="17"/>
        <v>827140815.32354641</v>
      </c>
      <c r="C314" s="39">
        <f t="shared" si="18"/>
        <v>958650000</v>
      </c>
      <c r="D314" s="76">
        <f t="shared" si="19"/>
        <v>131509184.67645359</v>
      </c>
    </row>
    <row r="315" spans="1:4" x14ac:dyDescent="0.3">
      <c r="A315">
        <v>125000</v>
      </c>
      <c r="B315" s="29">
        <f t="shared" si="17"/>
        <v>830335323.01420641</v>
      </c>
      <c r="C315" s="39">
        <f t="shared" si="18"/>
        <v>962500000</v>
      </c>
      <c r="D315" s="76">
        <f t="shared" si="19"/>
        <v>132164676.98579359</v>
      </c>
    </row>
    <row r="316" spans="1:4" x14ac:dyDescent="0.3">
      <c r="A316">
        <v>125500</v>
      </c>
      <c r="B316" s="29">
        <f t="shared" si="17"/>
        <v>833529830.70486641</v>
      </c>
      <c r="C316" s="39">
        <f t="shared" si="18"/>
        <v>966350000</v>
      </c>
      <c r="D316" s="76">
        <f t="shared" si="19"/>
        <v>132820169.29513359</v>
      </c>
    </row>
    <row r="317" spans="1:4" x14ac:dyDescent="0.3">
      <c r="A317">
        <v>126000</v>
      </c>
      <c r="B317" s="29">
        <f t="shared" si="17"/>
        <v>836724338.39552641</v>
      </c>
      <c r="C317" s="39">
        <f t="shared" si="18"/>
        <v>970200000</v>
      </c>
      <c r="D317" s="76">
        <f t="shared" si="19"/>
        <v>133475661.60447359</v>
      </c>
    </row>
    <row r="318" spans="1:4" x14ac:dyDescent="0.3">
      <c r="A318">
        <v>126500</v>
      </c>
      <c r="B318" s="29">
        <f t="shared" si="17"/>
        <v>839918846.08618641</v>
      </c>
      <c r="C318" s="39">
        <f t="shared" si="18"/>
        <v>974050000</v>
      </c>
      <c r="D318" s="76">
        <f t="shared" si="19"/>
        <v>134131153.91381359</v>
      </c>
    </row>
    <row r="319" spans="1:4" x14ac:dyDescent="0.3">
      <c r="A319">
        <v>127000</v>
      </c>
      <c r="B319" s="29">
        <f t="shared" si="17"/>
        <v>843113353.77684641</v>
      </c>
      <c r="C319" s="39">
        <f t="shared" si="18"/>
        <v>977900000</v>
      </c>
      <c r="D319" s="76">
        <f t="shared" si="19"/>
        <v>134786646.22315359</v>
      </c>
    </row>
    <row r="320" spans="1:4" x14ac:dyDescent="0.3">
      <c r="A320">
        <v>127500</v>
      </c>
      <c r="B320" s="29">
        <f t="shared" si="17"/>
        <v>846307861.46750641</v>
      </c>
      <c r="C320" s="39">
        <f t="shared" si="18"/>
        <v>981750000</v>
      </c>
      <c r="D320" s="76">
        <f t="shared" si="19"/>
        <v>135442138.53249359</v>
      </c>
    </row>
    <row r="321" spans="1:4" x14ac:dyDescent="0.3">
      <c r="A321">
        <v>128000</v>
      </c>
      <c r="B321" s="29">
        <f t="shared" si="17"/>
        <v>849502369.15816641</v>
      </c>
      <c r="C321" s="39">
        <f t="shared" si="18"/>
        <v>985600000</v>
      </c>
      <c r="D321" s="76">
        <f t="shared" si="19"/>
        <v>136097630.84183359</v>
      </c>
    </row>
    <row r="322" spans="1:4" x14ac:dyDescent="0.3">
      <c r="A322">
        <v>128500</v>
      </c>
      <c r="B322" s="29">
        <f t="shared" ref="B322:B385" si="20">$B$54+($B$60*A322)</f>
        <v>852696876.84882641</v>
      </c>
      <c r="C322" s="39">
        <f t="shared" ref="C322:C385" si="21">$E$50*A322</f>
        <v>989450000</v>
      </c>
      <c r="D322" s="76">
        <f t="shared" ref="D322:D385" si="22">C322-B322</f>
        <v>136753123.15117359</v>
      </c>
    </row>
    <row r="323" spans="1:4" x14ac:dyDescent="0.3">
      <c r="A323">
        <v>129000</v>
      </c>
      <c r="B323" s="29">
        <f t="shared" si="20"/>
        <v>855891384.53948641</v>
      </c>
      <c r="C323" s="39">
        <f t="shared" si="21"/>
        <v>993300000</v>
      </c>
      <c r="D323" s="76">
        <f t="shared" si="22"/>
        <v>137408615.46051359</v>
      </c>
    </row>
    <row r="324" spans="1:4" x14ac:dyDescent="0.3">
      <c r="A324">
        <v>129500</v>
      </c>
      <c r="B324" s="29">
        <f t="shared" si="20"/>
        <v>859085892.23014641</v>
      </c>
      <c r="C324" s="39">
        <f t="shared" si="21"/>
        <v>997150000</v>
      </c>
      <c r="D324" s="76">
        <f t="shared" si="22"/>
        <v>138064107.76985359</v>
      </c>
    </row>
    <row r="325" spans="1:4" x14ac:dyDescent="0.3">
      <c r="A325">
        <v>130000</v>
      </c>
      <c r="B325" s="29">
        <f t="shared" si="20"/>
        <v>862280399.92080641</v>
      </c>
      <c r="C325" s="39">
        <f t="shared" si="21"/>
        <v>1001000000</v>
      </c>
      <c r="D325" s="76">
        <f t="shared" si="22"/>
        <v>138719600.07919359</v>
      </c>
    </row>
    <row r="326" spans="1:4" x14ac:dyDescent="0.3">
      <c r="A326">
        <v>130500</v>
      </c>
      <c r="B326" s="29">
        <f t="shared" si="20"/>
        <v>865474907.61146641</v>
      </c>
      <c r="C326" s="39">
        <f t="shared" si="21"/>
        <v>1004850000</v>
      </c>
      <c r="D326" s="76">
        <f t="shared" si="22"/>
        <v>139375092.38853359</v>
      </c>
    </row>
    <row r="327" spans="1:4" x14ac:dyDescent="0.3">
      <c r="A327">
        <v>131000</v>
      </c>
      <c r="B327" s="29">
        <f t="shared" si="20"/>
        <v>868669415.30212641</v>
      </c>
      <c r="C327" s="39">
        <f t="shared" si="21"/>
        <v>1008700000</v>
      </c>
      <c r="D327" s="76">
        <f t="shared" si="22"/>
        <v>140030584.69787359</v>
      </c>
    </row>
    <row r="328" spans="1:4" x14ac:dyDescent="0.3">
      <c r="A328">
        <v>131500</v>
      </c>
      <c r="B328" s="29">
        <f t="shared" si="20"/>
        <v>871863922.99278641</v>
      </c>
      <c r="C328" s="39">
        <f t="shared" si="21"/>
        <v>1012550000</v>
      </c>
      <c r="D328" s="76">
        <f t="shared" si="22"/>
        <v>140686077.00721359</v>
      </c>
    </row>
    <row r="329" spans="1:4" x14ac:dyDescent="0.3">
      <c r="A329">
        <v>132000</v>
      </c>
      <c r="B329" s="29">
        <f t="shared" si="20"/>
        <v>875058430.68344641</v>
      </c>
      <c r="C329" s="39">
        <f t="shared" si="21"/>
        <v>1016400000</v>
      </c>
      <c r="D329" s="76">
        <f t="shared" si="22"/>
        <v>141341569.31655359</v>
      </c>
    </row>
    <row r="330" spans="1:4" x14ac:dyDescent="0.3">
      <c r="A330">
        <v>132500</v>
      </c>
      <c r="B330" s="29">
        <f t="shared" si="20"/>
        <v>878252938.37410641</v>
      </c>
      <c r="C330" s="39">
        <f t="shared" si="21"/>
        <v>1020250000</v>
      </c>
      <c r="D330" s="76">
        <f t="shared" si="22"/>
        <v>141997061.62589359</v>
      </c>
    </row>
    <row r="331" spans="1:4" x14ac:dyDescent="0.3">
      <c r="A331">
        <v>133000</v>
      </c>
      <c r="B331" s="29">
        <f t="shared" si="20"/>
        <v>881447446.06476641</v>
      </c>
      <c r="C331" s="39">
        <f t="shared" si="21"/>
        <v>1024100000</v>
      </c>
      <c r="D331" s="76">
        <f t="shared" si="22"/>
        <v>142652553.93523359</v>
      </c>
    </row>
    <row r="332" spans="1:4" x14ac:dyDescent="0.3">
      <c r="A332">
        <v>133500</v>
      </c>
      <c r="B332" s="29">
        <f t="shared" si="20"/>
        <v>884641953.75542641</v>
      </c>
      <c r="C332" s="39">
        <f t="shared" si="21"/>
        <v>1027950000</v>
      </c>
      <c r="D332" s="76">
        <f t="shared" si="22"/>
        <v>143308046.24457359</v>
      </c>
    </row>
    <row r="333" spans="1:4" x14ac:dyDescent="0.3">
      <c r="A333">
        <v>134000</v>
      </c>
      <c r="B333" s="29">
        <f t="shared" si="20"/>
        <v>887836461.44608641</v>
      </c>
      <c r="C333" s="39">
        <f t="shared" si="21"/>
        <v>1031800000</v>
      </c>
      <c r="D333" s="76">
        <f t="shared" si="22"/>
        <v>143963538.55391359</v>
      </c>
    </row>
    <row r="334" spans="1:4" x14ac:dyDescent="0.3">
      <c r="A334">
        <v>134500</v>
      </c>
      <c r="B334" s="29">
        <f t="shared" si="20"/>
        <v>891030969.13674641</v>
      </c>
      <c r="C334" s="39">
        <f t="shared" si="21"/>
        <v>1035650000</v>
      </c>
      <c r="D334" s="76">
        <f t="shared" si="22"/>
        <v>144619030.86325359</v>
      </c>
    </row>
    <row r="335" spans="1:4" x14ac:dyDescent="0.3">
      <c r="A335">
        <v>135000</v>
      </c>
      <c r="B335" s="29">
        <f t="shared" si="20"/>
        <v>894225476.82740641</v>
      </c>
      <c r="C335" s="39">
        <f t="shared" si="21"/>
        <v>1039500000</v>
      </c>
      <c r="D335" s="76">
        <f t="shared" si="22"/>
        <v>145274523.17259359</v>
      </c>
    </row>
    <row r="336" spans="1:4" x14ac:dyDescent="0.3">
      <c r="A336">
        <v>135500</v>
      </c>
      <c r="B336" s="29">
        <f t="shared" si="20"/>
        <v>897419984.51806641</v>
      </c>
      <c r="C336" s="39">
        <f t="shared" si="21"/>
        <v>1043350000</v>
      </c>
      <c r="D336" s="76">
        <f t="shared" si="22"/>
        <v>145930015.48193359</v>
      </c>
    </row>
    <row r="337" spans="1:4" x14ac:dyDescent="0.3">
      <c r="A337">
        <v>136000</v>
      </c>
      <c r="B337" s="29">
        <f t="shared" si="20"/>
        <v>900614492.20872641</v>
      </c>
      <c r="C337" s="39">
        <f t="shared" si="21"/>
        <v>1047200000</v>
      </c>
      <c r="D337" s="76">
        <f t="shared" si="22"/>
        <v>146585507.79127359</v>
      </c>
    </row>
    <row r="338" spans="1:4" x14ac:dyDescent="0.3">
      <c r="A338">
        <v>136500</v>
      </c>
      <c r="B338" s="29">
        <f t="shared" si="20"/>
        <v>903808999.89938641</v>
      </c>
      <c r="C338" s="39">
        <f t="shared" si="21"/>
        <v>1051050000</v>
      </c>
      <c r="D338" s="76">
        <f t="shared" si="22"/>
        <v>147241000.10061359</v>
      </c>
    </row>
    <row r="339" spans="1:4" x14ac:dyDescent="0.3">
      <c r="A339">
        <v>137000</v>
      </c>
      <c r="B339" s="29">
        <f t="shared" si="20"/>
        <v>907003507.59004641</v>
      </c>
      <c r="C339" s="39">
        <f t="shared" si="21"/>
        <v>1054900000</v>
      </c>
      <c r="D339" s="76">
        <f t="shared" si="22"/>
        <v>147896492.40995359</v>
      </c>
    </row>
    <row r="340" spans="1:4" x14ac:dyDescent="0.3">
      <c r="A340">
        <v>137500</v>
      </c>
      <c r="B340" s="29">
        <f t="shared" si="20"/>
        <v>910198015.28070641</v>
      </c>
      <c r="C340" s="39">
        <f t="shared" si="21"/>
        <v>1058750000</v>
      </c>
      <c r="D340" s="76">
        <f t="shared" si="22"/>
        <v>148551984.71929359</v>
      </c>
    </row>
    <row r="341" spans="1:4" x14ac:dyDescent="0.3">
      <c r="A341">
        <v>138000</v>
      </c>
      <c r="B341" s="29">
        <f t="shared" si="20"/>
        <v>913392522.97136641</v>
      </c>
      <c r="C341" s="39">
        <f t="shared" si="21"/>
        <v>1062600000</v>
      </c>
      <c r="D341" s="76">
        <f t="shared" si="22"/>
        <v>149207477.02863359</v>
      </c>
    </row>
    <row r="342" spans="1:4" x14ac:dyDescent="0.3">
      <c r="A342">
        <v>138500</v>
      </c>
      <c r="B342" s="29">
        <f t="shared" si="20"/>
        <v>916587030.66202641</v>
      </c>
      <c r="C342" s="39">
        <f t="shared" si="21"/>
        <v>1066450000</v>
      </c>
      <c r="D342" s="76">
        <f t="shared" si="22"/>
        <v>149862969.33797359</v>
      </c>
    </row>
    <row r="343" spans="1:4" x14ac:dyDescent="0.3">
      <c r="A343">
        <v>139000</v>
      </c>
      <c r="B343" s="29">
        <f t="shared" si="20"/>
        <v>919781538.35268641</v>
      </c>
      <c r="C343" s="39">
        <f t="shared" si="21"/>
        <v>1070300000</v>
      </c>
      <c r="D343" s="76">
        <f t="shared" si="22"/>
        <v>150518461.64731359</v>
      </c>
    </row>
    <row r="344" spans="1:4" x14ac:dyDescent="0.3">
      <c r="A344">
        <v>139500</v>
      </c>
      <c r="B344" s="29">
        <f t="shared" si="20"/>
        <v>922976046.04334641</v>
      </c>
      <c r="C344" s="39">
        <f t="shared" si="21"/>
        <v>1074150000</v>
      </c>
      <c r="D344" s="76">
        <f t="shared" si="22"/>
        <v>151173953.95665359</v>
      </c>
    </row>
    <row r="345" spans="1:4" x14ac:dyDescent="0.3">
      <c r="A345">
        <v>140000</v>
      </c>
      <c r="B345" s="29">
        <f t="shared" si="20"/>
        <v>926170553.7340064</v>
      </c>
      <c r="C345" s="39">
        <f t="shared" si="21"/>
        <v>1078000000</v>
      </c>
      <c r="D345" s="76">
        <f t="shared" si="22"/>
        <v>151829446.2659936</v>
      </c>
    </row>
    <row r="346" spans="1:4" x14ac:dyDescent="0.3">
      <c r="A346">
        <v>140500</v>
      </c>
      <c r="B346" s="29">
        <f t="shared" si="20"/>
        <v>929365061.4246664</v>
      </c>
      <c r="C346" s="39">
        <f t="shared" si="21"/>
        <v>1081850000</v>
      </c>
      <c r="D346" s="76">
        <f t="shared" si="22"/>
        <v>152484938.5753336</v>
      </c>
    </row>
    <row r="347" spans="1:4" x14ac:dyDescent="0.3">
      <c r="A347">
        <v>141000</v>
      </c>
      <c r="B347" s="29">
        <f t="shared" si="20"/>
        <v>932559569.1153264</v>
      </c>
      <c r="C347" s="39">
        <f t="shared" si="21"/>
        <v>1085700000</v>
      </c>
      <c r="D347" s="76">
        <f t="shared" si="22"/>
        <v>153140430.8846736</v>
      </c>
    </row>
    <row r="348" spans="1:4" x14ac:dyDescent="0.3">
      <c r="A348">
        <v>141500</v>
      </c>
      <c r="B348" s="29">
        <f t="shared" si="20"/>
        <v>935754076.8059864</v>
      </c>
      <c r="C348" s="39">
        <f t="shared" si="21"/>
        <v>1089550000</v>
      </c>
      <c r="D348" s="76">
        <f t="shared" si="22"/>
        <v>153795923.1940136</v>
      </c>
    </row>
    <row r="349" spans="1:4" x14ac:dyDescent="0.3">
      <c r="A349">
        <v>142000</v>
      </c>
      <c r="B349" s="29">
        <f t="shared" si="20"/>
        <v>938948584.4966464</v>
      </c>
      <c r="C349" s="39">
        <f t="shared" si="21"/>
        <v>1093400000</v>
      </c>
      <c r="D349" s="76">
        <f t="shared" si="22"/>
        <v>154451415.5033536</v>
      </c>
    </row>
    <row r="350" spans="1:4" x14ac:dyDescent="0.3">
      <c r="A350">
        <v>142500</v>
      </c>
      <c r="B350" s="29">
        <f t="shared" si="20"/>
        <v>942143092.1873064</v>
      </c>
      <c r="C350" s="39">
        <f t="shared" si="21"/>
        <v>1097250000</v>
      </c>
      <c r="D350" s="76">
        <f t="shared" si="22"/>
        <v>155106907.8126936</v>
      </c>
    </row>
    <row r="351" spans="1:4" x14ac:dyDescent="0.3">
      <c r="A351">
        <v>143000</v>
      </c>
      <c r="B351" s="29">
        <f t="shared" si="20"/>
        <v>945337599.8779664</v>
      </c>
      <c r="C351" s="39">
        <f t="shared" si="21"/>
        <v>1101100000</v>
      </c>
      <c r="D351" s="76">
        <f t="shared" si="22"/>
        <v>155762400.1220336</v>
      </c>
    </row>
    <row r="352" spans="1:4" x14ac:dyDescent="0.3">
      <c r="A352">
        <v>143500</v>
      </c>
      <c r="B352" s="29">
        <f t="shared" si="20"/>
        <v>948532107.5686264</v>
      </c>
      <c r="C352" s="39">
        <f t="shared" si="21"/>
        <v>1104950000</v>
      </c>
      <c r="D352" s="76">
        <f t="shared" si="22"/>
        <v>156417892.4313736</v>
      </c>
    </row>
    <row r="353" spans="1:4" x14ac:dyDescent="0.3">
      <c r="A353">
        <v>144000</v>
      </c>
      <c r="B353" s="29">
        <f t="shared" si="20"/>
        <v>951726615.2592864</v>
      </c>
      <c r="C353" s="39">
        <f t="shared" si="21"/>
        <v>1108800000</v>
      </c>
      <c r="D353" s="76">
        <f t="shared" si="22"/>
        <v>157073384.7407136</v>
      </c>
    </row>
    <row r="354" spans="1:4" x14ac:dyDescent="0.3">
      <c r="A354">
        <v>144500</v>
      </c>
      <c r="B354" s="29">
        <f t="shared" si="20"/>
        <v>954921122.9499464</v>
      </c>
      <c r="C354" s="39">
        <f t="shared" si="21"/>
        <v>1112650000</v>
      </c>
      <c r="D354" s="76">
        <f t="shared" si="22"/>
        <v>157728877.0500536</v>
      </c>
    </row>
    <row r="355" spans="1:4" x14ac:dyDescent="0.3">
      <c r="A355">
        <v>145000</v>
      </c>
      <c r="B355" s="29">
        <f t="shared" si="20"/>
        <v>958115630.6406064</v>
      </c>
      <c r="C355" s="39">
        <f t="shared" si="21"/>
        <v>1116500000</v>
      </c>
      <c r="D355" s="76">
        <f t="shared" si="22"/>
        <v>158384369.3593936</v>
      </c>
    </row>
    <row r="356" spans="1:4" x14ac:dyDescent="0.3">
      <c r="A356">
        <v>145500</v>
      </c>
      <c r="B356" s="29">
        <f t="shared" si="20"/>
        <v>961310138.3312664</v>
      </c>
      <c r="C356" s="39">
        <f t="shared" si="21"/>
        <v>1120350000</v>
      </c>
      <c r="D356" s="76">
        <f t="shared" si="22"/>
        <v>159039861.6687336</v>
      </c>
    </row>
    <row r="357" spans="1:4" x14ac:dyDescent="0.3">
      <c r="A357">
        <v>146000</v>
      </c>
      <c r="B357" s="29">
        <f t="shared" si="20"/>
        <v>964504646.0219264</v>
      </c>
      <c r="C357" s="39">
        <f t="shared" si="21"/>
        <v>1124200000</v>
      </c>
      <c r="D357" s="76">
        <f t="shared" si="22"/>
        <v>159695353.9780736</v>
      </c>
    </row>
    <row r="358" spans="1:4" x14ac:dyDescent="0.3">
      <c r="A358">
        <v>146500</v>
      </c>
      <c r="B358" s="29">
        <f t="shared" si="20"/>
        <v>967699153.7125864</v>
      </c>
      <c r="C358" s="39">
        <f t="shared" si="21"/>
        <v>1128050000</v>
      </c>
      <c r="D358" s="76">
        <f t="shared" si="22"/>
        <v>160350846.2874136</v>
      </c>
    </row>
    <row r="359" spans="1:4" x14ac:dyDescent="0.3">
      <c r="A359">
        <v>147000</v>
      </c>
      <c r="B359" s="29">
        <f t="shared" si="20"/>
        <v>970893661.4032464</v>
      </c>
      <c r="C359" s="39">
        <f t="shared" si="21"/>
        <v>1131900000</v>
      </c>
      <c r="D359" s="76">
        <f t="shared" si="22"/>
        <v>161006338.5967536</v>
      </c>
    </row>
    <row r="360" spans="1:4" x14ac:dyDescent="0.3">
      <c r="A360">
        <v>147500</v>
      </c>
      <c r="B360" s="29">
        <f t="shared" si="20"/>
        <v>974088169.0939064</v>
      </c>
      <c r="C360" s="39">
        <f t="shared" si="21"/>
        <v>1135750000</v>
      </c>
      <c r="D360" s="76">
        <f t="shared" si="22"/>
        <v>161661830.9060936</v>
      </c>
    </row>
    <row r="361" spans="1:4" x14ac:dyDescent="0.3">
      <c r="A361">
        <v>148000</v>
      </c>
      <c r="B361" s="29">
        <f t="shared" si="20"/>
        <v>977282676.7845664</v>
      </c>
      <c r="C361" s="39">
        <f t="shared" si="21"/>
        <v>1139600000</v>
      </c>
      <c r="D361" s="76">
        <f t="shared" si="22"/>
        <v>162317323.2154336</v>
      </c>
    </row>
    <row r="362" spans="1:4" x14ac:dyDescent="0.3">
      <c r="A362">
        <v>148500</v>
      </c>
      <c r="B362" s="29">
        <f t="shared" si="20"/>
        <v>980477184.4752264</v>
      </c>
      <c r="C362" s="39">
        <f t="shared" si="21"/>
        <v>1143450000</v>
      </c>
      <c r="D362" s="76">
        <f t="shared" si="22"/>
        <v>162972815.5247736</v>
      </c>
    </row>
    <row r="363" spans="1:4" x14ac:dyDescent="0.3">
      <c r="A363">
        <v>149000</v>
      </c>
      <c r="B363" s="29">
        <f t="shared" si="20"/>
        <v>983671692.1658864</v>
      </c>
      <c r="C363" s="39">
        <f t="shared" si="21"/>
        <v>1147300000</v>
      </c>
      <c r="D363" s="76">
        <f t="shared" si="22"/>
        <v>163628307.8341136</v>
      </c>
    </row>
    <row r="364" spans="1:4" x14ac:dyDescent="0.3">
      <c r="A364">
        <v>149500</v>
      </c>
      <c r="B364" s="29">
        <f t="shared" si="20"/>
        <v>986866199.8565464</v>
      </c>
      <c r="C364" s="39">
        <f t="shared" si="21"/>
        <v>1151150000</v>
      </c>
      <c r="D364" s="76">
        <f t="shared" si="22"/>
        <v>164283800.1434536</v>
      </c>
    </row>
    <row r="365" spans="1:4" x14ac:dyDescent="0.3">
      <c r="A365">
        <v>150000</v>
      </c>
      <c r="B365" s="29">
        <f t="shared" si="20"/>
        <v>990060707.5472064</v>
      </c>
      <c r="C365" s="39">
        <f t="shared" si="21"/>
        <v>1155000000</v>
      </c>
      <c r="D365" s="76">
        <f t="shared" si="22"/>
        <v>164939292.4527936</v>
      </c>
    </row>
    <row r="366" spans="1:4" x14ac:dyDescent="0.3">
      <c r="A366">
        <v>150500</v>
      </c>
      <c r="B366" s="29">
        <f t="shared" si="20"/>
        <v>993255215.2378664</v>
      </c>
      <c r="C366" s="39">
        <f t="shared" si="21"/>
        <v>1158850000</v>
      </c>
      <c r="D366" s="76">
        <f t="shared" si="22"/>
        <v>165594784.7621336</v>
      </c>
    </row>
    <row r="367" spans="1:4" x14ac:dyDescent="0.3">
      <c r="A367">
        <v>151000</v>
      </c>
      <c r="B367" s="29">
        <f t="shared" si="20"/>
        <v>996449722.9285264</v>
      </c>
      <c r="C367" s="39">
        <f t="shared" si="21"/>
        <v>1162700000</v>
      </c>
      <c r="D367" s="76">
        <f t="shared" si="22"/>
        <v>166250277.0714736</v>
      </c>
    </row>
    <row r="368" spans="1:4" x14ac:dyDescent="0.3">
      <c r="A368">
        <v>151500</v>
      </c>
      <c r="B368" s="29">
        <f t="shared" si="20"/>
        <v>999644230.6191864</v>
      </c>
      <c r="C368" s="39">
        <f t="shared" si="21"/>
        <v>1166550000</v>
      </c>
      <c r="D368" s="76">
        <f t="shared" si="22"/>
        <v>166905769.3808136</v>
      </c>
    </row>
    <row r="369" spans="1:4" x14ac:dyDescent="0.3">
      <c r="A369">
        <v>152000</v>
      </c>
      <c r="B369" s="29">
        <f t="shared" si="20"/>
        <v>1002838738.3098464</v>
      </c>
      <c r="C369" s="39">
        <f t="shared" si="21"/>
        <v>1170400000</v>
      </c>
      <c r="D369" s="76">
        <f t="shared" si="22"/>
        <v>167561261.6901536</v>
      </c>
    </row>
    <row r="370" spans="1:4" x14ac:dyDescent="0.3">
      <c r="A370">
        <v>152500</v>
      </c>
      <c r="B370" s="29">
        <f t="shared" si="20"/>
        <v>1006033246.0005064</v>
      </c>
      <c r="C370" s="39">
        <f t="shared" si="21"/>
        <v>1174250000</v>
      </c>
      <c r="D370" s="76">
        <f t="shared" si="22"/>
        <v>168216753.9994936</v>
      </c>
    </row>
    <row r="371" spans="1:4" x14ac:dyDescent="0.3">
      <c r="A371">
        <v>153000</v>
      </c>
      <c r="B371" s="29">
        <f t="shared" si="20"/>
        <v>1009227753.6911664</v>
      </c>
      <c r="C371" s="39">
        <f t="shared" si="21"/>
        <v>1178100000</v>
      </c>
      <c r="D371" s="76">
        <f t="shared" si="22"/>
        <v>168872246.3088336</v>
      </c>
    </row>
    <row r="372" spans="1:4" x14ac:dyDescent="0.3">
      <c r="A372">
        <v>153500</v>
      </c>
      <c r="B372" s="29">
        <f t="shared" si="20"/>
        <v>1012422261.3818264</v>
      </c>
      <c r="C372" s="39">
        <f t="shared" si="21"/>
        <v>1181950000</v>
      </c>
      <c r="D372" s="76">
        <f t="shared" si="22"/>
        <v>169527738.6181736</v>
      </c>
    </row>
    <row r="373" spans="1:4" x14ac:dyDescent="0.3">
      <c r="A373">
        <v>154000</v>
      </c>
      <c r="B373" s="29">
        <f t="shared" si="20"/>
        <v>1015616769.0724864</v>
      </c>
      <c r="C373" s="39">
        <f t="shared" si="21"/>
        <v>1185800000</v>
      </c>
      <c r="D373" s="76">
        <f t="shared" si="22"/>
        <v>170183230.9275136</v>
      </c>
    </row>
    <row r="374" spans="1:4" x14ac:dyDescent="0.3">
      <c r="A374">
        <v>154500</v>
      </c>
      <c r="B374" s="29">
        <f t="shared" si="20"/>
        <v>1018811276.7631464</v>
      </c>
      <c r="C374" s="39">
        <f t="shared" si="21"/>
        <v>1189650000</v>
      </c>
      <c r="D374" s="76">
        <f t="shared" si="22"/>
        <v>170838723.2368536</v>
      </c>
    </row>
    <row r="375" spans="1:4" x14ac:dyDescent="0.3">
      <c r="A375">
        <v>155000</v>
      </c>
      <c r="B375" s="29">
        <f t="shared" si="20"/>
        <v>1022005784.4538064</v>
      </c>
      <c r="C375" s="39">
        <f t="shared" si="21"/>
        <v>1193500000</v>
      </c>
      <c r="D375" s="76">
        <f t="shared" si="22"/>
        <v>171494215.5461936</v>
      </c>
    </row>
    <row r="376" spans="1:4" x14ac:dyDescent="0.3">
      <c r="A376">
        <v>155500</v>
      </c>
      <c r="B376" s="29">
        <f t="shared" si="20"/>
        <v>1025200292.1444664</v>
      </c>
      <c r="C376" s="39">
        <f t="shared" si="21"/>
        <v>1197350000</v>
      </c>
      <c r="D376" s="76">
        <f t="shared" si="22"/>
        <v>172149707.8555336</v>
      </c>
    </row>
    <row r="377" spans="1:4" x14ac:dyDescent="0.3">
      <c r="A377">
        <v>156000</v>
      </c>
      <c r="B377" s="29">
        <f t="shared" si="20"/>
        <v>1028394799.8351264</v>
      </c>
      <c r="C377" s="39">
        <f t="shared" si="21"/>
        <v>1201200000</v>
      </c>
      <c r="D377" s="76">
        <f t="shared" si="22"/>
        <v>172805200.1648736</v>
      </c>
    </row>
    <row r="378" spans="1:4" x14ac:dyDescent="0.3">
      <c r="A378">
        <v>156500</v>
      </c>
      <c r="B378" s="29">
        <f t="shared" si="20"/>
        <v>1031589307.5257864</v>
      </c>
      <c r="C378" s="39">
        <f t="shared" si="21"/>
        <v>1205050000</v>
      </c>
      <c r="D378" s="76">
        <f t="shared" si="22"/>
        <v>173460692.4742136</v>
      </c>
    </row>
    <row r="379" spans="1:4" x14ac:dyDescent="0.3">
      <c r="A379">
        <v>157000</v>
      </c>
      <c r="B379" s="29">
        <f t="shared" si="20"/>
        <v>1034783815.2164464</v>
      </c>
      <c r="C379" s="39">
        <f t="shared" si="21"/>
        <v>1208900000</v>
      </c>
      <c r="D379" s="76">
        <f t="shared" si="22"/>
        <v>174116184.7835536</v>
      </c>
    </row>
    <row r="380" spans="1:4" x14ac:dyDescent="0.3">
      <c r="A380">
        <v>157500</v>
      </c>
      <c r="B380" s="29">
        <f t="shared" si="20"/>
        <v>1037978322.9071064</v>
      </c>
      <c r="C380" s="39">
        <f t="shared" si="21"/>
        <v>1212750000</v>
      </c>
      <c r="D380" s="76">
        <f t="shared" si="22"/>
        <v>174771677.0928936</v>
      </c>
    </row>
    <row r="381" spans="1:4" x14ac:dyDescent="0.3">
      <c r="A381">
        <v>158000</v>
      </c>
      <c r="B381" s="29">
        <f t="shared" si="20"/>
        <v>1041172830.5977664</v>
      </c>
      <c r="C381" s="39">
        <f t="shared" si="21"/>
        <v>1216600000</v>
      </c>
      <c r="D381" s="76">
        <f t="shared" si="22"/>
        <v>175427169.4022336</v>
      </c>
    </row>
    <row r="382" spans="1:4" x14ac:dyDescent="0.3">
      <c r="A382">
        <v>158500</v>
      </c>
      <c r="B382" s="29">
        <f t="shared" si="20"/>
        <v>1044367338.2884264</v>
      </c>
      <c r="C382" s="39">
        <f t="shared" si="21"/>
        <v>1220450000</v>
      </c>
      <c r="D382" s="76">
        <f t="shared" si="22"/>
        <v>176082661.7115736</v>
      </c>
    </row>
    <row r="383" spans="1:4" x14ac:dyDescent="0.3">
      <c r="A383">
        <v>159000</v>
      </c>
      <c r="B383" s="29">
        <f t="shared" si="20"/>
        <v>1047561845.9790864</v>
      </c>
      <c r="C383" s="39">
        <f t="shared" si="21"/>
        <v>1224300000</v>
      </c>
      <c r="D383" s="76">
        <f t="shared" si="22"/>
        <v>176738154.0209136</v>
      </c>
    </row>
    <row r="384" spans="1:4" x14ac:dyDescent="0.3">
      <c r="A384">
        <v>159500</v>
      </c>
      <c r="B384" s="29">
        <f t="shared" si="20"/>
        <v>1050756353.6697464</v>
      </c>
      <c r="C384" s="39">
        <f t="shared" si="21"/>
        <v>1228150000</v>
      </c>
      <c r="D384" s="76">
        <f t="shared" si="22"/>
        <v>177393646.3302536</v>
      </c>
    </row>
    <row r="385" spans="1:4" x14ac:dyDescent="0.3">
      <c r="A385">
        <v>160000</v>
      </c>
      <c r="B385" s="29">
        <f t="shared" si="20"/>
        <v>1053950861.3604064</v>
      </c>
      <c r="C385" s="39">
        <f t="shared" si="21"/>
        <v>1232000000</v>
      </c>
      <c r="D385" s="76">
        <f t="shared" si="22"/>
        <v>178049138.6395936</v>
      </c>
    </row>
    <row r="386" spans="1:4" x14ac:dyDescent="0.3">
      <c r="A386">
        <v>160500</v>
      </c>
      <c r="B386" s="29">
        <f t="shared" ref="B386:B449" si="23">$B$54+($B$60*A386)</f>
        <v>1057145369.0510664</v>
      </c>
      <c r="C386" s="39">
        <f t="shared" ref="C386:C449" si="24">$E$50*A386</f>
        <v>1235850000</v>
      </c>
      <c r="D386" s="76">
        <f t="shared" ref="D386:D449" si="25">C386-B386</f>
        <v>178704630.9489336</v>
      </c>
    </row>
    <row r="387" spans="1:4" x14ac:dyDescent="0.3">
      <c r="A387">
        <v>161000</v>
      </c>
      <c r="B387" s="29">
        <f t="shared" si="23"/>
        <v>1060339876.7417264</v>
      </c>
      <c r="C387" s="39">
        <f t="shared" si="24"/>
        <v>1239700000</v>
      </c>
      <c r="D387" s="76">
        <f t="shared" si="25"/>
        <v>179360123.2582736</v>
      </c>
    </row>
    <row r="388" spans="1:4" x14ac:dyDescent="0.3">
      <c r="A388">
        <v>161500</v>
      </c>
      <c r="B388" s="29">
        <f t="shared" si="23"/>
        <v>1063534384.4323864</v>
      </c>
      <c r="C388" s="39">
        <f t="shared" si="24"/>
        <v>1243550000</v>
      </c>
      <c r="D388" s="76">
        <f t="shared" si="25"/>
        <v>180015615.5676136</v>
      </c>
    </row>
    <row r="389" spans="1:4" x14ac:dyDescent="0.3">
      <c r="A389">
        <v>162000</v>
      </c>
      <c r="B389" s="29">
        <f t="shared" si="23"/>
        <v>1066728892.1230464</v>
      </c>
      <c r="C389" s="39">
        <f t="shared" si="24"/>
        <v>1247400000</v>
      </c>
      <c r="D389" s="76">
        <f t="shared" si="25"/>
        <v>180671107.8769536</v>
      </c>
    </row>
    <row r="390" spans="1:4" x14ac:dyDescent="0.3">
      <c r="A390">
        <v>162500</v>
      </c>
      <c r="B390" s="29">
        <f t="shared" si="23"/>
        <v>1069923399.8137064</v>
      </c>
      <c r="C390" s="39">
        <f t="shared" si="24"/>
        <v>1251250000</v>
      </c>
      <c r="D390" s="76">
        <f t="shared" si="25"/>
        <v>181326600.1862936</v>
      </c>
    </row>
    <row r="391" spans="1:4" x14ac:dyDescent="0.3">
      <c r="A391">
        <v>163000</v>
      </c>
      <c r="B391" s="29">
        <f t="shared" si="23"/>
        <v>1073117907.5043664</v>
      </c>
      <c r="C391" s="39">
        <f t="shared" si="24"/>
        <v>1255100000</v>
      </c>
      <c r="D391" s="76">
        <f t="shared" si="25"/>
        <v>181982092.4956336</v>
      </c>
    </row>
    <row r="392" spans="1:4" x14ac:dyDescent="0.3">
      <c r="A392">
        <v>163500</v>
      </c>
      <c r="B392" s="29">
        <f t="shared" si="23"/>
        <v>1076312415.1950264</v>
      </c>
      <c r="C392" s="39">
        <f t="shared" si="24"/>
        <v>1258950000</v>
      </c>
      <c r="D392" s="76">
        <f t="shared" si="25"/>
        <v>182637584.8049736</v>
      </c>
    </row>
    <row r="393" spans="1:4" x14ac:dyDescent="0.3">
      <c r="A393">
        <v>164000</v>
      </c>
      <c r="B393" s="29">
        <f t="shared" si="23"/>
        <v>1079506922.8856864</v>
      </c>
      <c r="C393" s="39">
        <f t="shared" si="24"/>
        <v>1262800000</v>
      </c>
      <c r="D393" s="76">
        <f t="shared" si="25"/>
        <v>183293077.1143136</v>
      </c>
    </row>
    <row r="394" spans="1:4" x14ac:dyDescent="0.3">
      <c r="A394">
        <v>164500</v>
      </c>
      <c r="B394" s="29">
        <f t="shared" si="23"/>
        <v>1082701430.5763464</v>
      </c>
      <c r="C394" s="39">
        <f t="shared" si="24"/>
        <v>1266650000</v>
      </c>
      <c r="D394" s="76">
        <f t="shared" si="25"/>
        <v>183948569.4236536</v>
      </c>
    </row>
    <row r="395" spans="1:4" x14ac:dyDescent="0.3">
      <c r="A395">
        <v>165000</v>
      </c>
      <c r="B395" s="29">
        <f t="shared" si="23"/>
        <v>1085895938.2670064</v>
      </c>
      <c r="C395" s="39">
        <f t="shared" si="24"/>
        <v>1270500000</v>
      </c>
      <c r="D395" s="76">
        <f t="shared" si="25"/>
        <v>184604061.7329936</v>
      </c>
    </row>
    <row r="396" spans="1:4" x14ac:dyDescent="0.3">
      <c r="A396">
        <v>165500</v>
      </c>
      <c r="B396" s="29">
        <f t="shared" si="23"/>
        <v>1089090445.9576664</v>
      </c>
      <c r="C396" s="39">
        <f t="shared" si="24"/>
        <v>1274350000</v>
      </c>
      <c r="D396" s="76">
        <f t="shared" si="25"/>
        <v>185259554.0423336</v>
      </c>
    </row>
    <row r="397" spans="1:4" x14ac:dyDescent="0.3">
      <c r="A397">
        <v>166000</v>
      </c>
      <c r="B397" s="29">
        <f t="shared" si="23"/>
        <v>1092284953.6483264</v>
      </c>
      <c r="C397" s="39">
        <f t="shared" si="24"/>
        <v>1278200000</v>
      </c>
      <c r="D397" s="76">
        <f t="shared" si="25"/>
        <v>185915046.3516736</v>
      </c>
    </row>
    <row r="398" spans="1:4" x14ac:dyDescent="0.3">
      <c r="A398">
        <v>166500</v>
      </c>
      <c r="B398" s="29">
        <f t="shared" si="23"/>
        <v>1095479461.3389864</v>
      </c>
      <c r="C398" s="39">
        <f t="shared" si="24"/>
        <v>1282050000</v>
      </c>
      <c r="D398" s="76">
        <f t="shared" si="25"/>
        <v>186570538.6610136</v>
      </c>
    </row>
    <row r="399" spans="1:4" x14ac:dyDescent="0.3">
      <c r="A399">
        <v>167000</v>
      </c>
      <c r="B399" s="29">
        <f t="shared" si="23"/>
        <v>1098673969.0296464</v>
      </c>
      <c r="C399" s="39">
        <f t="shared" si="24"/>
        <v>1285900000</v>
      </c>
      <c r="D399" s="76">
        <f t="shared" si="25"/>
        <v>187226030.9703536</v>
      </c>
    </row>
    <row r="400" spans="1:4" x14ac:dyDescent="0.3">
      <c r="A400">
        <v>167500</v>
      </c>
      <c r="B400" s="29">
        <f t="shared" si="23"/>
        <v>1101868476.7203064</v>
      </c>
      <c r="C400" s="39">
        <f t="shared" si="24"/>
        <v>1289750000</v>
      </c>
      <c r="D400" s="76">
        <f t="shared" si="25"/>
        <v>187881523.2796936</v>
      </c>
    </row>
    <row r="401" spans="1:4" x14ac:dyDescent="0.3">
      <c r="A401">
        <v>168000</v>
      </c>
      <c r="B401" s="29">
        <f t="shared" si="23"/>
        <v>1105062984.4109664</v>
      </c>
      <c r="C401" s="39">
        <f t="shared" si="24"/>
        <v>1293600000</v>
      </c>
      <c r="D401" s="76">
        <f t="shared" si="25"/>
        <v>188537015.5890336</v>
      </c>
    </row>
    <row r="402" spans="1:4" x14ac:dyDescent="0.3">
      <c r="A402">
        <v>168500</v>
      </c>
      <c r="B402" s="29">
        <f t="shared" si="23"/>
        <v>1108257492.1016264</v>
      </c>
      <c r="C402" s="39">
        <f t="shared" si="24"/>
        <v>1297450000</v>
      </c>
      <c r="D402" s="76">
        <f t="shared" si="25"/>
        <v>189192507.8983736</v>
      </c>
    </row>
    <row r="403" spans="1:4" x14ac:dyDescent="0.3">
      <c r="A403">
        <v>169000</v>
      </c>
      <c r="B403" s="29">
        <f t="shared" si="23"/>
        <v>1111451999.7922864</v>
      </c>
      <c r="C403" s="39">
        <f t="shared" si="24"/>
        <v>1301300000</v>
      </c>
      <c r="D403" s="76">
        <f t="shared" si="25"/>
        <v>189848000.2077136</v>
      </c>
    </row>
    <row r="404" spans="1:4" x14ac:dyDescent="0.3">
      <c r="A404">
        <v>169500</v>
      </c>
      <c r="B404" s="29">
        <f t="shared" si="23"/>
        <v>1114646507.4829464</v>
      </c>
      <c r="C404" s="39">
        <f t="shared" si="24"/>
        <v>1305150000</v>
      </c>
      <c r="D404" s="76">
        <f t="shared" si="25"/>
        <v>190503492.5170536</v>
      </c>
    </row>
    <row r="405" spans="1:4" x14ac:dyDescent="0.3">
      <c r="A405">
        <v>170000</v>
      </c>
      <c r="B405" s="29">
        <f t="shared" si="23"/>
        <v>1117841015.1736064</v>
      </c>
      <c r="C405" s="39">
        <f t="shared" si="24"/>
        <v>1309000000</v>
      </c>
      <c r="D405" s="76">
        <f t="shared" si="25"/>
        <v>191158984.8263936</v>
      </c>
    </row>
    <row r="406" spans="1:4" x14ac:dyDescent="0.3">
      <c r="A406">
        <v>170500</v>
      </c>
      <c r="B406" s="29">
        <f t="shared" si="23"/>
        <v>1121035522.8642664</v>
      </c>
      <c r="C406" s="39">
        <f t="shared" si="24"/>
        <v>1312850000</v>
      </c>
      <c r="D406" s="76">
        <f t="shared" si="25"/>
        <v>191814477.1357336</v>
      </c>
    </row>
    <row r="407" spans="1:4" x14ac:dyDescent="0.3">
      <c r="A407">
        <v>171000</v>
      </c>
      <c r="B407" s="29">
        <f t="shared" si="23"/>
        <v>1124230030.5549264</v>
      </c>
      <c r="C407" s="39">
        <f t="shared" si="24"/>
        <v>1316700000</v>
      </c>
      <c r="D407" s="76">
        <f t="shared" si="25"/>
        <v>192469969.4450736</v>
      </c>
    </row>
    <row r="408" spans="1:4" x14ac:dyDescent="0.3">
      <c r="A408">
        <v>171500</v>
      </c>
      <c r="B408" s="29">
        <f t="shared" si="23"/>
        <v>1127424538.2455864</v>
      </c>
      <c r="C408" s="39">
        <f t="shared" si="24"/>
        <v>1320550000</v>
      </c>
      <c r="D408" s="76">
        <f t="shared" si="25"/>
        <v>193125461.7544136</v>
      </c>
    </row>
    <row r="409" spans="1:4" x14ac:dyDescent="0.3">
      <c r="A409">
        <v>172000</v>
      </c>
      <c r="B409" s="29">
        <f t="shared" si="23"/>
        <v>1130619045.9362464</v>
      </c>
      <c r="C409" s="39">
        <f t="shared" si="24"/>
        <v>1324400000</v>
      </c>
      <c r="D409" s="76">
        <f t="shared" si="25"/>
        <v>193780954.0637536</v>
      </c>
    </row>
    <row r="410" spans="1:4" x14ac:dyDescent="0.3">
      <c r="A410">
        <v>172500</v>
      </c>
      <c r="B410" s="29">
        <f t="shared" si="23"/>
        <v>1133813553.6269064</v>
      </c>
      <c r="C410" s="39">
        <f t="shared" si="24"/>
        <v>1328250000</v>
      </c>
      <c r="D410" s="76">
        <f t="shared" si="25"/>
        <v>194436446.37309361</v>
      </c>
    </row>
    <row r="411" spans="1:4" x14ac:dyDescent="0.3">
      <c r="A411">
        <v>173000</v>
      </c>
      <c r="B411" s="29">
        <f t="shared" si="23"/>
        <v>1137008061.3175664</v>
      </c>
      <c r="C411" s="39">
        <f t="shared" si="24"/>
        <v>1332100000</v>
      </c>
      <c r="D411" s="76">
        <f t="shared" si="25"/>
        <v>195091938.68243361</v>
      </c>
    </row>
    <row r="412" spans="1:4" x14ac:dyDescent="0.3">
      <c r="A412">
        <v>173500</v>
      </c>
      <c r="B412" s="29">
        <f t="shared" si="23"/>
        <v>1140202569.0082264</v>
      </c>
      <c r="C412" s="39">
        <f t="shared" si="24"/>
        <v>1335950000</v>
      </c>
      <c r="D412" s="76">
        <f t="shared" si="25"/>
        <v>195747430.99177361</v>
      </c>
    </row>
    <row r="413" spans="1:4" x14ac:dyDescent="0.3">
      <c r="A413">
        <v>174000</v>
      </c>
      <c r="B413" s="29">
        <f t="shared" si="23"/>
        <v>1143397076.6988864</v>
      </c>
      <c r="C413" s="39">
        <f t="shared" si="24"/>
        <v>1339800000</v>
      </c>
      <c r="D413" s="76">
        <f t="shared" si="25"/>
        <v>196402923.30111361</v>
      </c>
    </row>
    <row r="414" spans="1:4" x14ac:dyDescent="0.3">
      <c r="A414">
        <v>174500</v>
      </c>
      <c r="B414" s="29">
        <f t="shared" si="23"/>
        <v>1146591584.3895464</v>
      </c>
      <c r="C414" s="39">
        <f t="shared" si="24"/>
        <v>1343650000</v>
      </c>
      <c r="D414" s="76">
        <f t="shared" si="25"/>
        <v>197058415.61045361</v>
      </c>
    </row>
    <row r="415" spans="1:4" x14ac:dyDescent="0.3">
      <c r="A415">
        <v>175000</v>
      </c>
      <c r="B415" s="29">
        <f t="shared" si="23"/>
        <v>1149786092.0802064</v>
      </c>
      <c r="C415" s="39">
        <f t="shared" si="24"/>
        <v>1347500000</v>
      </c>
      <c r="D415" s="76">
        <f t="shared" si="25"/>
        <v>197713907.91979361</v>
      </c>
    </row>
    <row r="416" spans="1:4" x14ac:dyDescent="0.3">
      <c r="A416">
        <v>175500</v>
      </c>
      <c r="B416" s="29">
        <f t="shared" si="23"/>
        <v>1152980599.7708664</v>
      </c>
      <c r="C416" s="39">
        <f t="shared" si="24"/>
        <v>1351350000</v>
      </c>
      <c r="D416" s="76">
        <f t="shared" si="25"/>
        <v>198369400.22913361</v>
      </c>
    </row>
    <row r="417" spans="1:4" x14ac:dyDescent="0.3">
      <c r="A417">
        <v>176000</v>
      </c>
      <c r="B417" s="29">
        <f t="shared" si="23"/>
        <v>1156175107.4615264</v>
      </c>
      <c r="C417" s="39">
        <f t="shared" si="24"/>
        <v>1355200000</v>
      </c>
      <c r="D417" s="76">
        <f t="shared" si="25"/>
        <v>199024892.53847361</v>
      </c>
    </row>
    <row r="418" spans="1:4" x14ac:dyDescent="0.3">
      <c r="A418">
        <v>176500</v>
      </c>
      <c r="B418" s="29">
        <f t="shared" si="23"/>
        <v>1159369615.1521864</v>
      </c>
      <c r="C418" s="39">
        <f t="shared" si="24"/>
        <v>1359050000</v>
      </c>
      <c r="D418" s="76">
        <f t="shared" si="25"/>
        <v>199680384.84781361</v>
      </c>
    </row>
    <row r="419" spans="1:4" x14ac:dyDescent="0.3">
      <c r="A419">
        <v>177000</v>
      </c>
      <c r="B419" s="29">
        <f t="shared" si="23"/>
        <v>1162564122.8428464</v>
      </c>
      <c r="C419" s="39">
        <f t="shared" si="24"/>
        <v>1362900000</v>
      </c>
      <c r="D419" s="76">
        <f t="shared" si="25"/>
        <v>200335877.15715361</v>
      </c>
    </row>
    <row r="420" spans="1:4" x14ac:dyDescent="0.3">
      <c r="A420">
        <v>177500</v>
      </c>
      <c r="B420" s="29">
        <f t="shared" si="23"/>
        <v>1165758630.5335064</v>
      </c>
      <c r="C420" s="39">
        <f t="shared" si="24"/>
        <v>1366750000</v>
      </c>
      <c r="D420" s="76">
        <f t="shared" si="25"/>
        <v>200991369.46649361</v>
      </c>
    </row>
    <row r="421" spans="1:4" x14ac:dyDescent="0.3">
      <c r="A421">
        <v>178000</v>
      </c>
      <c r="B421" s="29">
        <f t="shared" si="23"/>
        <v>1168953138.2241664</v>
      </c>
      <c r="C421" s="39">
        <f t="shared" si="24"/>
        <v>1370600000</v>
      </c>
      <c r="D421" s="76">
        <f t="shared" si="25"/>
        <v>201646861.77583361</v>
      </c>
    </row>
    <row r="422" spans="1:4" x14ac:dyDescent="0.3">
      <c r="A422">
        <v>178500</v>
      </c>
      <c r="B422" s="29">
        <f t="shared" si="23"/>
        <v>1172147645.9148264</v>
      </c>
      <c r="C422" s="39">
        <f t="shared" si="24"/>
        <v>1374450000</v>
      </c>
      <c r="D422" s="76">
        <f t="shared" si="25"/>
        <v>202302354.08517361</v>
      </c>
    </row>
    <row r="423" spans="1:4" x14ac:dyDescent="0.3">
      <c r="A423">
        <v>179000</v>
      </c>
      <c r="B423" s="29">
        <f t="shared" si="23"/>
        <v>1175342153.6054864</v>
      </c>
      <c r="C423" s="39">
        <f t="shared" si="24"/>
        <v>1378300000</v>
      </c>
      <c r="D423" s="76">
        <f t="shared" si="25"/>
        <v>202957846.39451361</v>
      </c>
    </row>
    <row r="424" spans="1:4" x14ac:dyDescent="0.3">
      <c r="A424">
        <v>179500</v>
      </c>
      <c r="B424" s="29">
        <f t="shared" si="23"/>
        <v>1178536661.2961464</v>
      </c>
      <c r="C424" s="39">
        <f t="shared" si="24"/>
        <v>1382150000</v>
      </c>
      <c r="D424" s="76">
        <f t="shared" si="25"/>
        <v>203613338.70385361</v>
      </c>
    </row>
    <row r="425" spans="1:4" x14ac:dyDescent="0.3">
      <c r="A425">
        <v>180000</v>
      </c>
      <c r="B425" s="29">
        <f t="shared" si="23"/>
        <v>1181731168.9868064</v>
      </c>
      <c r="C425" s="39">
        <f t="shared" si="24"/>
        <v>1386000000</v>
      </c>
      <c r="D425" s="76">
        <f t="shared" si="25"/>
        <v>204268831.01319361</v>
      </c>
    </row>
    <row r="426" spans="1:4" x14ac:dyDescent="0.3">
      <c r="A426">
        <v>180500</v>
      </c>
      <c r="B426" s="29">
        <f t="shared" si="23"/>
        <v>1184925676.6774664</v>
      </c>
      <c r="C426" s="39">
        <f t="shared" si="24"/>
        <v>1389850000</v>
      </c>
      <c r="D426" s="76">
        <f t="shared" si="25"/>
        <v>204924323.32253361</v>
      </c>
    </row>
    <row r="427" spans="1:4" x14ac:dyDescent="0.3">
      <c r="A427">
        <v>181000</v>
      </c>
      <c r="B427" s="29">
        <f t="shared" si="23"/>
        <v>1188120184.3681264</v>
      </c>
      <c r="C427" s="39">
        <f t="shared" si="24"/>
        <v>1393700000</v>
      </c>
      <c r="D427" s="76">
        <f t="shared" si="25"/>
        <v>205579815.63187361</v>
      </c>
    </row>
    <row r="428" spans="1:4" x14ac:dyDescent="0.3">
      <c r="A428">
        <v>181500</v>
      </c>
      <c r="B428" s="29">
        <f t="shared" si="23"/>
        <v>1191314692.0587864</v>
      </c>
      <c r="C428" s="39">
        <f t="shared" si="24"/>
        <v>1397550000</v>
      </c>
      <c r="D428" s="76">
        <f t="shared" si="25"/>
        <v>206235307.94121361</v>
      </c>
    </row>
    <row r="429" spans="1:4" x14ac:dyDescent="0.3">
      <c r="A429">
        <v>182000</v>
      </c>
      <c r="B429" s="29">
        <f t="shared" si="23"/>
        <v>1194509199.7494464</v>
      </c>
      <c r="C429" s="39">
        <f t="shared" si="24"/>
        <v>1401400000</v>
      </c>
      <c r="D429" s="76">
        <f t="shared" si="25"/>
        <v>206890800.25055361</v>
      </c>
    </row>
    <row r="430" spans="1:4" x14ac:dyDescent="0.3">
      <c r="A430">
        <v>182500</v>
      </c>
      <c r="B430" s="29">
        <f t="shared" si="23"/>
        <v>1197703707.4401064</v>
      </c>
      <c r="C430" s="39">
        <f t="shared" si="24"/>
        <v>1405250000</v>
      </c>
      <c r="D430" s="76">
        <f t="shared" si="25"/>
        <v>207546292.55989361</v>
      </c>
    </row>
    <row r="431" spans="1:4" x14ac:dyDescent="0.3">
      <c r="A431">
        <v>183000</v>
      </c>
      <c r="B431" s="29">
        <f t="shared" si="23"/>
        <v>1200898215.1307664</v>
      </c>
      <c r="C431" s="39">
        <f t="shared" si="24"/>
        <v>1409100000</v>
      </c>
      <c r="D431" s="76">
        <f t="shared" si="25"/>
        <v>208201784.86923361</v>
      </c>
    </row>
    <row r="432" spans="1:4" x14ac:dyDescent="0.3">
      <c r="A432">
        <v>183500</v>
      </c>
      <c r="B432" s="29">
        <f t="shared" si="23"/>
        <v>1204092722.8214264</v>
      </c>
      <c r="C432" s="39">
        <f t="shared" si="24"/>
        <v>1412950000</v>
      </c>
      <c r="D432" s="76">
        <f t="shared" si="25"/>
        <v>208857277.17857361</v>
      </c>
    </row>
    <row r="433" spans="1:4" x14ac:dyDescent="0.3">
      <c r="A433">
        <v>184000</v>
      </c>
      <c r="B433" s="29">
        <f t="shared" si="23"/>
        <v>1207287230.5120864</v>
      </c>
      <c r="C433" s="39">
        <f t="shared" si="24"/>
        <v>1416800000</v>
      </c>
      <c r="D433" s="76">
        <f t="shared" si="25"/>
        <v>209512769.48791361</v>
      </c>
    </row>
    <row r="434" spans="1:4" x14ac:dyDescent="0.3">
      <c r="A434">
        <v>184500</v>
      </c>
      <c r="B434" s="29">
        <f t="shared" si="23"/>
        <v>1210481738.2027464</v>
      </c>
      <c r="C434" s="39">
        <f t="shared" si="24"/>
        <v>1420650000</v>
      </c>
      <c r="D434" s="76">
        <f t="shared" si="25"/>
        <v>210168261.79725361</v>
      </c>
    </row>
    <row r="435" spans="1:4" x14ac:dyDescent="0.3">
      <c r="A435">
        <v>185000</v>
      </c>
      <c r="B435" s="29">
        <f t="shared" si="23"/>
        <v>1213676245.8934064</v>
      </c>
      <c r="C435" s="39">
        <f t="shared" si="24"/>
        <v>1424500000</v>
      </c>
      <c r="D435" s="76">
        <f t="shared" si="25"/>
        <v>210823754.10659361</v>
      </c>
    </row>
    <row r="436" spans="1:4" x14ac:dyDescent="0.3">
      <c r="A436">
        <v>185500</v>
      </c>
      <c r="B436" s="29">
        <f t="shared" si="23"/>
        <v>1216870753.5840664</v>
      </c>
      <c r="C436" s="39">
        <f t="shared" si="24"/>
        <v>1428350000</v>
      </c>
      <c r="D436" s="76">
        <f t="shared" si="25"/>
        <v>211479246.41593361</v>
      </c>
    </row>
    <row r="437" spans="1:4" x14ac:dyDescent="0.3">
      <c r="A437">
        <v>186000</v>
      </c>
      <c r="B437" s="29">
        <f t="shared" si="23"/>
        <v>1220065261.2747264</v>
      </c>
      <c r="C437" s="39">
        <f t="shared" si="24"/>
        <v>1432200000</v>
      </c>
      <c r="D437" s="76">
        <f t="shared" si="25"/>
        <v>212134738.72527361</v>
      </c>
    </row>
    <row r="438" spans="1:4" x14ac:dyDescent="0.3">
      <c r="A438">
        <v>186500</v>
      </c>
      <c r="B438" s="29">
        <f t="shared" si="23"/>
        <v>1223259768.9653864</v>
      </c>
      <c r="C438" s="39">
        <f t="shared" si="24"/>
        <v>1436050000</v>
      </c>
      <c r="D438" s="76">
        <f t="shared" si="25"/>
        <v>212790231.03461361</v>
      </c>
    </row>
    <row r="439" spans="1:4" x14ac:dyDescent="0.3">
      <c r="A439">
        <v>187000</v>
      </c>
      <c r="B439" s="29">
        <f t="shared" si="23"/>
        <v>1226454276.6560464</v>
      </c>
      <c r="C439" s="39">
        <f t="shared" si="24"/>
        <v>1439900000</v>
      </c>
      <c r="D439" s="76">
        <f t="shared" si="25"/>
        <v>213445723.34395361</v>
      </c>
    </row>
    <row r="440" spans="1:4" x14ac:dyDescent="0.3">
      <c r="A440">
        <v>187500</v>
      </c>
      <c r="B440" s="29">
        <f t="shared" si="23"/>
        <v>1229648784.3467064</v>
      </c>
      <c r="C440" s="39">
        <f t="shared" si="24"/>
        <v>1443750000</v>
      </c>
      <c r="D440" s="76">
        <f t="shared" si="25"/>
        <v>214101215.65329361</v>
      </c>
    </row>
    <row r="441" spans="1:4" x14ac:dyDescent="0.3">
      <c r="A441">
        <v>188000</v>
      </c>
      <c r="B441" s="29">
        <f t="shared" si="23"/>
        <v>1232843292.0373664</v>
      </c>
      <c r="C441" s="39">
        <f t="shared" si="24"/>
        <v>1447600000</v>
      </c>
      <c r="D441" s="76">
        <f t="shared" si="25"/>
        <v>214756707.96263361</v>
      </c>
    </row>
    <row r="442" spans="1:4" x14ac:dyDescent="0.3">
      <c r="A442">
        <v>188500</v>
      </c>
      <c r="B442" s="29">
        <f t="shared" si="23"/>
        <v>1236037799.7280264</v>
      </c>
      <c r="C442" s="39">
        <f t="shared" si="24"/>
        <v>1451450000</v>
      </c>
      <c r="D442" s="76">
        <f t="shared" si="25"/>
        <v>215412200.27197361</v>
      </c>
    </row>
    <row r="443" spans="1:4" x14ac:dyDescent="0.3">
      <c r="A443">
        <v>189000</v>
      </c>
      <c r="B443" s="29">
        <f t="shared" si="23"/>
        <v>1239232307.4186864</v>
      </c>
      <c r="C443" s="39">
        <f t="shared" si="24"/>
        <v>1455300000</v>
      </c>
      <c r="D443" s="76">
        <f t="shared" si="25"/>
        <v>216067692.58131361</v>
      </c>
    </row>
    <row r="444" spans="1:4" x14ac:dyDescent="0.3">
      <c r="A444">
        <v>189500</v>
      </c>
      <c r="B444" s="29">
        <f t="shared" si="23"/>
        <v>1242426815.1093464</v>
      </c>
      <c r="C444" s="39">
        <f t="shared" si="24"/>
        <v>1459150000</v>
      </c>
      <c r="D444" s="76">
        <f t="shared" si="25"/>
        <v>216723184.89065361</v>
      </c>
    </row>
    <row r="445" spans="1:4" x14ac:dyDescent="0.3">
      <c r="A445">
        <v>190000</v>
      </c>
      <c r="B445" s="29">
        <f t="shared" si="23"/>
        <v>1245621322.8000064</v>
      </c>
      <c r="C445" s="39">
        <f t="shared" si="24"/>
        <v>1463000000</v>
      </c>
      <c r="D445" s="76">
        <f t="shared" si="25"/>
        <v>217378677.19999361</v>
      </c>
    </row>
    <row r="446" spans="1:4" x14ac:dyDescent="0.3">
      <c r="A446">
        <v>190500</v>
      </c>
      <c r="B446" s="29">
        <f t="shared" si="23"/>
        <v>1248815830.4906664</v>
      </c>
      <c r="C446" s="39">
        <f t="shared" si="24"/>
        <v>1466850000</v>
      </c>
      <c r="D446" s="76">
        <f t="shared" si="25"/>
        <v>218034169.50933361</v>
      </c>
    </row>
    <row r="447" spans="1:4" x14ac:dyDescent="0.3">
      <c r="A447">
        <v>191000</v>
      </c>
      <c r="B447" s="29">
        <f t="shared" si="23"/>
        <v>1252010338.1813264</v>
      </c>
      <c r="C447" s="39">
        <f t="shared" si="24"/>
        <v>1470700000</v>
      </c>
      <c r="D447" s="76">
        <f t="shared" si="25"/>
        <v>218689661.81867361</v>
      </c>
    </row>
    <row r="448" spans="1:4" x14ac:dyDescent="0.3">
      <c r="A448">
        <v>191500</v>
      </c>
      <c r="B448" s="29">
        <f t="shared" si="23"/>
        <v>1255204845.8719864</v>
      </c>
      <c r="C448" s="39">
        <f t="shared" si="24"/>
        <v>1474550000</v>
      </c>
      <c r="D448" s="76">
        <f t="shared" si="25"/>
        <v>219345154.12801361</v>
      </c>
    </row>
    <row r="449" spans="1:4" x14ac:dyDescent="0.3">
      <c r="A449">
        <v>192000</v>
      </c>
      <c r="B449" s="29">
        <f t="shared" si="23"/>
        <v>1258399353.5626464</v>
      </c>
      <c r="C449" s="39">
        <f t="shared" si="24"/>
        <v>1478400000</v>
      </c>
      <c r="D449" s="76">
        <f t="shared" si="25"/>
        <v>220000646.43735361</v>
      </c>
    </row>
    <row r="450" spans="1:4" x14ac:dyDescent="0.3">
      <c r="A450">
        <v>192500</v>
      </c>
      <c r="B450" s="29">
        <f t="shared" ref="B450:B513" si="26">$B$54+($B$60*A450)</f>
        <v>1261593861.2533064</v>
      </c>
      <c r="C450" s="39">
        <f t="shared" ref="C450:C513" si="27">$E$50*A450</f>
        <v>1482250000</v>
      </c>
      <c r="D450" s="76">
        <f t="shared" ref="D450:D513" si="28">C450-B450</f>
        <v>220656138.74669361</v>
      </c>
    </row>
    <row r="451" spans="1:4" x14ac:dyDescent="0.3">
      <c r="A451">
        <v>193000</v>
      </c>
      <c r="B451" s="29">
        <f t="shared" si="26"/>
        <v>1264788368.9439664</v>
      </c>
      <c r="C451" s="39">
        <f t="shared" si="27"/>
        <v>1486100000</v>
      </c>
      <c r="D451" s="76">
        <f t="shared" si="28"/>
        <v>221311631.05603361</v>
      </c>
    </row>
    <row r="452" spans="1:4" x14ac:dyDescent="0.3">
      <c r="A452">
        <v>193500</v>
      </c>
      <c r="B452" s="29">
        <f t="shared" si="26"/>
        <v>1267982876.6346264</v>
      </c>
      <c r="C452" s="39">
        <f t="shared" si="27"/>
        <v>1489950000</v>
      </c>
      <c r="D452" s="76">
        <f t="shared" si="28"/>
        <v>221967123.36537361</v>
      </c>
    </row>
    <row r="453" spans="1:4" x14ac:dyDescent="0.3">
      <c r="A453">
        <v>194000</v>
      </c>
      <c r="B453" s="29">
        <f t="shared" si="26"/>
        <v>1271177384.3252864</v>
      </c>
      <c r="C453" s="39">
        <f t="shared" si="27"/>
        <v>1493800000</v>
      </c>
      <c r="D453" s="76">
        <f t="shared" si="28"/>
        <v>222622615.67471361</v>
      </c>
    </row>
    <row r="454" spans="1:4" x14ac:dyDescent="0.3">
      <c r="A454">
        <v>194500</v>
      </c>
      <c r="B454" s="29">
        <f t="shared" si="26"/>
        <v>1274371892.0159464</v>
      </c>
      <c r="C454" s="39">
        <f t="shared" si="27"/>
        <v>1497650000</v>
      </c>
      <c r="D454" s="76">
        <f t="shared" si="28"/>
        <v>223278107.98405361</v>
      </c>
    </row>
    <row r="455" spans="1:4" x14ac:dyDescent="0.3">
      <c r="A455">
        <v>195000</v>
      </c>
      <c r="B455" s="29">
        <f t="shared" si="26"/>
        <v>1277566399.7066064</v>
      </c>
      <c r="C455" s="39">
        <f t="shared" si="27"/>
        <v>1501500000</v>
      </c>
      <c r="D455" s="76">
        <f t="shared" si="28"/>
        <v>223933600.29339361</v>
      </c>
    </row>
    <row r="456" spans="1:4" x14ac:dyDescent="0.3">
      <c r="A456">
        <v>195500</v>
      </c>
      <c r="B456" s="29">
        <f t="shared" si="26"/>
        <v>1280760907.3972664</v>
      </c>
      <c r="C456" s="39">
        <f t="shared" si="27"/>
        <v>1505350000</v>
      </c>
      <c r="D456" s="76">
        <f t="shared" si="28"/>
        <v>224589092.60273361</v>
      </c>
    </row>
    <row r="457" spans="1:4" x14ac:dyDescent="0.3">
      <c r="A457">
        <v>196000</v>
      </c>
      <c r="B457" s="29">
        <f t="shared" si="26"/>
        <v>1283955415.0879264</v>
      </c>
      <c r="C457" s="39">
        <f t="shared" si="27"/>
        <v>1509200000</v>
      </c>
      <c r="D457" s="76">
        <f t="shared" si="28"/>
        <v>225244584.91207361</v>
      </c>
    </row>
    <row r="458" spans="1:4" x14ac:dyDescent="0.3">
      <c r="A458">
        <v>196500</v>
      </c>
      <c r="B458" s="29">
        <f t="shared" si="26"/>
        <v>1287149922.7785864</v>
      </c>
      <c r="C458" s="39">
        <f t="shared" si="27"/>
        <v>1513050000</v>
      </c>
      <c r="D458" s="76">
        <f t="shared" si="28"/>
        <v>225900077.22141361</v>
      </c>
    </row>
    <row r="459" spans="1:4" x14ac:dyDescent="0.3">
      <c r="A459">
        <v>197000</v>
      </c>
      <c r="B459" s="29">
        <f t="shared" si="26"/>
        <v>1290344430.4692464</v>
      </c>
      <c r="C459" s="39">
        <f t="shared" si="27"/>
        <v>1516900000</v>
      </c>
      <c r="D459" s="76">
        <f t="shared" si="28"/>
        <v>226555569.53075361</v>
      </c>
    </row>
    <row r="460" spans="1:4" x14ac:dyDescent="0.3">
      <c r="A460">
        <v>197500</v>
      </c>
      <c r="B460" s="29">
        <f t="shared" si="26"/>
        <v>1293538938.1599064</v>
      </c>
      <c r="C460" s="39">
        <f t="shared" si="27"/>
        <v>1520750000</v>
      </c>
      <c r="D460" s="76">
        <f t="shared" si="28"/>
        <v>227211061.84009361</v>
      </c>
    </row>
    <row r="461" spans="1:4" x14ac:dyDescent="0.3">
      <c r="A461">
        <v>198000</v>
      </c>
      <c r="B461" s="29">
        <f t="shared" si="26"/>
        <v>1296733445.8505664</v>
      </c>
      <c r="C461" s="39">
        <f t="shared" si="27"/>
        <v>1524600000</v>
      </c>
      <c r="D461" s="76">
        <f t="shared" si="28"/>
        <v>227866554.14943361</v>
      </c>
    </row>
    <row r="462" spans="1:4" x14ac:dyDescent="0.3">
      <c r="A462">
        <v>198500</v>
      </c>
      <c r="B462" s="29">
        <f t="shared" si="26"/>
        <v>1299927953.5412264</v>
      </c>
      <c r="C462" s="39">
        <f t="shared" si="27"/>
        <v>1528450000</v>
      </c>
      <c r="D462" s="76">
        <f t="shared" si="28"/>
        <v>228522046.45877361</v>
      </c>
    </row>
    <row r="463" spans="1:4" x14ac:dyDescent="0.3">
      <c r="A463">
        <v>199000</v>
      </c>
      <c r="B463" s="29">
        <f t="shared" si="26"/>
        <v>1303122461.2318864</v>
      </c>
      <c r="C463" s="39">
        <f t="shared" si="27"/>
        <v>1532300000</v>
      </c>
      <c r="D463" s="76">
        <f t="shared" si="28"/>
        <v>229177538.76811361</v>
      </c>
    </row>
    <row r="464" spans="1:4" x14ac:dyDescent="0.3">
      <c r="A464">
        <v>199500</v>
      </c>
      <c r="B464" s="29">
        <f t="shared" si="26"/>
        <v>1306316968.9225464</v>
      </c>
      <c r="C464" s="39">
        <f t="shared" si="27"/>
        <v>1536150000</v>
      </c>
      <c r="D464" s="76">
        <f t="shared" si="28"/>
        <v>229833031.07745361</v>
      </c>
    </row>
    <row r="465" spans="1:4" x14ac:dyDescent="0.3">
      <c r="A465">
        <v>200000</v>
      </c>
      <c r="B465" s="29">
        <f t="shared" si="26"/>
        <v>1309511476.6132064</v>
      </c>
      <c r="C465" s="39">
        <f t="shared" si="27"/>
        <v>1540000000</v>
      </c>
      <c r="D465" s="76">
        <f t="shared" si="28"/>
        <v>230488523.38679361</v>
      </c>
    </row>
    <row r="466" spans="1:4" x14ac:dyDescent="0.3">
      <c r="A466">
        <v>200500</v>
      </c>
      <c r="B466" s="29">
        <f t="shared" si="26"/>
        <v>1312705984.3038664</v>
      </c>
      <c r="C466" s="39">
        <f t="shared" si="27"/>
        <v>1543850000</v>
      </c>
      <c r="D466" s="76">
        <f t="shared" si="28"/>
        <v>231144015.69613361</v>
      </c>
    </row>
    <row r="467" spans="1:4" x14ac:dyDescent="0.3">
      <c r="A467">
        <v>201000</v>
      </c>
      <c r="B467" s="29">
        <f t="shared" si="26"/>
        <v>1315900491.9945264</v>
      </c>
      <c r="C467" s="39">
        <f t="shared" si="27"/>
        <v>1547700000</v>
      </c>
      <c r="D467" s="76">
        <f t="shared" si="28"/>
        <v>231799508.00547361</v>
      </c>
    </row>
    <row r="468" spans="1:4" x14ac:dyDescent="0.3">
      <c r="A468">
        <v>201500</v>
      </c>
      <c r="B468" s="29">
        <f t="shared" si="26"/>
        <v>1319094999.6851864</v>
      </c>
      <c r="C468" s="39">
        <f t="shared" si="27"/>
        <v>1551550000</v>
      </c>
      <c r="D468" s="76">
        <f t="shared" si="28"/>
        <v>232455000.31481361</v>
      </c>
    </row>
    <row r="469" spans="1:4" x14ac:dyDescent="0.3">
      <c r="A469">
        <v>202000</v>
      </c>
      <c r="B469" s="29">
        <f t="shared" si="26"/>
        <v>1322289507.3758464</v>
      </c>
      <c r="C469" s="39">
        <f t="shared" si="27"/>
        <v>1555400000</v>
      </c>
      <c r="D469" s="76">
        <f t="shared" si="28"/>
        <v>233110492.62415361</v>
      </c>
    </row>
    <row r="470" spans="1:4" x14ac:dyDescent="0.3">
      <c r="A470">
        <v>202500</v>
      </c>
      <c r="B470" s="29">
        <f t="shared" si="26"/>
        <v>1325484015.0665064</v>
      </c>
      <c r="C470" s="39">
        <f t="shared" si="27"/>
        <v>1559250000</v>
      </c>
      <c r="D470" s="76">
        <f t="shared" si="28"/>
        <v>233765984.93349361</v>
      </c>
    </row>
    <row r="471" spans="1:4" x14ac:dyDescent="0.3">
      <c r="A471">
        <v>203000</v>
      </c>
      <c r="B471" s="29">
        <f t="shared" si="26"/>
        <v>1328678522.7571664</v>
      </c>
      <c r="C471" s="39">
        <f t="shared" si="27"/>
        <v>1563100000</v>
      </c>
      <c r="D471" s="76">
        <f t="shared" si="28"/>
        <v>234421477.24283361</v>
      </c>
    </row>
    <row r="472" spans="1:4" x14ac:dyDescent="0.3">
      <c r="A472">
        <v>203500</v>
      </c>
      <c r="B472" s="29">
        <f t="shared" si="26"/>
        <v>1331873030.4478264</v>
      </c>
      <c r="C472" s="39">
        <f t="shared" si="27"/>
        <v>1566950000</v>
      </c>
      <c r="D472" s="76">
        <f t="shared" si="28"/>
        <v>235076969.55217361</v>
      </c>
    </row>
    <row r="473" spans="1:4" x14ac:dyDescent="0.3">
      <c r="A473">
        <v>204000</v>
      </c>
      <c r="B473" s="29">
        <f t="shared" si="26"/>
        <v>1335067538.1384864</v>
      </c>
      <c r="C473" s="39">
        <f t="shared" si="27"/>
        <v>1570800000</v>
      </c>
      <c r="D473" s="76">
        <f t="shared" si="28"/>
        <v>235732461.86151361</v>
      </c>
    </row>
    <row r="474" spans="1:4" x14ac:dyDescent="0.3">
      <c r="A474">
        <v>204500</v>
      </c>
      <c r="B474" s="29">
        <f t="shared" si="26"/>
        <v>1338262045.8291464</v>
      </c>
      <c r="C474" s="39">
        <f t="shared" si="27"/>
        <v>1574650000</v>
      </c>
      <c r="D474" s="76">
        <f t="shared" si="28"/>
        <v>236387954.17085361</v>
      </c>
    </row>
    <row r="475" spans="1:4" x14ac:dyDescent="0.3">
      <c r="A475">
        <v>205000</v>
      </c>
      <c r="B475" s="29">
        <f t="shared" si="26"/>
        <v>1341456553.5198064</v>
      </c>
      <c r="C475" s="39">
        <f t="shared" si="27"/>
        <v>1578500000</v>
      </c>
      <c r="D475" s="76">
        <f t="shared" si="28"/>
        <v>237043446.48019361</v>
      </c>
    </row>
    <row r="476" spans="1:4" x14ac:dyDescent="0.3">
      <c r="A476">
        <v>205500</v>
      </c>
      <c r="B476" s="29">
        <f t="shared" si="26"/>
        <v>1344651061.2104664</v>
      </c>
      <c r="C476" s="39">
        <f t="shared" si="27"/>
        <v>1582350000</v>
      </c>
      <c r="D476" s="76">
        <f t="shared" si="28"/>
        <v>237698938.78953362</v>
      </c>
    </row>
    <row r="477" spans="1:4" x14ac:dyDescent="0.3">
      <c r="A477">
        <v>206000</v>
      </c>
      <c r="B477" s="29">
        <f t="shared" si="26"/>
        <v>1347845568.9011264</v>
      </c>
      <c r="C477" s="39">
        <f t="shared" si="27"/>
        <v>1586200000</v>
      </c>
      <c r="D477" s="76">
        <f t="shared" si="28"/>
        <v>238354431.09887362</v>
      </c>
    </row>
    <row r="478" spans="1:4" x14ac:dyDescent="0.3">
      <c r="A478">
        <v>206500</v>
      </c>
      <c r="B478" s="29">
        <f t="shared" si="26"/>
        <v>1351040076.5917864</v>
      </c>
      <c r="C478" s="39">
        <f t="shared" si="27"/>
        <v>1590050000</v>
      </c>
      <c r="D478" s="76">
        <f t="shared" si="28"/>
        <v>239009923.40821362</v>
      </c>
    </row>
    <row r="479" spans="1:4" x14ac:dyDescent="0.3">
      <c r="A479">
        <v>207000</v>
      </c>
      <c r="B479" s="29">
        <f t="shared" si="26"/>
        <v>1354234584.2824464</v>
      </c>
      <c r="C479" s="39">
        <f t="shared" si="27"/>
        <v>1593900000</v>
      </c>
      <c r="D479" s="76">
        <f t="shared" si="28"/>
        <v>239665415.71755362</v>
      </c>
    </row>
    <row r="480" spans="1:4" x14ac:dyDescent="0.3">
      <c r="A480">
        <v>207500</v>
      </c>
      <c r="B480" s="29">
        <f t="shared" si="26"/>
        <v>1357429091.9731064</v>
      </c>
      <c r="C480" s="39">
        <f t="shared" si="27"/>
        <v>1597750000</v>
      </c>
      <c r="D480" s="76">
        <f t="shared" si="28"/>
        <v>240320908.02689362</v>
      </c>
    </row>
    <row r="481" spans="1:4" x14ac:dyDescent="0.3">
      <c r="A481">
        <v>208000</v>
      </c>
      <c r="B481" s="29">
        <f t="shared" si="26"/>
        <v>1360623599.6637664</v>
      </c>
      <c r="C481" s="39">
        <f t="shared" si="27"/>
        <v>1601600000</v>
      </c>
      <c r="D481" s="76">
        <f t="shared" si="28"/>
        <v>240976400.33623362</v>
      </c>
    </row>
    <row r="482" spans="1:4" x14ac:dyDescent="0.3">
      <c r="A482">
        <v>208500</v>
      </c>
      <c r="B482" s="29">
        <f t="shared" si="26"/>
        <v>1363818107.3544264</v>
      </c>
      <c r="C482" s="39">
        <f t="shared" si="27"/>
        <v>1605450000</v>
      </c>
      <c r="D482" s="76">
        <f t="shared" si="28"/>
        <v>241631892.64557362</v>
      </c>
    </row>
    <row r="483" spans="1:4" x14ac:dyDescent="0.3">
      <c r="A483">
        <v>209000</v>
      </c>
      <c r="B483" s="29">
        <f t="shared" si="26"/>
        <v>1367012615.0450864</v>
      </c>
      <c r="C483" s="39">
        <f t="shared" si="27"/>
        <v>1609300000</v>
      </c>
      <c r="D483" s="76">
        <f t="shared" si="28"/>
        <v>242287384.95491362</v>
      </c>
    </row>
    <row r="484" spans="1:4" x14ac:dyDescent="0.3">
      <c r="A484">
        <v>209500</v>
      </c>
      <c r="B484" s="29">
        <f t="shared" si="26"/>
        <v>1370207122.7357464</v>
      </c>
      <c r="C484" s="39">
        <f t="shared" si="27"/>
        <v>1613150000</v>
      </c>
      <c r="D484" s="76">
        <f t="shared" si="28"/>
        <v>242942877.26425362</v>
      </c>
    </row>
    <row r="485" spans="1:4" x14ac:dyDescent="0.3">
      <c r="A485">
        <v>210000</v>
      </c>
      <c r="B485" s="29">
        <f t="shared" si="26"/>
        <v>1373401630.4264064</v>
      </c>
      <c r="C485" s="39">
        <f t="shared" si="27"/>
        <v>1617000000</v>
      </c>
      <c r="D485" s="76">
        <f t="shared" si="28"/>
        <v>243598369.57359362</v>
      </c>
    </row>
    <row r="486" spans="1:4" x14ac:dyDescent="0.3">
      <c r="A486">
        <v>210500</v>
      </c>
      <c r="B486" s="29">
        <f t="shared" si="26"/>
        <v>1376596138.1170664</v>
      </c>
      <c r="C486" s="39">
        <f t="shared" si="27"/>
        <v>1620850000</v>
      </c>
      <c r="D486" s="76">
        <f t="shared" si="28"/>
        <v>244253861.88293362</v>
      </c>
    </row>
    <row r="487" spans="1:4" x14ac:dyDescent="0.3">
      <c r="A487">
        <v>211000</v>
      </c>
      <c r="B487" s="29">
        <f t="shared" si="26"/>
        <v>1379790645.8077264</v>
      </c>
      <c r="C487" s="39">
        <f t="shared" si="27"/>
        <v>1624700000</v>
      </c>
      <c r="D487" s="76">
        <f t="shared" si="28"/>
        <v>244909354.19227362</v>
      </c>
    </row>
    <row r="488" spans="1:4" x14ac:dyDescent="0.3">
      <c r="A488">
        <v>211500</v>
      </c>
      <c r="B488" s="29">
        <f t="shared" si="26"/>
        <v>1382985153.4983864</v>
      </c>
      <c r="C488" s="39">
        <f t="shared" si="27"/>
        <v>1628550000</v>
      </c>
      <c r="D488" s="76">
        <f t="shared" si="28"/>
        <v>245564846.50161362</v>
      </c>
    </row>
    <row r="489" spans="1:4" x14ac:dyDescent="0.3">
      <c r="A489">
        <v>212000</v>
      </c>
      <c r="B489" s="29">
        <f t="shared" si="26"/>
        <v>1386179661.1890464</v>
      </c>
      <c r="C489" s="39">
        <f t="shared" si="27"/>
        <v>1632400000</v>
      </c>
      <c r="D489" s="76">
        <f t="shared" si="28"/>
        <v>246220338.81095362</v>
      </c>
    </row>
    <row r="490" spans="1:4" x14ac:dyDescent="0.3">
      <c r="A490">
        <v>212500</v>
      </c>
      <c r="B490" s="29">
        <f t="shared" si="26"/>
        <v>1389374168.8797064</v>
      </c>
      <c r="C490" s="39">
        <f t="shared" si="27"/>
        <v>1636250000</v>
      </c>
      <c r="D490" s="76">
        <f t="shared" si="28"/>
        <v>246875831.12029362</v>
      </c>
    </row>
    <row r="491" spans="1:4" x14ac:dyDescent="0.3">
      <c r="A491">
        <v>213000</v>
      </c>
      <c r="B491" s="29">
        <f t="shared" si="26"/>
        <v>1392568676.5703664</v>
      </c>
      <c r="C491" s="39">
        <f t="shared" si="27"/>
        <v>1640100000</v>
      </c>
      <c r="D491" s="76">
        <f t="shared" si="28"/>
        <v>247531323.42963362</v>
      </c>
    </row>
    <row r="492" spans="1:4" x14ac:dyDescent="0.3">
      <c r="A492">
        <v>213500</v>
      </c>
      <c r="B492" s="29">
        <f t="shared" si="26"/>
        <v>1395763184.2610264</v>
      </c>
      <c r="C492" s="39">
        <f t="shared" si="27"/>
        <v>1643950000</v>
      </c>
      <c r="D492" s="76">
        <f t="shared" si="28"/>
        <v>248186815.73897362</v>
      </c>
    </row>
    <row r="493" spans="1:4" x14ac:dyDescent="0.3">
      <c r="A493">
        <v>214000</v>
      </c>
      <c r="B493" s="29">
        <f t="shared" si="26"/>
        <v>1398957691.9516864</v>
      </c>
      <c r="C493" s="39">
        <f t="shared" si="27"/>
        <v>1647800000</v>
      </c>
      <c r="D493" s="76">
        <f t="shared" si="28"/>
        <v>248842308.04831362</v>
      </c>
    </row>
    <row r="494" spans="1:4" x14ac:dyDescent="0.3">
      <c r="A494">
        <v>214500</v>
      </c>
      <c r="B494" s="29">
        <f t="shared" si="26"/>
        <v>1402152199.6423464</v>
      </c>
      <c r="C494" s="39">
        <f t="shared" si="27"/>
        <v>1651650000</v>
      </c>
      <c r="D494" s="76">
        <f t="shared" si="28"/>
        <v>249497800.35765362</v>
      </c>
    </row>
    <row r="495" spans="1:4" x14ac:dyDescent="0.3">
      <c r="A495">
        <v>215000</v>
      </c>
      <c r="B495" s="29">
        <f t="shared" si="26"/>
        <v>1405346707.3330064</v>
      </c>
      <c r="C495" s="39">
        <f t="shared" si="27"/>
        <v>1655500000</v>
      </c>
      <c r="D495" s="76">
        <f t="shared" si="28"/>
        <v>250153292.66699362</v>
      </c>
    </row>
    <row r="496" spans="1:4" x14ac:dyDescent="0.3">
      <c r="A496">
        <v>215500</v>
      </c>
      <c r="B496" s="29">
        <f t="shared" si="26"/>
        <v>1408541215.0236664</v>
      </c>
      <c r="C496" s="39">
        <f t="shared" si="27"/>
        <v>1659350000</v>
      </c>
      <c r="D496" s="76">
        <f t="shared" si="28"/>
        <v>250808784.97633362</v>
      </c>
    </row>
    <row r="497" spans="1:4" x14ac:dyDescent="0.3">
      <c r="A497">
        <v>216000</v>
      </c>
      <c r="B497" s="29">
        <f t="shared" si="26"/>
        <v>1411735722.7143264</v>
      </c>
      <c r="C497" s="39">
        <f t="shared" si="27"/>
        <v>1663200000</v>
      </c>
      <c r="D497" s="76">
        <f t="shared" si="28"/>
        <v>251464277.28567362</v>
      </c>
    </row>
    <row r="498" spans="1:4" x14ac:dyDescent="0.3">
      <c r="A498">
        <v>216500</v>
      </c>
      <c r="B498" s="29">
        <f t="shared" si="26"/>
        <v>1414930230.4049864</v>
      </c>
      <c r="C498" s="39">
        <f t="shared" si="27"/>
        <v>1667050000</v>
      </c>
      <c r="D498" s="76">
        <f t="shared" si="28"/>
        <v>252119769.59501362</v>
      </c>
    </row>
    <row r="499" spans="1:4" x14ac:dyDescent="0.3">
      <c r="A499">
        <v>217000</v>
      </c>
      <c r="B499" s="29">
        <f t="shared" si="26"/>
        <v>1418124738.0956464</v>
      </c>
      <c r="C499" s="39">
        <f t="shared" si="27"/>
        <v>1670900000</v>
      </c>
      <c r="D499" s="76">
        <f t="shared" si="28"/>
        <v>252775261.90435362</v>
      </c>
    </row>
    <row r="500" spans="1:4" x14ac:dyDescent="0.3">
      <c r="A500">
        <v>217500</v>
      </c>
      <c r="B500" s="29">
        <f t="shared" si="26"/>
        <v>1421319245.7863064</v>
      </c>
      <c r="C500" s="39">
        <f t="shared" si="27"/>
        <v>1674750000</v>
      </c>
      <c r="D500" s="76">
        <f t="shared" si="28"/>
        <v>253430754.21369362</v>
      </c>
    </row>
    <row r="501" spans="1:4" x14ac:dyDescent="0.3">
      <c r="A501">
        <v>218000</v>
      </c>
      <c r="B501" s="29">
        <f t="shared" si="26"/>
        <v>1424513753.4769664</v>
      </c>
      <c r="C501" s="39">
        <f t="shared" si="27"/>
        <v>1678600000</v>
      </c>
      <c r="D501" s="76">
        <f t="shared" si="28"/>
        <v>254086246.52303362</v>
      </c>
    </row>
    <row r="502" spans="1:4" x14ac:dyDescent="0.3">
      <c r="A502">
        <v>218500</v>
      </c>
      <c r="B502" s="29">
        <f t="shared" si="26"/>
        <v>1427708261.1676264</v>
      </c>
      <c r="C502" s="39">
        <f t="shared" si="27"/>
        <v>1682450000</v>
      </c>
      <c r="D502" s="76">
        <f t="shared" si="28"/>
        <v>254741738.83237362</v>
      </c>
    </row>
    <row r="503" spans="1:4" x14ac:dyDescent="0.3">
      <c r="A503">
        <v>219000</v>
      </c>
      <c r="B503" s="29">
        <f t="shared" si="26"/>
        <v>1430902768.8582864</v>
      </c>
      <c r="C503" s="39">
        <f t="shared" si="27"/>
        <v>1686300000</v>
      </c>
      <c r="D503" s="76">
        <f t="shared" si="28"/>
        <v>255397231.14171362</v>
      </c>
    </row>
    <row r="504" spans="1:4" x14ac:dyDescent="0.3">
      <c r="A504">
        <v>219500</v>
      </c>
      <c r="B504" s="29">
        <f t="shared" si="26"/>
        <v>1434097276.5489464</v>
      </c>
      <c r="C504" s="39">
        <f t="shared" si="27"/>
        <v>1690150000</v>
      </c>
      <c r="D504" s="76">
        <f t="shared" si="28"/>
        <v>256052723.45105362</v>
      </c>
    </row>
    <row r="505" spans="1:4" x14ac:dyDescent="0.3">
      <c r="A505">
        <v>220000</v>
      </c>
      <c r="B505" s="29">
        <f t="shared" si="26"/>
        <v>1437291784.2396064</v>
      </c>
      <c r="C505" s="39">
        <f t="shared" si="27"/>
        <v>1694000000</v>
      </c>
      <c r="D505" s="76">
        <f t="shared" si="28"/>
        <v>256708215.76039362</v>
      </c>
    </row>
    <row r="506" spans="1:4" x14ac:dyDescent="0.3">
      <c r="A506">
        <v>220500</v>
      </c>
      <c r="B506" s="29">
        <f t="shared" si="26"/>
        <v>1440486291.9302664</v>
      </c>
      <c r="C506" s="39">
        <f t="shared" si="27"/>
        <v>1697850000</v>
      </c>
      <c r="D506" s="76">
        <f t="shared" si="28"/>
        <v>257363708.06973362</v>
      </c>
    </row>
    <row r="507" spans="1:4" x14ac:dyDescent="0.3">
      <c r="A507">
        <v>221000</v>
      </c>
      <c r="B507" s="29">
        <f t="shared" si="26"/>
        <v>1443680799.6209264</v>
      </c>
      <c r="C507" s="39">
        <f t="shared" si="27"/>
        <v>1701700000</v>
      </c>
      <c r="D507" s="76">
        <f t="shared" si="28"/>
        <v>258019200.37907362</v>
      </c>
    </row>
    <row r="508" spans="1:4" x14ac:dyDescent="0.3">
      <c r="A508">
        <v>221500</v>
      </c>
      <c r="B508" s="29">
        <f t="shared" si="26"/>
        <v>1446875307.3115864</v>
      </c>
      <c r="C508" s="39">
        <f t="shared" si="27"/>
        <v>1705550000</v>
      </c>
      <c r="D508" s="76">
        <f t="shared" si="28"/>
        <v>258674692.68841362</v>
      </c>
    </row>
    <row r="509" spans="1:4" x14ac:dyDescent="0.3">
      <c r="A509">
        <v>222000</v>
      </c>
      <c r="B509" s="29">
        <f t="shared" si="26"/>
        <v>1450069815.0022464</v>
      </c>
      <c r="C509" s="39">
        <f t="shared" si="27"/>
        <v>1709400000</v>
      </c>
      <c r="D509" s="76">
        <f t="shared" si="28"/>
        <v>259330184.99775362</v>
      </c>
    </row>
    <row r="510" spans="1:4" x14ac:dyDescent="0.3">
      <c r="A510">
        <v>222500</v>
      </c>
      <c r="B510" s="29">
        <f t="shared" si="26"/>
        <v>1453264322.6929064</v>
      </c>
      <c r="C510" s="39">
        <f t="shared" si="27"/>
        <v>1713250000</v>
      </c>
      <c r="D510" s="76">
        <f t="shared" si="28"/>
        <v>259985677.30709362</v>
      </c>
    </row>
    <row r="511" spans="1:4" x14ac:dyDescent="0.3">
      <c r="A511">
        <v>223000</v>
      </c>
      <c r="B511" s="29">
        <f t="shared" si="26"/>
        <v>1456458830.3835664</v>
      </c>
      <c r="C511" s="39">
        <f t="shared" si="27"/>
        <v>1717100000</v>
      </c>
      <c r="D511" s="76">
        <f t="shared" si="28"/>
        <v>260641169.61643362</v>
      </c>
    </row>
    <row r="512" spans="1:4" x14ac:dyDescent="0.3">
      <c r="A512">
        <v>223500</v>
      </c>
      <c r="B512" s="29">
        <f t="shared" si="26"/>
        <v>1459653338.0742264</v>
      </c>
      <c r="C512" s="39">
        <f t="shared" si="27"/>
        <v>1720950000</v>
      </c>
      <c r="D512" s="76">
        <f t="shared" si="28"/>
        <v>261296661.92577362</v>
      </c>
    </row>
    <row r="513" spans="1:4" x14ac:dyDescent="0.3">
      <c r="A513">
        <v>224000</v>
      </c>
      <c r="B513" s="29">
        <f t="shared" si="26"/>
        <v>1462847845.7648864</v>
      </c>
      <c r="C513" s="39">
        <f t="shared" si="27"/>
        <v>1724800000</v>
      </c>
      <c r="D513" s="76">
        <f t="shared" si="28"/>
        <v>261952154.23511362</v>
      </c>
    </row>
    <row r="514" spans="1:4" x14ac:dyDescent="0.3">
      <c r="A514">
        <v>224500</v>
      </c>
      <c r="B514" s="29">
        <f t="shared" ref="B514:B577" si="29">$B$54+($B$60*A514)</f>
        <v>1466042353.4555464</v>
      </c>
      <c r="C514" s="39">
        <f t="shared" ref="C514:C577" si="30">$E$50*A514</f>
        <v>1728650000</v>
      </c>
      <c r="D514" s="76">
        <f t="shared" ref="D514:D577" si="31">C514-B514</f>
        <v>262607646.54445362</v>
      </c>
    </row>
    <row r="515" spans="1:4" x14ac:dyDescent="0.3">
      <c r="A515">
        <v>225000</v>
      </c>
      <c r="B515" s="29">
        <f t="shared" si="29"/>
        <v>1469236861.1462064</v>
      </c>
      <c r="C515" s="39">
        <f t="shared" si="30"/>
        <v>1732500000</v>
      </c>
      <c r="D515" s="76">
        <f t="shared" si="31"/>
        <v>263263138.85379362</v>
      </c>
    </row>
    <row r="516" spans="1:4" x14ac:dyDescent="0.3">
      <c r="A516">
        <v>225500</v>
      </c>
      <c r="B516" s="29">
        <f t="shared" si="29"/>
        <v>1472431368.8368664</v>
      </c>
      <c r="C516" s="39">
        <f t="shared" si="30"/>
        <v>1736350000</v>
      </c>
      <c r="D516" s="76">
        <f t="shared" si="31"/>
        <v>263918631.16313362</v>
      </c>
    </row>
    <row r="517" spans="1:4" x14ac:dyDescent="0.3">
      <c r="A517">
        <v>226000</v>
      </c>
      <c r="B517" s="29">
        <f t="shared" si="29"/>
        <v>1475625876.5275264</v>
      </c>
      <c r="C517" s="39">
        <f t="shared" si="30"/>
        <v>1740200000</v>
      </c>
      <c r="D517" s="76">
        <f t="shared" si="31"/>
        <v>264574123.47247362</v>
      </c>
    </row>
    <row r="518" spans="1:4" x14ac:dyDescent="0.3">
      <c r="A518">
        <v>226500</v>
      </c>
      <c r="B518" s="29">
        <f t="shared" si="29"/>
        <v>1478820384.2181864</v>
      </c>
      <c r="C518" s="39">
        <f t="shared" si="30"/>
        <v>1744050000</v>
      </c>
      <c r="D518" s="76">
        <f t="shared" si="31"/>
        <v>265229615.78181362</v>
      </c>
    </row>
    <row r="519" spans="1:4" x14ac:dyDescent="0.3">
      <c r="A519">
        <v>227000</v>
      </c>
      <c r="B519" s="29">
        <f t="shared" si="29"/>
        <v>1482014891.9088464</v>
      </c>
      <c r="C519" s="39">
        <f t="shared" si="30"/>
        <v>1747900000</v>
      </c>
      <c r="D519" s="76">
        <f t="shared" si="31"/>
        <v>265885108.09115362</v>
      </c>
    </row>
    <row r="520" spans="1:4" x14ac:dyDescent="0.3">
      <c r="A520">
        <v>227500</v>
      </c>
      <c r="B520" s="29">
        <f t="shared" si="29"/>
        <v>1485209399.5995064</v>
      </c>
      <c r="C520" s="39">
        <f t="shared" si="30"/>
        <v>1751750000</v>
      </c>
      <c r="D520" s="76">
        <f t="shared" si="31"/>
        <v>266540600.40049362</v>
      </c>
    </row>
    <row r="521" spans="1:4" x14ac:dyDescent="0.3">
      <c r="A521">
        <v>228000</v>
      </c>
      <c r="B521" s="29">
        <f t="shared" si="29"/>
        <v>1488403907.2901664</v>
      </c>
      <c r="C521" s="39">
        <f t="shared" si="30"/>
        <v>1755600000</v>
      </c>
      <c r="D521" s="76">
        <f t="shared" si="31"/>
        <v>267196092.70983362</v>
      </c>
    </row>
    <row r="522" spans="1:4" x14ac:dyDescent="0.3">
      <c r="A522">
        <v>228500</v>
      </c>
      <c r="B522" s="29">
        <f t="shared" si="29"/>
        <v>1491598414.9808264</v>
      </c>
      <c r="C522" s="39">
        <f t="shared" si="30"/>
        <v>1759450000</v>
      </c>
      <c r="D522" s="76">
        <f t="shared" si="31"/>
        <v>267851585.01917362</v>
      </c>
    </row>
    <row r="523" spans="1:4" x14ac:dyDescent="0.3">
      <c r="A523">
        <v>229000</v>
      </c>
      <c r="B523" s="29">
        <f t="shared" si="29"/>
        <v>1494792922.6714864</v>
      </c>
      <c r="C523" s="39">
        <f t="shared" si="30"/>
        <v>1763300000</v>
      </c>
      <c r="D523" s="76">
        <f t="shared" si="31"/>
        <v>268507077.32851362</v>
      </c>
    </row>
    <row r="524" spans="1:4" x14ac:dyDescent="0.3">
      <c r="A524">
        <v>229500</v>
      </c>
      <c r="B524" s="29">
        <f t="shared" si="29"/>
        <v>1497987430.3621464</v>
      </c>
      <c r="C524" s="39">
        <f t="shared" si="30"/>
        <v>1767150000</v>
      </c>
      <c r="D524" s="76">
        <f t="shared" si="31"/>
        <v>269162569.63785362</v>
      </c>
    </row>
    <row r="525" spans="1:4" x14ac:dyDescent="0.3">
      <c r="A525">
        <v>230000</v>
      </c>
      <c r="B525" s="29">
        <f t="shared" si="29"/>
        <v>1501181938.0528064</v>
      </c>
      <c r="C525" s="39">
        <f t="shared" si="30"/>
        <v>1771000000</v>
      </c>
      <c r="D525" s="76">
        <f t="shared" si="31"/>
        <v>269818061.94719362</v>
      </c>
    </row>
    <row r="526" spans="1:4" x14ac:dyDescent="0.3">
      <c r="A526">
        <v>230500</v>
      </c>
      <c r="B526" s="29">
        <f t="shared" si="29"/>
        <v>1504376445.7434664</v>
      </c>
      <c r="C526" s="39">
        <f t="shared" si="30"/>
        <v>1774850000</v>
      </c>
      <c r="D526" s="76">
        <f t="shared" si="31"/>
        <v>270473554.25653362</v>
      </c>
    </row>
    <row r="527" spans="1:4" x14ac:dyDescent="0.3">
      <c r="A527">
        <v>231000</v>
      </c>
      <c r="B527" s="29">
        <f t="shared" si="29"/>
        <v>1507570953.4341264</v>
      </c>
      <c r="C527" s="39">
        <f t="shared" si="30"/>
        <v>1778700000</v>
      </c>
      <c r="D527" s="76">
        <f t="shared" si="31"/>
        <v>271129046.56587362</v>
      </c>
    </row>
    <row r="528" spans="1:4" x14ac:dyDescent="0.3">
      <c r="A528">
        <v>231500</v>
      </c>
      <c r="B528" s="29">
        <f t="shared" si="29"/>
        <v>1510765461.1247864</v>
      </c>
      <c r="C528" s="39">
        <f t="shared" si="30"/>
        <v>1782550000</v>
      </c>
      <c r="D528" s="76">
        <f t="shared" si="31"/>
        <v>271784538.87521362</v>
      </c>
    </row>
    <row r="529" spans="1:4" x14ac:dyDescent="0.3">
      <c r="A529">
        <v>232000</v>
      </c>
      <c r="B529" s="29">
        <f t="shared" si="29"/>
        <v>1513959968.8154464</v>
      </c>
      <c r="C529" s="39">
        <f t="shared" si="30"/>
        <v>1786400000</v>
      </c>
      <c r="D529" s="76">
        <f t="shared" si="31"/>
        <v>272440031.18455362</v>
      </c>
    </row>
    <row r="530" spans="1:4" x14ac:dyDescent="0.3">
      <c r="A530">
        <v>232500</v>
      </c>
      <c r="B530" s="29">
        <f t="shared" si="29"/>
        <v>1517154476.5061064</v>
      </c>
      <c r="C530" s="39">
        <f t="shared" si="30"/>
        <v>1790250000</v>
      </c>
      <c r="D530" s="76">
        <f t="shared" si="31"/>
        <v>273095523.49389362</v>
      </c>
    </row>
    <row r="531" spans="1:4" x14ac:dyDescent="0.3">
      <c r="A531">
        <v>233000</v>
      </c>
      <c r="B531" s="29">
        <f t="shared" si="29"/>
        <v>1520348984.1967664</v>
      </c>
      <c r="C531" s="39">
        <f t="shared" si="30"/>
        <v>1794100000</v>
      </c>
      <c r="D531" s="76">
        <f t="shared" si="31"/>
        <v>273751015.80323362</v>
      </c>
    </row>
    <row r="532" spans="1:4" x14ac:dyDescent="0.3">
      <c r="A532">
        <v>233500</v>
      </c>
      <c r="B532" s="29">
        <f t="shared" si="29"/>
        <v>1523543491.8874264</v>
      </c>
      <c r="C532" s="39">
        <f t="shared" si="30"/>
        <v>1797950000</v>
      </c>
      <c r="D532" s="76">
        <f t="shared" si="31"/>
        <v>274406508.11257362</v>
      </c>
    </row>
    <row r="533" spans="1:4" x14ac:dyDescent="0.3">
      <c r="A533">
        <v>234000</v>
      </c>
      <c r="B533" s="29">
        <f t="shared" si="29"/>
        <v>1526737999.5780864</v>
      </c>
      <c r="C533" s="39">
        <f t="shared" si="30"/>
        <v>1801800000</v>
      </c>
      <c r="D533" s="76">
        <f t="shared" si="31"/>
        <v>275062000.42191362</v>
      </c>
    </row>
    <row r="534" spans="1:4" x14ac:dyDescent="0.3">
      <c r="A534">
        <v>234500</v>
      </c>
      <c r="B534" s="29">
        <f t="shared" si="29"/>
        <v>1529932507.2687464</v>
      </c>
      <c r="C534" s="39">
        <f t="shared" si="30"/>
        <v>1805650000</v>
      </c>
      <c r="D534" s="76">
        <f t="shared" si="31"/>
        <v>275717492.73125362</v>
      </c>
    </row>
    <row r="535" spans="1:4" x14ac:dyDescent="0.3">
      <c r="A535">
        <v>235000</v>
      </c>
      <c r="B535" s="29">
        <f t="shared" si="29"/>
        <v>1533127014.9594064</v>
      </c>
      <c r="C535" s="39">
        <f t="shared" si="30"/>
        <v>1809500000</v>
      </c>
      <c r="D535" s="76">
        <f t="shared" si="31"/>
        <v>276372985.04059362</v>
      </c>
    </row>
    <row r="536" spans="1:4" x14ac:dyDescent="0.3">
      <c r="A536">
        <v>235500</v>
      </c>
      <c r="B536" s="29">
        <f t="shared" si="29"/>
        <v>1536321522.6500664</v>
      </c>
      <c r="C536" s="39">
        <f t="shared" si="30"/>
        <v>1813350000</v>
      </c>
      <c r="D536" s="76">
        <f t="shared" si="31"/>
        <v>277028477.34993362</v>
      </c>
    </row>
    <row r="537" spans="1:4" x14ac:dyDescent="0.3">
      <c r="A537">
        <v>236000</v>
      </c>
      <c r="B537" s="29">
        <f t="shared" si="29"/>
        <v>1539516030.3407264</v>
      </c>
      <c r="C537" s="39">
        <f t="shared" si="30"/>
        <v>1817200000</v>
      </c>
      <c r="D537" s="76">
        <f t="shared" si="31"/>
        <v>277683969.65927362</v>
      </c>
    </row>
    <row r="538" spans="1:4" x14ac:dyDescent="0.3">
      <c r="A538">
        <v>236500</v>
      </c>
      <c r="B538" s="29">
        <f t="shared" si="29"/>
        <v>1542710538.0313864</v>
      </c>
      <c r="C538" s="39">
        <f t="shared" si="30"/>
        <v>1821050000</v>
      </c>
      <c r="D538" s="76">
        <f t="shared" si="31"/>
        <v>278339461.96861362</v>
      </c>
    </row>
    <row r="539" spans="1:4" x14ac:dyDescent="0.3">
      <c r="A539">
        <v>237000</v>
      </c>
      <c r="B539" s="29">
        <f t="shared" si="29"/>
        <v>1545905045.7220464</v>
      </c>
      <c r="C539" s="39">
        <f t="shared" si="30"/>
        <v>1824900000</v>
      </c>
      <c r="D539" s="76">
        <f t="shared" si="31"/>
        <v>278994954.27795362</v>
      </c>
    </row>
    <row r="540" spans="1:4" x14ac:dyDescent="0.3">
      <c r="A540">
        <v>237500</v>
      </c>
      <c r="B540" s="29">
        <f t="shared" si="29"/>
        <v>1549099553.4127064</v>
      </c>
      <c r="C540" s="39">
        <f t="shared" si="30"/>
        <v>1828750000</v>
      </c>
      <c r="D540" s="76">
        <f t="shared" si="31"/>
        <v>279650446.58729362</v>
      </c>
    </row>
    <row r="541" spans="1:4" x14ac:dyDescent="0.3">
      <c r="A541">
        <v>238000</v>
      </c>
      <c r="B541" s="29">
        <f t="shared" si="29"/>
        <v>1552294061.1033664</v>
      </c>
      <c r="C541" s="39">
        <f t="shared" si="30"/>
        <v>1832600000</v>
      </c>
      <c r="D541" s="76">
        <f t="shared" si="31"/>
        <v>280305938.89663363</v>
      </c>
    </row>
    <row r="542" spans="1:4" x14ac:dyDescent="0.3">
      <c r="A542">
        <v>238500</v>
      </c>
      <c r="B542" s="29">
        <f t="shared" si="29"/>
        <v>1555488568.7940264</v>
      </c>
      <c r="C542" s="39">
        <f t="shared" si="30"/>
        <v>1836450000</v>
      </c>
      <c r="D542" s="76">
        <f t="shared" si="31"/>
        <v>280961431.20597363</v>
      </c>
    </row>
    <row r="543" spans="1:4" x14ac:dyDescent="0.3">
      <c r="A543">
        <v>239000</v>
      </c>
      <c r="B543" s="29">
        <f t="shared" si="29"/>
        <v>1558683076.4846864</v>
      </c>
      <c r="C543" s="39">
        <f t="shared" si="30"/>
        <v>1840300000</v>
      </c>
      <c r="D543" s="76">
        <f t="shared" si="31"/>
        <v>281616923.51531363</v>
      </c>
    </row>
    <row r="544" spans="1:4" x14ac:dyDescent="0.3">
      <c r="A544">
        <v>239500</v>
      </c>
      <c r="B544" s="29">
        <f t="shared" si="29"/>
        <v>1561877584.1753464</v>
      </c>
      <c r="C544" s="39">
        <f t="shared" si="30"/>
        <v>1844150000</v>
      </c>
      <c r="D544" s="76">
        <f t="shared" si="31"/>
        <v>282272415.82465363</v>
      </c>
    </row>
    <row r="545" spans="1:4" x14ac:dyDescent="0.3">
      <c r="A545">
        <v>240000</v>
      </c>
      <c r="B545" s="29">
        <f t="shared" si="29"/>
        <v>1565072091.8660064</v>
      </c>
      <c r="C545" s="39">
        <f t="shared" si="30"/>
        <v>1848000000</v>
      </c>
      <c r="D545" s="76">
        <f t="shared" si="31"/>
        <v>282927908.13399363</v>
      </c>
    </row>
    <row r="546" spans="1:4" x14ac:dyDescent="0.3">
      <c r="A546">
        <v>240500</v>
      </c>
      <c r="B546" s="29">
        <f t="shared" si="29"/>
        <v>1568266599.5566664</v>
      </c>
      <c r="C546" s="39">
        <f t="shared" si="30"/>
        <v>1851850000</v>
      </c>
      <c r="D546" s="76">
        <f t="shared" si="31"/>
        <v>283583400.44333363</v>
      </c>
    </row>
    <row r="547" spans="1:4" x14ac:dyDescent="0.3">
      <c r="A547">
        <v>241000</v>
      </c>
      <c r="B547" s="29">
        <f t="shared" si="29"/>
        <v>1571461107.2473264</v>
      </c>
      <c r="C547" s="39">
        <f t="shared" si="30"/>
        <v>1855700000</v>
      </c>
      <c r="D547" s="76">
        <f t="shared" si="31"/>
        <v>284238892.75267363</v>
      </c>
    </row>
    <row r="548" spans="1:4" x14ac:dyDescent="0.3">
      <c r="A548">
        <v>241500</v>
      </c>
      <c r="B548" s="29">
        <f t="shared" si="29"/>
        <v>1574655614.9379864</v>
      </c>
      <c r="C548" s="39">
        <f t="shared" si="30"/>
        <v>1859550000</v>
      </c>
      <c r="D548" s="76">
        <f t="shared" si="31"/>
        <v>284894385.06201363</v>
      </c>
    </row>
    <row r="549" spans="1:4" x14ac:dyDescent="0.3">
      <c r="A549">
        <v>242000</v>
      </c>
      <c r="B549" s="29">
        <f t="shared" si="29"/>
        <v>1577850122.6286464</v>
      </c>
      <c r="C549" s="39">
        <f t="shared" si="30"/>
        <v>1863400000</v>
      </c>
      <c r="D549" s="76">
        <f t="shared" si="31"/>
        <v>285549877.37135363</v>
      </c>
    </row>
    <row r="550" spans="1:4" x14ac:dyDescent="0.3">
      <c r="A550">
        <v>242500</v>
      </c>
      <c r="B550" s="29">
        <f t="shared" si="29"/>
        <v>1581044630.3193064</v>
      </c>
      <c r="C550" s="39">
        <f t="shared" si="30"/>
        <v>1867250000</v>
      </c>
      <c r="D550" s="76">
        <f t="shared" si="31"/>
        <v>286205369.68069363</v>
      </c>
    </row>
    <row r="551" spans="1:4" x14ac:dyDescent="0.3">
      <c r="A551">
        <v>243000</v>
      </c>
      <c r="B551" s="29">
        <f t="shared" si="29"/>
        <v>1584239138.0099664</v>
      </c>
      <c r="C551" s="39">
        <f t="shared" si="30"/>
        <v>1871100000</v>
      </c>
      <c r="D551" s="76">
        <f t="shared" si="31"/>
        <v>286860861.99003363</v>
      </c>
    </row>
    <row r="552" spans="1:4" x14ac:dyDescent="0.3">
      <c r="A552">
        <v>243500</v>
      </c>
      <c r="B552" s="29">
        <f t="shared" si="29"/>
        <v>1587433645.7006264</v>
      </c>
      <c r="C552" s="39">
        <f t="shared" si="30"/>
        <v>1874950000</v>
      </c>
      <c r="D552" s="76">
        <f t="shared" si="31"/>
        <v>287516354.29937363</v>
      </c>
    </row>
    <row r="553" spans="1:4" x14ac:dyDescent="0.3">
      <c r="A553">
        <v>244000</v>
      </c>
      <c r="B553" s="29">
        <f t="shared" si="29"/>
        <v>1590628153.3912864</v>
      </c>
      <c r="C553" s="39">
        <f t="shared" si="30"/>
        <v>1878800000</v>
      </c>
      <c r="D553" s="76">
        <f t="shared" si="31"/>
        <v>288171846.60871363</v>
      </c>
    </row>
    <row r="554" spans="1:4" x14ac:dyDescent="0.3">
      <c r="A554">
        <v>244500</v>
      </c>
      <c r="B554" s="29">
        <f t="shared" si="29"/>
        <v>1593822661.0819464</v>
      </c>
      <c r="C554" s="39">
        <f t="shared" si="30"/>
        <v>1882650000</v>
      </c>
      <c r="D554" s="76">
        <f t="shared" si="31"/>
        <v>288827338.91805363</v>
      </c>
    </row>
    <row r="555" spans="1:4" x14ac:dyDescent="0.3">
      <c r="A555">
        <v>245000</v>
      </c>
      <c r="B555" s="29">
        <f t="shared" si="29"/>
        <v>1597017168.7726064</v>
      </c>
      <c r="C555" s="39">
        <f t="shared" si="30"/>
        <v>1886500000</v>
      </c>
      <c r="D555" s="76">
        <f t="shared" si="31"/>
        <v>289482831.22739363</v>
      </c>
    </row>
    <row r="556" spans="1:4" x14ac:dyDescent="0.3">
      <c r="A556">
        <v>245500</v>
      </c>
      <c r="B556" s="29">
        <f t="shared" si="29"/>
        <v>1600211676.4632664</v>
      </c>
      <c r="C556" s="39">
        <f t="shared" si="30"/>
        <v>1890350000</v>
      </c>
      <c r="D556" s="76">
        <f t="shared" si="31"/>
        <v>290138323.53673363</v>
      </c>
    </row>
    <row r="557" spans="1:4" x14ac:dyDescent="0.3">
      <c r="A557">
        <v>246000</v>
      </c>
      <c r="B557" s="29">
        <f t="shared" si="29"/>
        <v>1603406184.1539264</v>
      </c>
      <c r="C557" s="39">
        <f t="shared" si="30"/>
        <v>1894200000</v>
      </c>
      <c r="D557" s="76">
        <f t="shared" si="31"/>
        <v>290793815.84607363</v>
      </c>
    </row>
    <row r="558" spans="1:4" x14ac:dyDescent="0.3">
      <c r="A558">
        <v>246500</v>
      </c>
      <c r="B558" s="29">
        <f t="shared" si="29"/>
        <v>1606600691.8445864</v>
      </c>
      <c r="C558" s="39">
        <f t="shared" si="30"/>
        <v>1898050000</v>
      </c>
      <c r="D558" s="76">
        <f t="shared" si="31"/>
        <v>291449308.15541363</v>
      </c>
    </row>
    <row r="559" spans="1:4" x14ac:dyDescent="0.3">
      <c r="A559">
        <v>247000</v>
      </c>
      <c r="B559" s="29">
        <f t="shared" si="29"/>
        <v>1609795199.5352464</v>
      </c>
      <c r="C559" s="39">
        <f t="shared" si="30"/>
        <v>1901900000</v>
      </c>
      <c r="D559" s="76">
        <f t="shared" si="31"/>
        <v>292104800.46475363</v>
      </c>
    </row>
    <row r="560" spans="1:4" x14ac:dyDescent="0.3">
      <c r="A560">
        <v>247500</v>
      </c>
      <c r="B560" s="29">
        <f t="shared" si="29"/>
        <v>1612989707.2259064</v>
      </c>
      <c r="C560" s="39">
        <f t="shared" si="30"/>
        <v>1905750000</v>
      </c>
      <c r="D560" s="76">
        <f t="shared" si="31"/>
        <v>292760292.77409363</v>
      </c>
    </row>
    <row r="561" spans="1:4" x14ac:dyDescent="0.3">
      <c r="A561">
        <v>248000</v>
      </c>
      <c r="B561" s="29">
        <f t="shared" si="29"/>
        <v>1616184214.9165664</v>
      </c>
      <c r="C561" s="39">
        <f t="shared" si="30"/>
        <v>1909600000</v>
      </c>
      <c r="D561" s="76">
        <f t="shared" si="31"/>
        <v>293415785.08343363</v>
      </c>
    </row>
    <row r="562" spans="1:4" x14ac:dyDescent="0.3">
      <c r="A562">
        <v>248500</v>
      </c>
      <c r="B562" s="29">
        <f t="shared" si="29"/>
        <v>1619378722.6072264</v>
      </c>
      <c r="C562" s="39">
        <f t="shared" si="30"/>
        <v>1913450000</v>
      </c>
      <c r="D562" s="76">
        <f t="shared" si="31"/>
        <v>294071277.39277363</v>
      </c>
    </row>
    <row r="563" spans="1:4" x14ac:dyDescent="0.3">
      <c r="A563">
        <v>249000</v>
      </c>
      <c r="B563" s="29">
        <f t="shared" si="29"/>
        <v>1622573230.2978864</v>
      </c>
      <c r="C563" s="39">
        <f t="shared" si="30"/>
        <v>1917300000</v>
      </c>
      <c r="D563" s="76">
        <f t="shared" si="31"/>
        <v>294726769.70211363</v>
      </c>
    </row>
    <row r="564" spans="1:4" x14ac:dyDescent="0.3">
      <c r="A564">
        <v>249500</v>
      </c>
      <c r="B564" s="29">
        <f t="shared" si="29"/>
        <v>1625767737.9885464</v>
      </c>
      <c r="C564" s="39">
        <f t="shared" si="30"/>
        <v>1921150000</v>
      </c>
      <c r="D564" s="76">
        <f t="shared" si="31"/>
        <v>295382262.01145363</v>
      </c>
    </row>
    <row r="565" spans="1:4" x14ac:dyDescent="0.3">
      <c r="A565">
        <v>250000</v>
      </c>
      <c r="B565" s="29">
        <f t="shared" si="29"/>
        <v>1628962245.6792064</v>
      </c>
      <c r="C565" s="39">
        <f t="shared" si="30"/>
        <v>1925000000</v>
      </c>
      <c r="D565" s="76">
        <f t="shared" si="31"/>
        <v>296037754.32079363</v>
      </c>
    </row>
    <row r="566" spans="1:4" x14ac:dyDescent="0.3">
      <c r="A566">
        <v>250500</v>
      </c>
      <c r="B566" s="29">
        <f t="shared" si="29"/>
        <v>1632156753.3698664</v>
      </c>
      <c r="C566" s="39">
        <f t="shared" si="30"/>
        <v>1928850000</v>
      </c>
      <c r="D566" s="76">
        <f t="shared" si="31"/>
        <v>296693246.63013363</v>
      </c>
    </row>
    <row r="567" spans="1:4" x14ac:dyDescent="0.3">
      <c r="A567">
        <v>251000</v>
      </c>
      <c r="B567" s="29">
        <f t="shared" si="29"/>
        <v>1635351261.0605264</v>
      </c>
      <c r="C567" s="39">
        <f t="shared" si="30"/>
        <v>1932700000</v>
      </c>
      <c r="D567" s="76">
        <f t="shared" si="31"/>
        <v>297348738.93947363</v>
      </c>
    </row>
    <row r="568" spans="1:4" x14ac:dyDescent="0.3">
      <c r="A568">
        <v>251500</v>
      </c>
      <c r="B568" s="29">
        <f t="shared" si="29"/>
        <v>1638545768.7511864</v>
      </c>
      <c r="C568" s="39">
        <f t="shared" si="30"/>
        <v>1936550000</v>
      </c>
      <c r="D568" s="76">
        <f t="shared" si="31"/>
        <v>298004231.24881363</v>
      </c>
    </row>
    <row r="569" spans="1:4" x14ac:dyDescent="0.3">
      <c r="A569">
        <v>252000</v>
      </c>
      <c r="B569" s="29">
        <f t="shared" si="29"/>
        <v>1641740276.4418464</v>
      </c>
      <c r="C569" s="39">
        <f t="shared" si="30"/>
        <v>1940400000</v>
      </c>
      <c r="D569" s="76">
        <f t="shared" si="31"/>
        <v>298659723.55815363</v>
      </c>
    </row>
    <row r="570" spans="1:4" x14ac:dyDescent="0.3">
      <c r="A570">
        <v>252500</v>
      </c>
      <c r="B570" s="29">
        <f t="shared" si="29"/>
        <v>1644934784.1325064</v>
      </c>
      <c r="C570" s="39">
        <f t="shared" si="30"/>
        <v>1944250000</v>
      </c>
      <c r="D570" s="76">
        <f t="shared" si="31"/>
        <v>299315215.86749363</v>
      </c>
    </row>
    <row r="571" spans="1:4" x14ac:dyDescent="0.3">
      <c r="A571">
        <v>253000</v>
      </c>
      <c r="B571" s="29">
        <f t="shared" si="29"/>
        <v>1648129291.8231664</v>
      </c>
      <c r="C571" s="39">
        <f t="shared" si="30"/>
        <v>1948100000</v>
      </c>
      <c r="D571" s="76">
        <f t="shared" si="31"/>
        <v>299970708.17683363</v>
      </c>
    </row>
    <row r="572" spans="1:4" x14ac:dyDescent="0.3">
      <c r="A572">
        <v>253500</v>
      </c>
      <c r="B572" s="29">
        <f t="shared" si="29"/>
        <v>1651323799.5138264</v>
      </c>
      <c r="C572" s="39">
        <f t="shared" si="30"/>
        <v>1951950000</v>
      </c>
      <c r="D572" s="76">
        <f t="shared" si="31"/>
        <v>300626200.48617363</v>
      </c>
    </row>
    <row r="573" spans="1:4" x14ac:dyDescent="0.3">
      <c r="A573">
        <v>254000</v>
      </c>
      <c r="B573" s="29">
        <f t="shared" si="29"/>
        <v>1654518307.2044864</v>
      </c>
      <c r="C573" s="39">
        <f t="shared" si="30"/>
        <v>1955800000</v>
      </c>
      <c r="D573" s="76">
        <f t="shared" si="31"/>
        <v>301281692.79551363</v>
      </c>
    </row>
    <row r="574" spans="1:4" x14ac:dyDescent="0.3">
      <c r="A574">
        <v>254500</v>
      </c>
      <c r="B574" s="29">
        <f t="shared" si="29"/>
        <v>1657712814.8951464</v>
      </c>
      <c r="C574" s="39">
        <f t="shared" si="30"/>
        <v>1959650000</v>
      </c>
      <c r="D574" s="76">
        <f t="shared" si="31"/>
        <v>301937185.10485363</v>
      </c>
    </row>
    <row r="575" spans="1:4" x14ac:dyDescent="0.3">
      <c r="A575">
        <v>255000</v>
      </c>
      <c r="B575" s="29">
        <f t="shared" si="29"/>
        <v>1660907322.5858064</v>
      </c>
      <c r="C575" s="39">
        <f t="shared" si="30"/>
        <v>1963500000</v>
      </c>
      <c r="D575" s="76">
        <f t="shared" si="31"/>
        <v>302592677.41419363</v>
      </c>
    </row>
    <row r="576" spans="1:4" x14ac:dyDescent="0.3">
      <c r="A576">
        <v>255500</v>
      </c>
      <c r="B576" s="29">
        <f t="shared" si="29"/>
        <v>1664101830.2764664</v>
      </c>
      <c r="C576" s="39">
        <f t="shared" si="30"/>
        <v>1967350000</v>
      </c>
      <c r="D576" s="76">
        <f t="shared" si="31"/>
        <v>303248169.72353363</v>
      </c>
    </row>
    <row r="577" spans="1:4" x14ac:dyDescent="0.3">
      <c r="A577">
        <v>256000</v>
      </c>
      <c r="B577" s="29">
        <f t="shared" si="29"/>
        <v>1667296337.9671264</v>
      </c>
      <c r="C577" s="39">
        <f t="shared" si="30"/>
        <v>1971200000</v>
      </c>
      <c r="D577" s="76">
        <f t="shared" si="31"/>
        <v>303903662.03287363</v>
      </c>
    </row>
    <row r="578" spans="1:4" x14ac:dyDescent="0.3">
      <c r="A578">
        <v>256500</v>
      </c>
      <c r="B578" s="29">
        <f t="shared" ref="B578:B641" si="32">$B$54+($B$60*A578)</f>
        <v>1670490845.6577864</v>
      </c>
      <c r="C578" s="39">
        <f t="shared" ref="C578:C641" si="33">$E$50*A578</f>
        <v>1975050000</v>
      </c>
      <c r="D578" s="76">
        <f t="shared" ref="D578:D641" si="34">C578-B578</f>
        <v>304559154.34221363</v>
      </c>
    </row>
    <row r="579" spans="1:4" x14ac:dyDescent="0.3">
      <c r="A579">
        <v>257000</v>
      </c>
      <c r="B579" s="29">
        <f t="shared" si="32"/>
        <v>1673685353.3484464</v>
      </c>
      <c r="C579" s="39">
        <f t="shared" si="33"/>
        <v>1978900000</v>
      </c>
      <c r="D579" s="76">
        <f t="shared" si="34"/>
        <v>305214646.65155363</v>
      </c>
    </row>
    <row r="580" spans="1:4" x14ac:dyDescent="0.3">
      <c r="A580">
        <v>257500</v>
      </c>
      <c r="B580" s="29">
        <f t="shared" si="32"/>
        <v>1676879861.0391064</v>
      </c>
      <c r="C580" s="39">
        <f t="shared" si="33"/>
        <v>1982750000</v>
      </c>
      <c r="D580" s="76">
        <f t="shared" si="34"/>
        <v>305870138.96089363</v>
      </c>
    </row>
    <row r="581" spans="1:4" x14ac:dyDescent="0.3">
      <c r="A581">
        <v>258000</v>
      </c>
      <c r="B581" s="29">
        <f t="shared" si="32"/>
        <v>1680074368.7297664</v>
      </c>
      <c r="C581" s="39">
        <f t="shared" si="33"/>
        <v>1986600000</v>
      </c>
      <c r="D581" s="76">
        <f t="shared" si="34"/>
        <v>306525631.27023363</v>
      </c>
    </row>
    <row r="582" spans="1:4" x14ac:dyDescent="0.3">
      <c r="A582">
        <v>258500</v>
      </c>
      <c r="B582" s="29">
        <f t="shared" si="32"/>
        <v>1683268876.4204264</v>
      </c>
      <c r="C582" s="39">
        <f t="shared" si="33"/>
        <v>1990450000</v>
      </c>
      <c r="D582" s="76">
        <f t="shared" si="34"/>
        <v>307181123.57957363</v>
      </c>
    </row>
    <row r="583" spans="1:4" x14ac:dyDescent="0.3">
      <c r="A583">
        <v>259000</v>
      </c>
      <c r="B583" s="29">
        <f t="shared" si="32"/>
        <v>1686463384.1110864</v>
      </c>
      <c r="C583" s="39">
        <f t="shared" si="33"/>
        <v>1994300000</v>
      </c>
      <c r="D583" s="76">
        <f t="shared" si="34"/>
        <v>307836615.88891363</v>
      </c>
    </row>
    <row r="584" spans="1:4" x14ac:dyDescent="0.3">
      <c r="A584">
        <v>259500</v>
      </c>
      <c r="B584" s="29">
        <f t="shared" si="32"/>
        <v>1689657891.8017464</v>
      </c>
      <c r="C584" s="39">
        <f t="shared" si="33"/>
        <v>1998150000</v>
      </c>
      <c r="D584" s="76">
        <f t="shared" si="34"/>
        <v>308492108.19825363</v>
      </c>
    </row>
    <row r="585" spans="1:4" x14ac:dyDescent="0.3">
      <c r="A585">
        <v>260000</v>
      </c>
      <c r="B585" s="29">
        <f t="shared" si="32"/>
        <v>1692852399.4924064</v>
      </c>
      <c r="C585" s="39">
        <f t="shared" si="33"/>
        <v>2002000000</v>
      </c>
      <c r="D585" s="76">
        <f t="shared" si="34"/>
        <v>309147600.50759363</v>
      </c>
    </row>
    <row r="586" spans="1:4" x14ac:dyDescent="0.3">
      <c r="A586">
        <v>260500</v>
      </c>
      <c r="B586" s="29">
        <f t="shared" si="32"/>
        <v>1696046907.1830664</v>
      </c>
      <c r="C586" s="39">
        <f t="shared" si="33"/>
        <v>2005850000</v>
      </c>
      <c r="D586" s="76">
        <f t="shared" si="34"/>
        <v>309803092.81693363</v>
      </c>
    </row>
    <row r="587" spans="1:4" x14ac:dyDescent="0.3">
      <c r="A587">
        <v>261000</v>
      </c>
      <c r="B587" s="29">
        <f t="shared" si="32"/>
        <v>1699241414.8737264</v>
      </c>
      <c r="C587" s="39">
        <f t="shared" si="33"/>
        <v>2009700000</v>
      </c>
      <c r="D587" s="76">
        <f t="shared" si="34"/>
        <v>310458585.12627363</v>
      </c>
    </row>
    <row r="588" spans="1:4" x14ac:dyDescent="0.3">
      <c r="A588">
        <v>261500</v>
      </c>
      <c r="B588" s="29">
        <f t="shared" si="32"/>
        <v>1702435922.5643864</v>
      </c>
      <c r="C588" s="39">
        <f t="shared" si="33"/>
        <v>2013550000</v>
      </c>
      <c r="D588" s="76">
        <f t="shared" si="34"/>
        <v>311114077.43561363</v>
      </c>
    </row>
    <row r="589" spans="1:4" x14ac:dyDescent="0.3">
      <c r="A589">
        <v>262000</v>
      </c>
      <c r="B589" s="29">
        <f t="shared" si="32"/>
        <v>1705630430.2550464</v>
      </c>
      <c r="C589" s="39">
        <f t="shared" si="33"/>
        <v>2017400000</v>
      </c>
      <c r="D589" s="76">
        <f t="shared" si="34"/>
        <v>311769569.74495363</v>
      </c>
    </row>
    <row r="590" spans="1:4" x14ac:dyDescent="0.3">
      <c r="A590">
        <v>262500</v>
      </c>
      <c r="B590" s="29">
        <f t="shared" si="32"/>
        <v>1708824937.9457064</v>
      </c>
      <c r="C590" s="39">
        <f t="shared" si="33"/>
        <v>2021250000</v>
      </c>
      <c r="D590" s="76">
        <f t="shared" si="34"/>
        <v>312425062.05429363</v>
      </c>
    </row>
    <row r="591" spans="1:4" x14ac:dyDescent="0.3">
      <c r="A591">
        <v>263000</v>
      </c>
      <c r="B591" s="29">
        <f t="shared" si="32"/>
        <v>1712019445.6363664</v>
      </c>
      <c r="C591" s="39">
        <f t="shared" si="33"/>
        <v>2025100000</v>
      </c>
      <c r="D591" s="76">
        <f t="shared" si="34"/>
        <v>313080554.36363363</v>
      </c>
    </row>
    <row r="592" spans="1:4" x14ac:dyDescent="0.3">
      <c r="A592">
        <v>263500</v>
      </c>
      <c r="B592" s="29">
        <f t="shared" si="32"/>
        <v>1715213953.3270264</v>
      </c>
      <c r="C592" s="39">
        <f t="shared" si="33"/>
        <v>2028950000</v>
      </c>
      <c r="D592" s="76">
        <f t="shared" si="34"/>
        <v>313736046.67297363</v>
      </c>
    </row>
    <row r="593" spans="1:4" x14ac:dyDescent="0.3">
      <c r="A593">
        <v>264000</v>
      </c>
      <c r="B593" s="29">
        <f t="shared" si="32"/>
        <v>1718408461.0176864</v>
      </c>
      <c r="C593" s="39">
        <f t="shared" si="33"/>
        <v>2032800000</v>
      </c>
      <c r="D593" s="76">
        <f t="shared" si="34"/>
        <v>314391538.98231363</v>
      </c>
    </row>
    <row r="594" spans="1:4" x14ac:dyDescent="0.3">
      <c r="A594">
        <v>264500</v>
      </c>
      <c r="B594" s="29">
        <f t="shared" si="32"/>
        <v>1721602968.7083464</v>
      </c>
      <c r="C594" s="39">
        <f t="shared" si="33"/>
        <v>2036650000</v>
      </c>
      <c r="D594" s="76">
        <f t="shared" si="34"/>
        <v>315047031.29165363</v>
      </c>
    </row>
    <row r="595" spans="1:4" x14ac:dyDescent="0.3">
      <c r="A595">
        <v>265000</v>
      </c>
      <c r="B595" s="29">
        <f t="shared" si="32"/>
        <v>1724797476.3990064</v>
      </c>
      <c r="C595" s="39">
        <f t="shared" si="33"/>
        <v>2040500000</v>
      </c>
      <c r="D595" s="76">
        <f t="shared" si="34"/>
        <v>315702523.60099363</v>
      </c>
    </row>
    <row r="596" spans="1:4" x14ac:dyDescent="0.3">
      <c r="A596">
        <v>265500</v>
      </c>
      <c r="B596" s="29">
        <f t="shared" si="32"/>
        <v>1727991984.0896664</v>
      </c>
      <c r="C596" s="39">
        <f t="shared" si="33"/>
        <v>2044350000</v>
      </c>
      <c r="D596" s="76">
        <f t="shared" si="34"/>
        <v>316358015.91033363</v>
      </c>
    </row>
    <row r="597" spans="1:4" x14ac:dyDescent="0.3">
      <c r="A597">
        <v>266000</v>
      </c>
      <c r="B597" s="29">
        <f t="shared" si="32"/>
        <v>1731186491.7803264</v>
      </c>
      <c r="C597" s="39">
        <f t="shared" si="33"/>
        <v>2048200000</v>
      </c>
      <c r="D597" s="76">
        <f t="shared" si="34"/>
        <v>317013508.21967363</v>
      </c>
    </row>
    <row r="598" spans="1:4" x14ac:dyDescent="0.3">
      <c r="A598">
        <v>266500</v>
      </c>
      <c r="B598" s="29">
        <f t="shared" si="32"/>
        <v>1734380999.4709864</v>
      </c>
      <c r="C598" s="39">
        <f t="shared" si="33"/>
        <v>2052050000</v>
      </c>
      <c r="D598" s="76">
        <f t="shared" si="34"/>
        <v>317669000.52901363</v>
      </c>
    </row>
    <row r="599" spans="1:4" x14ac:dyDescent="0.3">
      <c r="A599">
        <v>267000</v>
      </c>
      <c r="B599" s="29">
        <f t="shared" si="32"/>
        <v>1737575507.1616464</v>
      </c>
      <c r="C599" s="39">
        <f t="shared" si="33"/>
        <v>2055900000</v>
      </c>
      <c r="D599" s="76">
        <f t="shared" si="34"/>
        <v>318324492.83835363</v>
      </c>
    </row>
    <row r="600" spans="1:4" x14ac:dyDescent="0.3">
      <c r="A600">
        <v>267500</v>
      </c>
      <c r="B600" s="29">
        <f t="shared" si="32"/>
        <v>1740770014.8523064</v>
      </c>
      <c r="C600" s="39">
        <f t="shared" si="33"/>
        <v>2059750000</v>
      </c>
      <c r="D600" s="76">
        <f t="shared" si="34"/>
        <v>318979985.14769363</v>
      </c>
    </row>
    <row r="601" spans="1:4" x14ac:dyDescent="0.3">
      <c r="A601">
        <v>268000</v>
      </c>
      <c r="B601" s="29">
        <f t="shared" si="32"/>
        <v>1743964522.5429664</v>
      </c>
      <c r="C601" s="39">
        <f t="shared" si="33"/>
        <v>2063600000</v>
      </c>
      <c r="D601" s="76">
        <f t="shared" si="34"/>
        <v>319635477.45703363</v>
      </c>
    </row>
    <row r="602" spans="1:4" x14ac:dyDescent="0.3">
      <c r="A602">
        <v>268500</v>
      </c>
      <c r="B602" s="29">
        <f t="shared" si="32"/>
        <v>1747159030.2336264</v>
      </c>
      <c r="C602" s="39">
        <f t="shared" si="33"/>
        <v>2067450000</v>
      </c>
      <c r="D602" s="76">
        <f t="shared" si="34"/>
        <v>320290969.76637363</v>
      </c>
    </row>
    <row r="603" spans="1:4" x14ac:dyDescent="0.3">
      <c r="A603">
        <v>269000</v>
      </c>
      <c r="B603" s="29">
        <f t="shared" si="32"/>
        <v>1750353537.9242864</v>
      </c>
      <c r="C603" s="39">
        <f t="shared" si="33"/>
        <v>2071300000</v>
      </c>
      <c r="D603" s="76">
        <f t="shared" si="34"/>
        <v>320946462.07571363</v>
      </c>
    </row>
    <row r="604" spans="1:4" x14ac:dyDescent="0.3">
      <c r="A604">
        <v>269500</v>
      </c>
      <c r="B604" s="29">
        <f t="shared" si="32"/>
        <v>1753548045.6149464</v>
      </c>
      <c r="C604" s="39">
        <f t="shared" si="33"/>
        <v>2075150000</v>
      </c>
      <c r="D604" s="76">
        <f t="shared" si="34"/>
        <v>321601954.38505363</v>
      </c>
    </row>
    <row r="605" spans="1:4" x14ac:dyDescent="0.3">
      <c r="A605">
        <v>270000</v>
      </c>
      <c r="B605" s="29">
        <f t="shared" si="32"/>
        <v>1756742553.3056064</v>
      </c>
      <c r="C605" s="39">
        <f t="shared" si="33"/>
        <v>2079000000</v>
      </c>
      <c r="D605" s="76">
        <f t="shared" si="34"/>
        <v>322257446.69439363</v>
      </c>
    </row>
    <row r="606" spans="1:4" x14ac:dyDescent="0.3">
      <c r="A606">
        <v>270500</v>
      </c>
      <c r="B606" s="29">
        <f t="shared" si="32"/>
        <v>1759937060.9962664</v>
      </c>
      <c r="C606" s="39">
        <f t="shared" si="33"/>
        <v>2082850000</v>
      </c>
      <c r="D606" s="76">
        <f t="shared" si="34"/>
        <v>322912939.00373363</v>
      </c>
    </row>
    <row r="607" spans="1:4" x14ac:dyDescent="0.3">
      <c r="A607">
        <v>271000</v>
      </c>
      <c r="B607" s="29">
        <f t="shared" si="32"/>
        <v>1763131568.6869264</v>
      </c>
      <c r="C607" s="39">
        <f t="shared" si="33"/>
        <v>2086700000</v>
      </c>
      <c r="D607" s="76">
        <f t="shared" si="34"/>
        <v>323568431.31307364</v>
      </c>
    </row>
    <row r="608" spans="1:4" x14ac:dyDescent="0.3">
      <c r="A608">
        <v>271500</v>
      </c>
      <c r="B608" s="29">
        <f t="shared" si="32"/>
        <v>1766326076.3775864</v>
      </c>
      <c r="C608" s="39">
        <f t="shared" si="33"/>
        <v>2090550000</v>
      </c>
      <c r="D608" s="76">
        <f t="shared" si="34"/>
        <v>324223923.62241364</v>
      </c>
    </row>
    <row r="609" spans="1:4" x14ac:dyDescent="0.3">
      <c r="A609">
        <v>272000</v>
      </c>
      <c r="B609" s="29">
        <f t="shared" si="32"/>
        <v>1769520584.0682464</v>
      </c>
      <c r="C609" s="39">
        <f t="shared" si="33"/>
        <v>2094400000</v>
      </c>
      <c r="D609" s="76">
        <f t="shared" si="34"/>
        <v>324879415.93175364</v>
      </c>
    </row>
    <row r="610" spans="1:4" x14ac:dyDescent="0.3">
      <c r="A610">
        <v>272500</v>
      </c>
      <c r="B610" s="29">
        <f t="shared" si="32"/>
        <v>1772715091.7589064</v>
      </c>
      <c r="C610" s="39">
        <f t="shared" si="33"/>
        <v>2098250000</v>
      </c>
      <c r="D610" s="76">
        <f t="shared" si="34"/>
        <v>325534908.24109364</v>
      </c>
    </row>
    <row r="611" spans="1:4" x14ac:dyDescent="0.3">
      <c r="A611">
        <v>273000</v>
      </c>
      <c r="B611" s="29">
        <f t="shared" si="32"/>
        <v>1775909599.4495664</v>
      </c>
      <c r="C611" s="39">
        <f t="shared" si="33"/>
        <v>2102100000</v>
      </c>
      <c r="D611" s="76">
        <f t="shared" si="34"/>
        <v>326190400.55043364</v>
      </c>
    </row>
    <row r="612" spans="1:4" x14ac:dyDescent="0.3">
      <c r="A612">
        <v>273500</v>
      </c>
      <c r="B612" s="29">
        <f t="shared" si="32"/>
        <v>1779104107.1402264</v>
      </c>
      <c r="C612" s="39">
        <f t="shared" si="33"/>
        <v>2105950000</v>
      </c>
      <c r="D612" s="76">
        <f t="shared" si="34"/>
        <v>326845892.85977364</v>
      </c>
    </row>
    <row r="613" spans="1:4" x14ac:dyDescent="0.3">
      <c r="A613">
        <v>274000</v>
      </c>
      <c r="B613" s="29">
        <f t="shared" si="32"/>
        <v>1782298614.8308864</v>
      </c>
      <c r="C613" s="39">
        <f t="shared" si="33"/>
        <v>2109800000</v>
      </c>
      <c r="D613" s="76">
        <f t="shared" si="34"/>
        <v>327501385.16911364</v>
      </c>
    </row>
    <row r="614" spans="1:4" x14ac:dyDescent="0.3">
      <c r="A614">
        <v>274500</v>
      </c>
      <c r="B614" s="29">
        <f t="shared" si="32"/>
        <v>1785493122.5215464</v>
      </c>
      <c r="C614" s="39">
        <f t="shared" si="33"/>
        <v>2113650000</v>
      </c>
      <c r="D614" s="76">
        <f t="shared" si="34"/>
        <v>328156877.47845364</v>
      </c>
    </row>
    <row r="615" spans="1:4" x14ac:dyDescent="0.3">
      <c r="A615">
        <v>275000</v>
      </c>
      <c r="B615" s="29">
        <f t="shared" si="32"/>
        <v>1788687630.2122064</v>
      </c>
      <c r="C615" s="39">
        <f t="shared" si="33"/>
        <v>2117500000</v>
      </c>
      <c r="D615" s="76">
        <f t="shared" si="34"/>
        <v>328812369.78779364</v>
      </c>
    </row>
    <row r="616" spans="1:4" x14ac:dyDescent="0.3">
      <c r="A616">
        <v>275500</v>
      </c>
      <c r="B616" s="29">
        <f t="shared" si="32"/>
        <v>1791882137.9028664</v>
      </c>
      <c r="C616" s="39">
        <f t="shared" si="33"/>
        <v>2121350000</v>
      </c>
      <c r="D616" s="76">
        <f t="shared" si="34"/>
        <v>329467862.09713364</v>
      </c>
    </row>
    <row r="617" spans="1:4" x14ac:dyDescent="0.3">
      <c r="A617">
        <v>276000</v>
      </c>
      <c r="B617" s="29">
        <f t="shared" si="32"/>
        <v>1795076645.5935264</v>
      </c>
      <c r="C617" s="39">
        <f t="shared" si="33"/>
        <v>2125200000</v>
      </c>
      <c r="D617" s="76">
        <f t="shared" si="34"/>
        <v>330123354.40647364</v>
      </c>
    </row>
    <row r="618" spans="1:4" x14ac:dyDescent="0.3">
      <c r="A618">
        <v>276500</v>
      </c>
      <c r="B618" s="29">
        <f t="shared" si="32"/>
        <v>1798271153.2841864</v>
      </c>
      <c r="C618" s="39">
        <f t="shared" si="33"/>
        <v>2129050000</v>
      </c>
      <c r="D618" s="76">
        <f t="shared" si="34"/>
        <v>330778846.71581364</v>
      </c>
    </row>
    <row r="619" spans="1:4" x14ac:dyDescent="0.3">
      <c r="A619">
        <v>277000</v>
      </c>
      <c r="B619" s="29">
        <f t="shared" si="32"/>
        <v>1801465660.9748464</v>
      </c>
      <c r="C619" s="39">
        <f t="shared" si="33"/>
        <v>2132900000</v>
      </c>
      <c r="D619" s="76">
        <f t="shared" si="34"/>
        <v>331434339.02515364</v>
      </c>
    </row>
    <row r="620" spans="1:4" x14ac:dyDescent="0.3">
      <c r="A620">
        <v>277500</v>
      </c>
      <c r="B620" s="29">
        <f t="shared" si="32"/>
        <v>1804660168.6655064</v>
      </c>
      <c r="C620" s="39">
        <f t="shared" si="33"/>
        <v>2136750000</v>
      </c>
      <c r="D620" s="76">
        <f t="shared" si="34"/>
        <v>332089831.33449364</v>
      </c>
    </row>
    <row r="621" spans="1:4" x14ac:dyDescent="0.3">
      <c r="A621">
        <v>278000</v>
      </c>
      <c r="B621" s="29">
        <f t="shared" si="32"/>
        <v>1807854676.3561664</v>
      </c>
      <c r="C621" s="39">
        <f t="shared" si="33"/>
        <v>2140600000</v>
      </c>
      <c r="D621" s="76">
        <f t="shared" si="34"/>
        <v>332745323.64383364</v>
      </c>
    </row>
    <row r="622" spans="1:4" x14ac:dyDescent="0.3">
      <c r="A622">
        <v>278500</v>
      </c>
      <c r="B622" s="29">
        <f t="shared" si="32"/>
        <v>1811049184.0468264</v>
      </c>
      <c r="C622" s="39">
        <f t="shared" si="33"/>
        <v>2144450000</v>
      </c>
      <c r="D622" s="76">
        <f t="shared" si="34"/>
        <v>333400815.95317364</v>
      </c>
    </row>
    <row r="623" spans="1:4" x14ac:dyDescent="0.3">
      <c r="A623">
        <v>279000</v>
      </c>
      <c r="B623" s="29">
        <f t="shared" si="32"/>
        <v>1814243691.7374864</v>
      </c>
      <c r="C623" s="39">
        <f t="shared" si="33"/>
        <v>2148300000</v>
      </c>
      <c r="D623" s="76">
        <f t="shared" si="34"/>
        <v>334056308.26251364</v>
      </c>
    </row>
    <row r="624" spans="1:4" x14ac:dyDescent="0.3">
      <c r="A624">
        <v>279500</v>
      </c>
      <c r="B624" s="29">
        <f t="shared" si="32"/>
        <v>1817438199.4281464</v>
      </c>
      <c r="C624" s="39">
        <f t="shared" si="33"/>
        <v>2152150000</v>
      </c>
      <c r="D624" s="76">
        <f t="shared" si="34"/>
        <v>334711800.57185364</v>
      </c>
    </row>
    <row r="625" spans="1:4" x14ac:dyDescent="0.3">
      <c r="A625">
        <v>280000</v>
      </c>
      <c r="B625" s="29">
        <f t="shared" si="32"/>
        <v>1820632707.1188064</v>
      </c>
      <c r="C625" s="39">
        <f t="shared" si="33"/>
        <v>2156000000</v>
      </c>
      <c r="D625" s="76">
        <f t="shared" si="34"/>
        <v>335367292.88119364</v>
      </c>
    </row>
    <row r="626" spans="1:4" x14ac:dyDescent="0.3">
      <c r="A626">
        <v>280500</v>
      </c>
      <c r="B626" s="29">
        <f t="shared" si="32"/>
        <v>1823827214.8094664</v>
      </c>
      <c r="C626" s="39">
        <f t="shared" si="33"/>
        <v>2159850000</v>
      </c>
      <c r="D626" s="76">
        <f t="shared" si="34"/>
        <v>336022785.19053364</v>
      </c>
    </row>
    <row r="627" spans="1:4" x14ac:dyDescent="0.3">
      <c r="A627">
        <v>281000</v>
      </c>
      <c r="B627" s="29">
        <f t="shared" si="32"/>
        <v>1827021722.5001264</v>
      </c>
      <c r="C627" s="39">
        <f t="shared" si="33"/>
        <v>2163700000</v>
      </c>
      <c r="D627" s="76">
        <f t="shared" si="34"/>
        <v>336678277.49987364</v>
      </c>
    </row>
    <row r="628" spans="1:4" x14ac:dyDescent="0.3">
      <c r="A628">
        <v>281500</v>
      </c>
      <c r="B628" s="29">
        <f t="shared" si="32"/>
        <v>1830216230.1907864</v>
      </c>
      <c r="C628" s="39">
        <f t="shared" si="33"/>
        <v>2167550000</v>
      </c>
      <c r="D628" s="76">
        <f t="shared" si="34"/>
        <v>337333769.80921364</v>
      </c>
    </row>
    <row r="629" spans="1:4" x14ac:dyDescent="0.3">
      <c r="A629">
        <v>282000</v>
      </c>
      <c r="B629" s="29">
        <f t="shared" si="32"/>
        <v>1833410737.8814464</v>
      </c>
      <c r="C629" s="39">
        <f t="shared" si="33"/>
        <v>2171400000</v>
      </c>
      <c r="D629" s="76">
        <f t="shared" si="34"/>
        <v>337989262.11855364</v>
      </c>
    </row>
    <row r="630" spans="1:4" x14ac:dyDescent="0.3">
      <c r="A630">
        <v>282500</v>
      </c>
      <c r="B630" s="29">
        <f t="shared" si="32"/>
        <v>1836605245.5721064</v>
      </c>
      <c r="C630" s="39">
        <f t="shared" si="33"/>
        <v>2175250000</v>
      </c>
      <c r="D630" s="76">
        <f t="shared" si="34"/>
        <v>338644754.42789364</v>
      </c>
    </row>
    <row r="631" spans="1:4" x14ac:dyDescent="0.3">
      <c r="A631">
        <v>283000</v>
      </c>
      <c r="B631" s="29">
        <f t="shared" si="32"/>
        <v>1839799753.2627664</v>
      </c>
      <c r="C631" s="39">
        <f t="shared" si="33"/>
        <v>2179100000</v>
      </c>
      <c r="D631" s="76">
        <f t="shared" si="34"/>
        <v>339300246.73723364</v>
      </c>
    </row>
    <row r="632" spans="1:4" x14ac:dyDescent="0.3">
      <c r="A632">
        <v>283500</v>
      </c>
      <c r="B632" s="29">
        <f t="shared" si="32"/>
        <v>1842994260.9534264</v>
      </c>
      <c r="C632" s="39">
        <f t="shared" si="33"/>
        <v>2182950000</v>
      </c>
      <c r="D632" s="76">
        <f t="shared" si="34"/>
        <v>339955739.04657364</v>
      </c>
    </row>
    <row r="633" spans="1:4" x14ac:dyDescent="0.3">
      <c r="A633">
        <v>284000</v>
      </c>
      <c r="B633" s="29">
        <f t="shared" si="32"/>
        <v>1846188768.6440864</v>
      </c>
      <c r="C633" s="39">
        <f t="shared" si="33"/>
        <v>2186800000</v>
      </c>
      <c r="D633" s="76">
        <f t="shared" si="34"/>
        <v>340611231.35591364</v>
      </c>
    </row>
    <row r="634" spans="1:4" x14ac:dyDescent="0.3">
      <c r="A634">
        <v>284500</v>
      </c>
      <c r="B634" s="29">
        <f t="shared" si="32"/>
        <v>1849383276.3347464</v>
      </c>
      <c r="C634" s="39">
        <f t="shared" si="33"/>
        <v>2190650000</v>
      </c>
      <c r="D634" s="76">
        <f t="shared" si="34"/>
        <v>341266723.66525364</v>
      </c>
    </row>
    <row r="635" spans="1:4" x14ac:dyDescent="0.3">
      <c r="A635">
        <v>285000</v>
      </c>
      <c r="B635" s="29">
        <f t="shared" si="32"/>
        <v>1852577784.0254064</v>
      </c>
      <c r="C635" s="39">
        <f t="shared" si="33"/>
        <v>2194500000</v>
      </c>
      <c r="D635" s="76">
        <f t="shared" si="34"/>
        <v>341922215.97459364</v>
      </c>
    </row>
    <row r="636" spans="1:4" x14ac:dyDescent="0.3">
      <c r="A636">
        <v>285500</v>
      </c>
      <c r="B636" s="29">
        <f t="shared" si="32"/>
        <v>1855772291.7160664</v>
      </c>
      <c r="C636" s="39">
        <f t="shared" si="33"/>
        <v>2198350000</v>
      </c>
      <c r="D636" s="76">
        <f t="shared" si="34"/>
        <v>342577708.28393364</v>
      </c>
    </row>
    <row r="637" spans="1:4" x14ac:dyDescent="0.3">
      <c r="A637">
        <v>286000</v>
      </c>
      <c r="B637" s="29">
        <f t="shared" si="32"/>
        <v>1858966799.4067264</v>
      </c>
      <c r="C637" s="39">
        <f t="shared" si="33"/>
        <v>2202200000</v>
      </c>
      <c r="D637" s="76">
        <f t="shared" si="34"/>
        <v>343233200.59327364</v>
      </c>
    </row>
    <row r="638" spans="1:4" x14ac:dyDescent="0.3">
      <c r="A638">
        <v>286500</v>
      </c>
      <c r="B638" s="29">
        <f t="shared" si="32"/>
        <v>1862161307.0973864</v>
      </c>
      <c r="C638" s="39">
        <f t="shared" si="33"/>
        <v>2206050000</v>
      </c>
      <c r="D638" s="76">
        <f t="shared" si="34"/>
        <v>343888692.90261364</v>
      </c>
    </row>
    <row r="639" spans="1:4" x14ac:dyDescent="0.3">
      <c r="A639">
        <v>287000</v>
      </c>
      <c r="B639" s="29">
        <f t="shared" si="32"/>
        <v>1865355814.7880464</v>
      </c>
      <c r="C639" s="39">
        <f t="shared" si="33"/>
        <v>2209900000</v>
      </c>
      <c r="D639" s="76">
        <f t="shared" si="34"/>
        <v>344544185.21195364</v>
      </c>
    </row>
    <row r="640" spans="1:4" x14ac:dyDescent="0.3">
      <c r="A640">
        <v>287500</v>
      </c>
      <c r="B640" s="29">
        <f t="shared" si="32"/>
        <v>1868550322.4787064</v>
      </c>
      <c r="C640" s="39">
        <f t="shared" si="33"/>
        <v>2213750000</v>
      </c>
      <c r="D640" s="76">
        <f t="shared" si="34"/>
        <v>345199677.52129364</v>
      </c>
    </row>
    <row r="641" spans="1:4" x14ac:dyDescent="0.3">
      <c r="A641">
        <v>288000</v>
      </c>
      <c r="B641" s="29">
        <f t="shared" si="32"/>
        <v>1871744830.1693664</v>
      </c>
      <c r="C641" s="39">
        <f t="shared" si="33"/>
        <v>2217600000</v>
      </c>
      <c r="D641" s="76">
        <f t="shared" si="34"/>
        <v>345855169.83063364</v>
      </c>
    </row>
    <row r="642" spans="1:4" x14ac:dyDescent="0.3">
      <c r="A642">
        <v>288500</v>
      </c>
      <c r="B642" s="29">
        <f t="shared" ref="B642:B705" si="35">$B$54+($B$60*A642)</f>
        <v>1874939337.8600264</v>
      </c>
      <c r="C642" s="39">
        <f t="shared" ref="C642:C705" si="36">$E$50*A642</f>
        <v>2221450000</v>
      </c>
      <c r="D642" s="76">
        <f t="shared" ref="D642:D705" si="37">C642-B642</f>
        <v>346510662.13997364</v>
      </c>
    </row>
    <row r="643" spans="1:4" x14ac:dyDescent="0.3">
      <c r="A643">
        <v>289000</v>
      </c>
      <c r="B643" s="29">
        <f t="shared" si="35"/>
        <v>1878133845.5506864</v>
      </c>
      <c r="C643" s="39">
        <f t="shared" si="36"/>
        <v>2225300000</v>
      </c>
      <c r="D643" s="76">
        <f t="shared" si="37"/>
        <v>347166154.44931364</v>
      </c>
    </row>
    <row r="644" spans="1:4" x14ac:dyDescent="0.3">
      <c r="A644">
        <v>289500</v>
      </c>
      <c r="B644" s="29">
        <f t="shared" si="35"/>
        <v>1881328353.2413464</v>
      </c>
      <c r="C644" s="39">
        <f t="shared" si="36"/>
        <v>2229150000</v>
      </c>
      <c r="D644" s="76">
        <f t="shared" si="37"/>
        <v>347821646.75865364</v>
      </c>
    </row>
    <row r="645" spans="1:4" x14ac:dyDescent="0.3">
      <c r="A645">
        <v>290000</v>
      </c>
      <c r="B645" s="29">
        <f t="shared" si="35"/>
        <v>1884522860.9320064</v>
      </c>
      <c r="C645" s="39">
        <f t="shared" si="36"/>
        <v>2233000000</v>
      </c>
      <c r="D645" s="76">
        <f t="shared" si="37"/>
        <v>348477139.06799364</v>
      </c>
    </row>
    <row r="646" spans="1:4" x14ac:dyDescent="0.3">
      <c r="A646">
        <v>290500</v>
      </c>
      <c r="B646" s="29">
        <f t="shared" si="35"/>
        <v>1887717368.6226664</v>
      </c>
      <c r="C646" s="39">
        <f t="shared" si="36"/>
        <v>2236850000</v>
      </c>
      <c r="D646" s="76">
        <f t="shared" si="37"/>
        <v>349132631.37733364</v>
      </c>
    </row>
    <row r="647" spans="1:4" x14ac:dyDescent="0.3">
      <c r="A647">
        <v>291000</v>
      </c>
      <c r="B647" s="29">
        <f t="shared" si="35"/>
        <v>1890911876.3133264</v>
      </c>
      <c r="C647" s="39">
        <f t="shared" si="36"/>
        <v>2240700000</v>
      </c>
      <c r="D647" s="76">
        <f t="shared" si="37"/>
        <v>349788123.68667364</v>
      </c>
    </row>
    <row r="648" spans="1:4" x14ac:dyDescent="0.3">
      <c r="A648">
        <v>291500</v>
      </c>
      <c r="B648" s="29">
        <f t="shared" si="35"/>
        <v>1894106384.0039864</v>
      </c>
      <c r="C648" s="39">
        <f t="shared" si="36"/>
        <v>2244550000</v>
      </c>
      <c r="D648" s="76">
        <f t="shared" si="37"/>
        <v>350443615.99601364</v>
      </c>
    </row>
    <row r="649" spans="1:4" x14ac:dyDescent="0.3">
      <c r="A649">
        <v>292000</v>
      </c>
      <c r="B649" s="29">
        <f t="shared" si="35"/>
        <v>1897300891.6946464</v>
      </c>
      <c r="C649" s="39">
        <f t="shared" si="36"/>
        <v>2248400000</v>
      </c>
      <c r="D649" s="76">
        <f t="shared" si="37"/>
        <v>351099108.30535364</v>
      </c>
    </row>
    <row r="650" spans="1:4" x14ac:dyDescent="0.3">
      <c r="A650">
        <v>292500</v>
      </c>
      <c r="B650" s="29">
        <f t="shared" si="35"/>
        <v>1900495399.3853064</v>
      </c>
      <c r="C650" s="39">
        <f t="shared" si="36"/>
        <v>2252250000</v>
      </c>
      <c r="D650" s="76">
        <f t="shared" si="37"/>
        <v>351754600.61469364</v>
      </c>
    </row>
    <row r="651" spans="1:4" x14ac:dyDescent="0.3">
      <c r="A651">
        <v>293000</v>
      </c>
      <c r="B651" s="29">
        <f t="shared" si="35"/>
        <v>1903689907.0759664</v>
      </c>
      <c r="C651" s="39">
        <f t="shared" si="36"/>
        <v>2256100000</v>
      </c>
      <c r="D651" s="76">
        <f t="shared" si="37"/>
        <v>352410092.92403364</v>
      </c>
    </row>
    <row r="652" spans="1:4" x14ac:dyDescent="0.3">
      <c r="A652">
        <v>293500</v>
      </c>
      <c r="B652" s="29">
        <f t="shared" si="35"/>
        <v>1906884414.7666264</v>
      </c>
      <c r="C652" s="39">
        <f t="shared" si="36"/>
        <v>2259950000</v>
      </c>
      <c r="D652" s="76">
        <f t="shared" si="37"/>
        <v>353065585.23337364</v>
      </c>
    </row>
    <row r="653" spans="1:4" x14ac:dyDescent="0.3">
      <c r="A653">
        <v>294000</v>
      </c>
      <c r="B653" s="29">
        <f t="shared" si="35"/>
        <v>1910078922.4572864</v>
      </c>
      <c r="C653" s="39">
        <f t="shared" si="36"/>
        <v>2263800000</v>
      </c>
      <c r="D653" s="76">
        <f t="shared" si="37"/>
        <v>353721077.54271364</v>
      </c>
    </row>
    <row r="654" spans="1:4" x14ac:dyDescent="0.3">
      <c r="A654">
        <v>294500</v>
      </c>
      <c r="B654" s="29">
        <f t="shared" si="35"/>
        <v>1913273430.1479464</v>
      </c>
      <c r="C654" s="39">
        <f t="shared" si="36"/>
        <v>2267650000</v>
      </c>
      <c r="D654" s="76">
        <f t="shared" si="37"/>
        <v>354376569.85205364</v>
      </c>
    </row>
    <row r="655" spans="1:4" x14ac:dyDescent="0.3">
      <c r="A655">
        <v>295000</v>
      </c>
      <c r="B655" s="29">
        <f t="shared" si="35"/>
        <v>1916467937.8386064</v>
      </c>
      <c r="C655" s="39">
        <f t="shared" si="36"/>
        <v>2271500000</v>
      </c>
      <c r="D655" s="76">
        <f t="shared" si="37"/>
        <v>355032062.16139364</v>
      </c>
    </row>
    <row r="656" spans="1:4" x14ac:dyDescent="0.3">
      <c r="A656">
        <v>295500</v>
      </c>
      <c r="B656" s="29">
        <f t="shared" si="35"/>
        <v>1919662445.5292664</v>
      </c>
      <c r="C656" s="39">
        <f t="shared" si="36"/>
        <v>2275350000</v>
      </c>
      <c r="D656" s="76">
        <f t="shared" si="37"/>
        <v>355687554.47073364</v>
      </c>
    </row>
    <row r="657" spans="1:4" x14ac:dyDescent="0.3">
      <c r="A657">
        <v>296000</v>
      </c>
      <c r="B657" s="29">
        <f t="shared" si="35"/>
        <v>1922856953.2199264</v>
      </c>
      <c r="C657" s="39">
        <f t="shared" si="36"/>
        <v>2279200000</v>
      </c>
      <c r="D657" s="76">
        <f t="shared" si="37"/>
        <v>356343046.78007364</v>
      </c>
    </row>
    <row r="658" spans="1:4" x14ac:dyDescent="0.3">
      <c r="A658">
        <v>296500</v>
      </c>
      <c r="B658" s="29">
        <f t="shared" si="35"/>
        <v>1926051460.9105864</v>
      </c>
      <c r="C658" s="39">
        <f t="shared" si="36"/>
        <v>2283050000</v>
      </c>
      <c r="D658" s="76">
        <f t="shared" si="37"/>
        <v>356998539.08941364</v>
      </c>
    </row>
    <row r="659" spans="1:4" x14ac:dyDescent="0.3">
      <c r="A659">
        <v>297000</v>
      </c>
      <c r="B659" s="29">
        <f t="shared" si="35"/>
        <v>1929245968.6012464</v>
      </c>
      <c r="C659" s="39">
        <f t="shared" si="36"/>
        <v>2286900000</v>
      </c>
      <c r="D659" s="76">
        <f t="shared" si="37"/>
        <v>357654031.39875364</v>
      </c>
    </row>
    <row r="660" spans="1:4" x14ac:dyDescent="0.3">
      <c r="A660">
        <v>297500</v>
      </c>
      <c r="B660" s="29">
        <f t="shared" si="35"/>
        <v>1932440476.2919064</v>
      </c>
      <c r="C660" s="39">
        <f t="shared" si="36"/>
        <v>2290750000</v>
      </c>
      <c r="D660" s="76">
        <f t="shared" si="37"/>
        <v>358309523.70809364</v>
      </c>
    </row>
    <row r="661" spans="1:4" x14ac:dyDescent="0.3">
      <c r="A661">
        <v>298000</v>
      </c>
      <c r="B661" s="29">
        <f t="shared" si="35"/>
        <v>1935634983.9825664</v>
      </c>
      <c r="C661" s="39">
        <f t="shared" si="36"/>
        <v>2294600000</v>
      </c>
      <c r="D661" s="76">
        <f t="shared" si="37"/>
        <v>358965016.01743364</v>
      </c>
    </row>
    <row r="662" spans="1:4" x14ac:dyDescent="0.3">
      <c r="A662">
        <v>298500</v>
      </c>
      <c r="B662" s="29">
        <f t="shared" si="35"/>
        <v>1938829491.6732264</v>
      </c>
      <c r="C662" s="39">
        <f t="shared" si="36"/>
        <v>2298450000</v>
      </c>
      <c r="D662" s="76">
        <f t="shared" si="37"/>
        <v>359620508.32677364</v>
      </c>
    </row>
    <row r="663" spans="1:4" x14ac:dyDescent="0.3">
      <c r="A663">
        <v>299000</v>
      </c>
      <c r="B663" s="29">
        <f t="shared" si="35"/>
        <v>1942023999.3638864</v>
      </c>
      <c r="C663" s="39">
        <f t="shared" si="36"/>
        <v>2302300000</v>
      </c>
      <c r="D663" s="76">
        <f t="shared" si="37"/>
        <v>360276000.63611364</v>
      </c>
    </row>
    <row r="664" spans="1:4" x14ac:dyDescent="0.3">
      <c r="A664">
        <v>299500</v>
      </c>
      <c r="B664" s="29">
        <f t="shared" si="35"/>
        <v>1945218507.0545464</v>
      </c>
      <c r="C664" s="39">
        <f t="shared" si="36"/>
        <v>2306150000</v>
      </c>
      <c r="D664" s="76">
        <f t="shared" si="37"/>
        <v>360931492.94545364</v>
      </c>
    </row>
    <row r="665" spans="1:4" x14ac:dyDescent="0.3">
      <c r="A665">
        <v>300000</v>
      </c>
      <c r="B665" s="29">
        <f t="shared" si="35"/>
        <v>1948413014.7452064</v>
      </c>
      <c r="C665" s="39">
        <f t="shared" si="36"/>
        <v>2310000000</v>
      </c>
      <c r="D665" s="76">
        <f t="shared" si="37"/>
        <v>361586985.25479364</v>
      </c>
    </row>
    <row r="666" spans="1:4" x14ac:dyDescent="0.3">
      <c r="A666">
        <v>300500</v>
      </c>
      <c r="B666" s="29">
        <f t="shared" si="35"/>
        <v>1951607522.4358664</v>
      </c>
      <c r="C666" s="39">
        <f t="shared" si="36"/>
        <v>2313850000</v>
      </c>
      <c r="D666" s="76">
        <f t="shared" si="37"/>
        <v>362242477.56413364</v>
      </c>
    </row>
    <row r="667" spans="1:4" x14ac:dyDescent="0.3">
      <c r="A667">
        <v>301000</v>
      </c>
      <c r="B667" s="29">
        <f t="shared" si="35"/>
        <v>1954802030.1265264</v>
      </c>
      <c r="C667" s="39">
        <f t="shared" si="36"/>
        <v>2317700000</v>
      </c>
      <c r="D667" s="76">
        <f t="shared" si="37"/>
        <v>362897969.87347364</v>
      </c>
    </row>
    <row r="668" spans="1:4" x14ac:dyDescent="0.3">
      <c r="A668">
        <v>301500</v>
      </c>
      <c r="B668" s="29">
        <f t="shared" si="35"/>
        <v>1957996537.8171864</v>
      </c>
      <c r="C668" s="39">
        <f t="shared" si="36"/>
        <v>2321550000</v>
      </c>
      <c r="D668" s="76">
        <f t="shared" si="37"/>
        <v>363553462.18281364</v>
      </c>
    </row>
    <row r="669" spans="1:4" x14ac:dyDescent="0.3">
      <c r="A669">
        <v>302000</v>
      </c>
      <c r="B669" s="29">
        <f t="shared" si="35"/>
        <v>1961191045.5078464</v>
      </c>
      <c r="C669" s="39">
        <f t="shared" si="36"/>
        <v>2325400000</v>
      </c>
      <c r="D669" s="76">
        <f t="shared" si="37"/>
        <v>364208954.49215364</v>
      </c>
    </row>
    <row r="670" spans="1:4" x14ac:dyDescent="0.3">
      <c r="A670">
        <v>302500</v>
      </c>
      <c r="B670" s="29">
        <f t="shared" si="35"/>
        <v>1964385553.1985064</v>
      </c>
      <c r="C670" s="39">
        <f t="shared" si="36"/>
        <v>2329250000</v>
      </c>
      <c r="D670" s="76">
        <f t="shared" si="37"/>
        <v>364864446.80149364</v>
      </c>
    </row>
    <row r="671" spans="1:4" x14ac:dyDescent="0.3">
      <c r="A671">
        <v>303000</v>
      </c>
      <c r="B671" s="29">
        <f t="shared" si="35"/>
        <v>1967580060.8891664</v>
      </c>
      <c r="C671" s="39">
        <f t="shared" si="36"/>
        <v>2333100000</v>
      </c>
      <c r="D671" s="76">
        <f t="shared" si="37"/>
        <v>365519939.11083364</v>
      </c>
    </row>
    <row r="672" spans="1:4" x14ac:dyDescent="0.3">
      <c r="A672">
        <v>303500</v>
      </c>
      <c r="B672" s="29">
        <f t="shared" si="35"/>
        <v>1970774568.5798264</v>
      </c>
      <c r="C672" s="39">
        <f t="shared" si="36"/>
        <v>2336950000</v>
      </c>
      <c r="D672" s="76">
        <f t="shared" si="37"/>
        <v>366175431.42017365</v>
      </c>
    </row>
    <row r="673" spans="1:4" x14ac:dyDescent="0.3">
      <c r="A673">
        <v>304000</v>
      </c>
      <c r="B673" s="29">
        <f t="shared" si="35"/>
        <v>1973969076.2704864</v>
      </c>
      <c r="C673" s="39">
        <f t="shared" si="36"/>
        <v>2340800000</v>
      </c>
      <c r="D673" s="76">
        <f t="shared" si="37"/>
        <v>366830923.72951365</v>
      </c>
    </row>
    <row r="674" spans="1:4" x14ac:dyDescent="0.3">
      <c r="A674">
        <v>304500</v>
      </c>
      <c r="B674" s="29">
        <f t="shared" si="35"/>
        <v>1977163583.9611464</v>
      </c>
      <c r="C674" s="39">
        <f t="shared" si="36"/>
        <v>2344650000</v>
      </c>
      <c r="D674" s="76">
        <f t="shared" si="37"/>
        <v>367486416.03885365</v>
      </c>
    </row>
    <row r="675" spans="1:4" x14ac:dyDescent="0.3">
      <c r="A675">
        <v>305000</v>
      </c>
      <c r="B675" s="29">
        <f t="shared" si="35"/>
        <v>1980358091.6518064</v>
      </c>
      <c r="C675" s="39">
        <f t="shared" si="36"/>
        <v>2348500000</v>
      </c>
      <c r="D675" s="76">
        <f t="shared" si="37"/>
        <v>368141908.34819365</v>
      </c>
    </row>
    <row r="676" spans="1:4" x14ac:dyDescent="0.3">
      <c r="A676">
        <v>305500</v>
      </c>
      <c r="B676" s="29">
        <f t="shared" si="35"/>
        <v>1983552599.3424664</v>
      </c>
      <c r="C676" s="39">
        <f t="shared" si="36"/>
        <v>2352350000</v>
      </c>
      <c r="D676" s="76">
        <f t="shared" si="37"/>
        <v>368797400.65753365</v>
      </c>
    </row>
    <row r="677" spans="1:4" x14ac:dyDescent="0.3">
      <c r="A677">
        <v>306000</v>
      </c>
      <c r="B677" s="29">
        <f t="shared" si="35"/>
        <v>1986747107.0331264</v>
      </c>
      <c r="C677" s="39">
        <f t="shared" si="36"/>
        <v>2356200000</v>
      </c>
      <c r="D677" s="76">
        <f t="shared" si="37"/>
        <v>369452892.96687365</v>
      </c>
    </row>
    <row r="678" spans="1:4" x14ac:dyDescent="0.3">
      <c r="A678">
        <v>306500</v>
      </c>
      <c r="B678" s="29">
        <f t="shared" si="35"/>
        <v>1989941614.7237864</v>
      </c>
      <c r="C678" s="39">
        <f t="shared" si="36"/>
        <v>2360050000</v>
      </c>
      <c r="D678" s="76">
        <f t="shared" si="37"/>
        <v>370108385.27621365</v>
      </c>
    </row>
    <row r="679" spans="1:4" x14ac:dyDescent="0.3">
      <c r="A679">
        <v>307000</v>
      </c>
      <c r="B679" s="29">
        <f t="shared" si="35"/>
        <v>1993136122.4144464</v>
      </c>
      <c r="C679" s="39">
        <f t="shared" si="36"/>
        <v>2363900000</v>
      </c>
      <c r="D679" s="76">
        <f t="shared" si="37"/>
        <v>370763877.58555365</v>
      </c>
    </row>
    <row r="680" spans="1:4" x14ac:dyDescent="0.3">
      <c r="A680">
        <v>307500</v>
      </c>
      <c r="B680" s="29">
        <f t="shared" si="35"/>
        <v>1996330630.1051064</v>
      </c>
      <c r="C680" s="39">
        <f t="shared" si="36"/>
        <v>2367750000</v>
      </c>
      <c r="D680" s="76">
        <f t="shared" si="37"/>
        <v>371419369.89489365</v>
      </c>
    </row>
    <row r="681" spans="1:4" x14ac:dyDescent="0.3">
      <c r="A681">
        <v>308000</v>
      </c>
      <c r="B681" s="29">
        <f t="shared" si="35"/>
        <v>1999525137.7957664</v>
      </c>
      <c r="C681" s="39">
        <f t="shared" si="36"/>
        <v>2371600000</v>
      </c>
      <c r="D681" s="76">
        <f t="shared" si="37"/>
        <v>372074862.20423365</v>
      </c>
    </row>
    <row r="682" spans="1:4" x14ac:dyDescent="0.3">
      <c r="A682">
        <v>308500</v>
      </c>
      <c r="B682" s="29">
        <f t="shared" si="35"/>
        <v>2002719645.4864264</v>
      </c>
      <c r="C682" s="39">
        <f t="shared" si="36"/>
        <v>2375450000</v>
      </c>
      <c r="D682" s="76">
        <f t="shared" si="37"/>
        <v>372730354.51357365</v>
      </c>
    </row>
    <row r="683" spans="1:4" x14ac:dyDescent="0.3">
      <c r="A683">
        <v>309000</v>
      </c>
      <c r="B683" s="29">
        <f t="shared" si="35"/>
        <v>2005914153.1770864</v>
      </c>
      <c r="C683" s="39">
        <f t="shared" si="36"/>
        <v>2379300000</v>
      </c>
      <c r="D683" s="76">
        <f t="shared" si="37"/>
        <v>373385846.82291365</v>
      </c>
    </row>
    <row r="684" spans="1:4" x14ac:dyDescent="0.3">
      <c r="A684">
        <v>309500</v>
      </c>
      <c r="B684" s="29">
        <f t="shared" si="35"/>
        <v>2009108660.8677464</v>
      </c>
      <c r="C684" s="39">
        <f t="shared" si="36"/>
        <v>2383150000</v>
      </c>
      <c r="D684" s="76">
        <f t="shared" si="37"/>
        <v>374041339.13225365</v>
      </c>
    </row>
    <row r="685" spans="1:4" x14ac:dyDescent="0.3">
      <c r="A685">
        <v>310000</v>
      </c>
      <c r="B685" s="29">
        <f t="shared" si="35"/>
        <v>2012303168.5584064</v>
      </c>
      <c r="C685" s="39">
        <f t="shared" si="36"/>
        <v>2387000000</v>
      </c>
      <c r="D685" s="76">
        <f t="shared" si="37"/>
        <v>374696831.44159365</v>
      </c>
    </row>
    <row r="686" spans="1:4" x14ac:dyDescent="0.3">
      <c r="A686">
        <v>310500</v>
      </c>
      <c r="B686" s="29">
        <f t="shared" si="35"/>
        <v>2015497676.2490664</v>
      </c>
      <c r="C686" s="39">
        <f t="shared" si="36"/>
        <v>2390850000</v>
      </c>
      <c r="D686" s="76">
        <f t="shared" si="37"/>
        <v>375352323.75093365</v>
      </c>
    </row>
    <row r="687" spans="1:4" x14ac:dyDescent="0.3">
      <c r="A687">
        <v>311000</v>
      </c>
      <c r="B687" s="29">
        <f t="shared" si="35"/>
        <v>2018692183.9397264</v>
      </c>
      <c r="C687" s="39">
        <f t="shared" si="36"/>
        <v>2394700000</v>
      </c>
      <c r="D687" s="76">
        <f t="shared" si="37"/>
        <v>376007816.06027365</v>
      </c>
    </row>
    <row r="688" spans="1:4" x14ac:dyDescent="0.3">
      <c r="A688">
        <v>311500</v>
      </c>
      <c r="B688" s="29">
        <f t="shared" si="35"/>
        <v>2021886691.6303864</v>
      </c>
      <c r="C688" s="39">
        <f t="shared" si="36"/>
        <v>2398550000</v>
      </c>
      <c r="D688" s="76">
        <f t="shared" si="37"/>
        <v>376663308.36961365</v>
      </c>
    </row>
    <row r="689" spans="1:4" x14ac:dyDescent="0.3">
      <c r="A689">
        <v>312000</v>
      </c>
      <c r="B689" s="29">
        <f t="shared" si="35"/>
        <v>2025081199.3210464</v>
      </c>
      <c r="C689" s="39">
        <f t="shared" si="36"/>
        <v>2402400000</v>
      </c>
      <c r="D689" s="76">
        <f t="shared" si="37"/>
        <v>377318800.67895365</v>
      </c>
    </row>
    <row r="690" spans="1:4" x14ac:dyDescent="0.3">
      <c r="A690">
        <v>312500</v>
      </c>
      <c r="B690" s="29">
        <f t="shared" si="35"/>
        <v>2028275707.0117064</v>
      </c>
      <c r="C690" s="39">
        <f t="shared" si="36"/>
        <v>2406250000</v>
      </c>
      <c r="D690" s="76">
        <f t="shared" si="37"/>
        <v>377974292.98829365</v>
      </c>
    </row>
    <row r="691" spans="1:4" x14ac:dyDescent="0.3">
      <c r="A691">
        <v>313000</v>
      </c>
      <c r="B691" s="29">
        <f t="shared" si="35"/>
        <v>2031470214.7023664</v>
      </c>
      <c r="C691" s="39">
        <f t="shared" si="36"/>
        <v>2410100000</v>
      </c>
      <c r="D691" s="76">
        <f t="shared" si="37"/>
        <v>378629785.29763365</v>
      </c>
    </row>
    <row r="692" spans="1:4" x14ac:dyDescent="0.3">
      <c r="A692">
        <v>313500</v>
      </c>
      <c r="B692" s="29">
        <f t="shared" si="35"/>
        <v>2034664722.3930264</v>
      </c>
      <c r="C692" s="39">
        <f t="shared" si="36"/>
        <v>2413950000</v>
      </c>
      <c r="D692" s="76">
        <f t="shared" si="37"/>
        <v>379285277.60697365</v>
      </c>
    </row>
    <row r="693" spans="1:4" x14ac:dyDescent="0.3">
      <c r="A693">
        <v>314000</v>
      </c>
      <c r="B693" s="29">
        <f t="shared" si="35"/>
        <v>2037859230.0836864</v>
      </c>
      <c r="C693" s="39">
        <f t="shared" si="36"/>
        <v>2417800000</v>
      </c>
      <c r="D693" s="76">
        <f t="shared" si="37"/>
        <v>379940769.91631365</v>
      </c>
    </row>
    <row r="694" spans="1:4" x14ac:dyDescent="0.3">
      <c r="A694">
        <v>314500</v>
      </c>
      <c r="B694" s="29">
        <f t="shared" si="35"/>
        <v>2041053737.7743464</v>
      </c>
      <c r="C694" s="39">
        <f t="shared" si="36"/>
        <v>2421650000</v>
      </c>
      <c r="D694" s="76">
        <f t="shared" si="37"/>
        <v>380596262.22565365</v>
      </c>
    </row>
    <row r="695" spans="1:4" x14ac:dyDescent="0.3">
      <c r="A695">
        <v>315000</v>
      </c>
      <c r="B695" s="29">
        <f t="shared" si="35"/>
        <v>2044248245.4650064</v>
      </c>
      <c r="C695" s="39">
        <f t="shared" si="36"/>
        <v>2425500000</v>
      </c>
      <c r="D695" s="76">
        <f t="shared" si="37"/>
        <v>381251754.53499365</v>
      </c>
    </row>
    <row r="696" spans="1:4" x14ac:dyDescent="0.3">
      <c r="A696">
        <v>315500</v>
      </c>
      <c r="B696" s="29">
        <f t="shared" si="35"/>
        <v>2047442753.1556664</v>
      </c>
      <c r="C696" s="39">
        <f t="shared" si="36"/>
        <v>2429350000</v>
      </c>
      <c r="D696" s="76">
        <f t="shared" si="37"/>
        <v>381907246.84433365</v>
      </c>
    </row>
    <row r="697" spans="1:4" x14ac:dyDescent="0.3">
      <c r="A697">
        <v>316000</v>
      </c>
      <c r="B697" s="29">
        <f t="shared" si="35"/>
        <v>2050637260.8463264</v>
      </c>
      <c r="C697" s="39">
        <f t="shared" si="36"/>
        <v>2433200000</v>
      </c>
      <c r="D697" s="76">
        <f t="shared" si="37"/>
        <v>382562739.15367365</v>
      </c>
    </row>
    <row r="698" spans="1:4" x14ac:dyDescent="0.3">
      <c r="A698">
        <v>316500</v>
      </c>
      <c r="B698" s="29">
        <f t="shared" si="35"/>
        <v>2053831768.5369864</v>
      </c>
      <c r="C698" s="39">
        <f t="shared" si="36"/>
        <v>2437050000</v>
      </c>
      <c r="D698" s="76">
        <f t="shared" si="37"/>
        <v>383218231.46301365</v>
      </c>
    </row>
    <row r="699" spans="1:4" x14ac:dyDescent="0.3">
      <c r="A699">
        <v>317000</v>
      </c>
      <c r="B699" s="29">
        <f t="shared" si="35"/>
        <v>2057026276.2276464</v>
      </c>
      <c r="C699" s="39">
        <f t="shared" si="36"/>
        <v>2440900000</v>
      </c>
      <c r="D699" s="76">
        <f t="shared" si="37"/>
        <v>383873723.77235365</v>
      </c>
    </row>
    <row r="700" spans="1:4" x14ac:dyDescent="0.3">
      <c r="A700">
        <v>317500</v>
      </c>
      <c r="B700" s="29">
        <f t="shared" si="35"/>
        <v>2060220783.9183064</v>
      </c>
      <c r="C700" s="39">
        <f t="shared" si="36"/>
        <v>2444750000</v>
      </c>
      <c r="D700" s="76">
        <f t="shared" si="37"/>
        <v>384529216.08169365</v>
      </c>
    </row>
    <row r="701" spans="1:4" x14ac:dyDescent="0.3">
      <c r="A701">
        <v>318000</v>
      </c>
      <c r="B701" s="29">
        <f t="shared" si="35"/>
        <v>2063415291.6089664</v>
      </c>
      <c r="C701" s="39">
        <f t="shared" si="36"/>
        <v>2448600000</v>
      </c>
      <c r="D701" s="76">
        <f t="shared" si="37"/>
        <v>385184708.39103365</v>
      </c>
    </row>
    <row r="702" spans="1:4" x14ac:dyDescent="0.3">
      <c r="A702">
        <v>318500</v>
      </c>
      <c r="B702" s="29">
        <f t="shared" si="35"/>
        <v>2066609799.2996264</v>
      </c>
      <c r="C702" s="39">
        <f t="shared" si="36"/>
        <v>2452450000</v>
      </c>
      <c r="D702" s="76">
        <f t="shared" si="37"/>
        <v>385840200.70037365</v>
      </c>
    </row>
    <row r="703" spans="1:4" x14ac:dyDescent="0.3">
      <c r="A703">
        <v>319000</v>
      </c>
      <c r="B703" s="29">
        <f t="shared" si="35"/>
        <v>2069804306.9902864</v>
      </c>
      <c r="C703" s="39">
        <f t="shared" si="36"/>
        <v>2456300000</v>
      </c>
      <c r="D703" s="76">
        <f t="shared" si="37"/>
        <v>386495693.00971365</v>
      </c>
    </row>
    <row r="704" spans="1:4" x14ac:dyDescent="0.3">
      <c r="A704">
        <v>319500</v>
      </c>
      <c r="B704" s="29">
        <f t="shared" si="35"/>
        <v>2072998814.6809464</v>
      </c>
      <c r="C704" s="39">
        <f t="shared" si="36"/>
        <v>2460150000</v>
      </c>
      <c r="D704" s="76">
        <f t="shared" si="37"/>
        <v>387151185.31905365</v>
      </c>
    </row>
    <row r="705" spans="1:4" x14ac:dyDescent="0.3">
      <c r="A705">
        <v>320000</v>
      </c>
      <c r="B705" s="29">
        <f t="shared" si="35"/>
        <v>2076193322.3716063</v>
      </c>
      <c r="C705" s="39">
        <f t="shared" si="36"/>
        <v>2464000000</v>
      </c>
      <c r="D705" s="76">
        <f t="shared" si="37"/>
        <v>387806677.62839365</v>
      </c>
    </row>
    <row r="706" spans="1:4" x14ac:dyDescent="0.3">
      <c r="A706">
        <v>320500</v>
      </c>
      <c r="B706" s="29">
        <f t="shared" ref="B706:B769" si="38">$B$54+($B$60*A706)</f>
        <v>2079387830.0622663</v>
      </c>
      <c r="C706" s="39">
        <f t="shared" ref="C706:C769" si="39">$E$50*A706</f>
        <v>2467850000</v>
      </c>
      <c r="D706" s="76">
        <f t="shared" ref="D706:D769" si="40">C706-B706</f>
        <v>388462169.93773365</v>
      </c>
    </row>
    <row r="707" spans="1:4" x14ac:dyDescent="0.3">
      <c r="A707">
        <v>321000</v>
      </c>
      <c r="B707" s="29">
        <f t="shared" si="38"/>
        <v>2082582337.7529263</v>
      </c>
      <c r="C707" s="39">
        <f t="shared" si="39"/>
        <v>2471700000</v>
      </c>
      <c r="D707" s="76">
        <f t="shared" si="40"/>
        <v>389117662.24707365</v>
      </c>
    </row>
    <row r="708" spans="1:4" x14ac:dyDescent="0.3">
      <c r="A708">
        <v>321500</v>
      </c>
      <c r="B708" s="29">
        <f t="shared" si="38"/>
        <v>2085776845.4435863</v>
      </c>
      <c r="C708" s="39">
        <f t="shared" si="39"/>
        <v>2475550000</v>
      </c>
      <c r="D708" s="76">
        <f t="shared" si="40"/>
        <v>389773154.55641365</v>
      </c>
    </row>
    <row r="709" spans="1:4" x14ac:dyDescent="0.3">
      <c r="A709">
        <v>322000</v>
      </c>
      <c r="B709" s="29">
        <f t="shared" si="38"/>
        <v>2088971353.1342463</v>
      </c>
      <c r="C709" s="39">
        <f t="shared" si="39"/>
        <v>2479400000</v>
      </c>
      <c r="D709" s="76">
        <f t="shared" si="40"/>
        <v>390428646.86575365</v>
      </c>
    </row>
    <row r="710" spans="1:4" x14ac:dyDescent="0.3">
      <c r="A710">
        <v>322500</v>
      </c>
      <c r="B710" s="29">
        <f t="shared" si="38"/>
        <v>2092165860.8249063</v>
      </c>
      <c r="C710" s="39">
        <f t="shared" si="39"/>
        <v>2483250000</v>
      </c>
      <c r="D710" s="76">
        <f t="shared" si="40"/>
        <v>391084139.17509365</v>
      </c>
    </row>
    <row r="711" spans="1:4" x14ac:dyDescent="0.3">
      <c r="A711">
        <v>323000</v>
      </c>
      <c r="B711" s="29">
        <f t="shared" si="38"/>
        <v>2095360368.5155663</v>
      </c>
      <c r="C711" s="39">
        <f t="shared" si="39"/>
        <v>2487100000</v>
      </c>
      <c r="D711" s="76">
        <f t="shared" si="40"/>
        <v>391739631.48443365</v>
      </c>
    </row>
    <row r="712" spans="1:4" x14ac:dyDescent="0.3">
      <c r="A712">
        <v>323500</v>
      </c>
      <c r="B712" s="29">
        <f t="shared" si="38"/>
        <v>2098554876.2062263</v>
      </c>
      <c r="C712" s="39">
        <f t="shared" si="39"/>
        <v>2490950000</v>
      </c>
      <c r="D712" s="76">
        <f t="shared" si="40"/>
        <v>392395123.79377365</v>
      </c>
    </row>
    <row r="713" spans="1:4" x14ac:dyDescent="0.3">
      <c r="A713">
        <v>324000</v>
      </c>
      <c r="B713" s="29">
        <f t="shared" si="38"/>
        <v>2101749383.8968863</v>
      </c>
      <c r="C713" s="39">
        <f t="shared" si="39"/>
        <v>2494800000</v>
      </c>
      <c r="D713" s="76">
        <f t="shared" si="40"/>
        <v>393050616.10311365</v>
      </c>
    </row>
    <row r="714" spans="1:4" x14ac:dyDescent="0.3">
      <c r="A714">
        <v>324500</v>
      </c>
      <c r="B714" s="29">
        <f t="shared" si="38"/>
        <v>2104943891.5875463</v>
      </c>
      <c r="C714" s="39">
        <f t="shared" si="39"/>
        <v>2498650000</v>
      </c>
      <c r="D714" s="76">
        <f t="shared" si="40"/>
        <v>393706108.41245365</v>
      </c>
    </row>
    <row r="715" spans="1:4" x14ac:dyDescent="0.3">
      <c r="A715">
        <v>325000</v>
      </c>
      <c r="B715" s="29">
        <f t="shared" si="38"/>
        <v>2108138399.2782063</v>
      </c>
      <c r="C715" s="39">
        <f t="shared" si="39"/>
        <v>2502500000</v>
      </c>
      <c r="D715" s="76">
        <f t="shared" si="40"/>
        <v>394361600.72179365</v>
      </c>
    </row>
    <row r="716" spans="1:4" x14ac:dyDescent="0.3">
      <c r="A716">
        <v>325500</v>
      </c>
      <c r="B716" s="29">
        <f t="shared" si="38"/>
        <v>2111332906.9688663</v>
      </c>
      <c r="C716" s="39">
        <f t="shared" si="39"/>
        <v>2506350000</v>
      </c>
      <c r="D716" s="76">
        <f t="shared" si="40"/>
        <v>395017093.03113365</v>
      </c>
    </row>
    <row r="717" spans="1:4" x14ac:dyDescent="0.3">
      <c r="A717">
        <v>326000</v>
      </c>
      <c r="B717" s="29">
        <f t="shared" si="38"/>
        <v>2114527414.6595263</v>
      </c>
      <c r="C717" s="39">
        <f t="shared" si="39"/>
        <v>2510200000</v>
      </c>
      <c r="D717" s="76">
        <f t="shared" si="40"/>
        <v>395672585.34047365</v>
      </c>
    </row>
    <row r="718" spans="1:4" x14ac:dyDescent="0.3">
      <c r="A718">
        <v>326500</v>
      </c>
      <c r="B718" s="29">
        <f t="shared" si="38"/>
        <v>2117721922.3501863</v>
      </c>
      <c r="C718" s="39">
        <f t="shared" si="39"/>
        <v>2514050000</v>
      </c>
      <c r="D718" s="76">
        <f t="shared" si="40"/>
        <v>396328077.64981365</v>
      </c>
    </row>
    <row r="719" spans="1:4" x14ac:dyDescent="0.3">
      <c r="A719">
        <v>327000</v>
      </c>
      <c r="B719" s="29">
        <f t="shared" si="38"/>
        <v>2120916430.0408463</v>
      </c>
      <c r="C719" s="39">
        <f t="shared" si="39"/>
        <v>2517900000</v>
      </c>
      <c r="D719" s="76">
        <f t="shared" si="40"/>
        <v>396983569.95915365</v>
      </c>
    </row>
    <row r="720" spans="1:4" x14ac:dyDescent="0.3">
      <c r="A720">
        <v>327500</v>
      </c>
      <c r="B720" s="29">
        <f t="shared" si="38"/>
        <v>2124110937.7315063</v>
      </c>
      <c r="C720" s="39">
        <f t="shared" si="39"/>
        <v>2521750000</v>
      </c>
      <c r="D720" s="76">
        <f t="shared" si="40"/>
        <v>397639062.26849365</v>
      </c>
    </row>
    <row r="721" spans="1:4" x14ac:dyDescent="0.3">
      <c r="A721">
        <v>328000</v>
      </c>
      <c r="B721" s="29">
        <f t="shared" si="38"/>
        <v>2127305445.4221663</v>
      </c>
      <c r="C721" s="39">
        <f t="shared" si="39"/>
        <v>2525600000</v>
      </c>
      <c r="D721" s="76">
        <f t="shared" si="40"/>
        <v>398294554.57783365</v>
      </c>
    </row>
    <row r="722" spans="1:4" x14ac:dyDescent="0.3">
      <c r="A722">
        <v>328500</v>
      </c>
      <c r="B722" s="29">
        <f t="shared" si="38"/>
        <v>2130499953.1128263</v>
      </c>
      <c r="C722" s="39">
        <f t="shared" si="39"/>
        <v>2529450000</v>
      </c>
      <c r="D722" s="76">
        <f t="shared" si="40"/>
        <v>398950046.88717365</v>
      </c>
    </row>
    <row r="723" spans="1:4" x14ac:dyDescent="0.3">
      <c r="A723">
        <v>329000</v>
      </c>
      <c r="B723" s="29">
        <f t="shared" si="38"/>
        <v>2133694460.8034863</v>
      </c>
      <c r="C723" s="39">
        <f t="shared" si="39"/>
        <v>2533300000</v>
      </c>
      <c r="D723" s="76">
        <f t="shared" si="40"/>
        <v>399605539.19651365</v>
      </c>
    </row>
    <row r="724" spans="1:4" x14ac:dyDescent="0.3">
      <c r="A724">
        <v>329500</v>
      </c>
      <c r="B724" s="29">
        <f t="shared" si="38"/>
        <v>2136888968.4941463</v>
      </c>
      <c r="C724" s="39">
        <f t="shared" si="39"/>
        <v>2537150000</v>
      </c>
      <c r="D724" s="76">
        <f t="shared" si="40"/>
        <v>400261031.50585365</v>
      </c>
    </row>
    <row r="725" spans="1:4" x14ac:dyDescent="0.3">
      <c r="A725">
        <v>330000</v>
      </c>
      <c r="B725" s="29">
        <f t="shared" si="38"/>
        <v>2140083476.1848063</v>
      </c>
      <c r="C725" s="39">
        <f t="shared" si="39"/>
        <v>2541000000</v>
      </c>
      <c r="D725" s="76">
        <f t="shared" si="40"/>
        <v>400916523.81519365</v>
      </c>
    </row>
    <row r="726" spans="1:4" x14ac:dyDescent="0.3">
      <c r="A726">
        <v>330500</v>
      </c>
      <c r="B726" s="29">
        <f t="shared" si="38"/>
        <v>2143277983.8754663</v>
      </c>
      <c r="C726" s="39">
        <f t="shared" si="39"/>
        <v>2544850000</v>
      </c>
      <c r="D726" s="76">
        <f t="shared" si="40"/>
        <v>401572016.12453365</v>
      </c>
    </row>
    <row r="727" spans="1:4" x14ac:dyDescent="0.3">
      <c r="A727">
        <v>331000</v>
      </c>
      <c r="B727" s="29">
        <f t="shared" si="38"/>
        <v>2146472491.5661263</v>
      </c>
      <c r="C727" s="39">
        <f t="shared" si="39"/>
        <v>2548700000</v>
      </c>
      <c r="D727" s="76">
        <f t="shared" si="40"/>
        <v>402227508.43387365</v>
      </c>
    </row>
    <row r="728" spans="1:4" x14ac:dyDescent="0.3">
      <c r="A728">
        <v>331500</v>
      </c>
      <c r="B728" s="29">
        <f t="shared" si="38"/>
        <v>2149666999.2567863</v>
      </c>
      <c r="C728" s="39">
        <f t="shared" si="39"/>
        <v>2552550000</v>
      </c>
      <c r="D728" s="76">
        <f t="shared" si="40"/>
        <v>402883000.74321365</v>
      </c>
    </row>
    <row r="729" spans="1:4" x14ac:dyDescent="0.3">
      <c r="A729">
        <v>332000</v>
      </c>
      <c r="B729" s="29">
        <f t="shared" si="38"/>
        <v>2152861506.9474463</v>
      </c>
      <c r="C729" s="39">
        <f t="shared" si="39"/>
        <v>2556400000</v>
      </c>
      <c r="D729" s="76">
        <f t="shared" si="40"/>
        <v>403538493.05255365</v>
      </c>
    </row>
    <row r="730" spans="1:4" x14ac:dyDescent="0.3">
      <c r="A730">
        <v>332500</v>
      </c>
      <c r="B730" s="29">
        <f t="shared" si="38"/>
        <v>2156056014.6381063</v>
      </c>
      <c r="C730" s="39">
        <f t="shared" si="39"/>
        <v>2560250000</v>
      </c>
      <c r="D730" s="76">
        <f t="shared" si="40"/>
        <v>404193985.36189365</v>
      </c>
    </row>
    <row r="731" spans="1:4" x14ac:dyDescent="0.3">
      <c r="A731">
        <v>333000</v>
      </c>
      <c r="B731" s="29">
        <f t="shared" si="38"/>
        <v>2159250522.3287663</v>
      </c>
      <c r="C731" s="39">
        <f t="shared" si="39"/>
        <v>2564100000</v>
      </c>
      <c r="D731" s="76">
        <f t="shared" si="40"/>
        <v>404849477.67123365</v>
      </c>
    </row>
    <row r="732" spans="1:4" x14ac:dyDescent="0.3">
      <c r="A732">
        <v>333500</v>
      </c>
      <c r="B732" s="29">
        <f t="shared" si="38"/>
        <v>2162445030.0194263</v>
      </c>
      <c r="C732" s="39">
        <f t="shared" si="39"/>
        <v>2567950000</v>
      </c>
      <c r="D732" s="76">
        <f t="shared" si="40"/>
        <v>405504969.98057365</v>
      </c>
    </row>
    <row r="733" spans="1:4" x14ac:dyDescent="0.3">
      <c r="A733">
        <v>334000</v>
      </c>
      <c r="B733" s="29">
        <f t="shared" si="38"/>
        <v>2165639537.7100863</v>
      </c>
      <c r="C733" s="39">
        <f t="shared" si="39"/>
        <v>2571800000</v>
      </c>
      <c r="D733" s="76">
        <f t="shared" si="40"/>
        <v>406160462.28991365</v>
      </c>
    </row>
    <row r="734" spans="1:4" x14ac:dyDescent="0.3">
      <c r="A734">
        <v>334500</v>
      </c>
      <c r="B734" s="29">
        <f t="shared" si="38"/>
        <v>2168834045.4007463</v>
      </c>
      <c r="C734" s="39">
        <f t="shared" si="39"/>
        <v>2575650000</v>
      </c>
      <c r="D734" s="76">
        <f t="shared" si="40"/>
        <v>406815954.59925365</v>
      </c>
    </row>
    <row r="735" spans="1:4" x14ac:dyDescent="0.3">
      <c r="A735">
        <v>335000</v>
      </c>
      <c r="B735" s="29">
        <f t="shared" si="38"/>
        <v>2172028553.0914063</v>
      </c>
      <c r="C735" s="39">
        <f t="shared" si="39"/>
        <v>2579500000</v>
      </c>
      <c r="D735" s="76">
        <f t="shared" si="40"/>
        <v>407471446.90859365</v>
      </c>
    </row>
    <row r="736" spans="1:4" x14ac:dyDescent="0.3">
      <c r="A736">
        <v>335500</v>
      </c>
      <c r="B736" s="29">
        <f t="shared" si="38"/>
        <v>2175223060.7820663</v>
      </c>
      <c r="C736" s="39">
        <f t="shared" si="39"/>
        <v>2583350000</v>
      </c>
      <c r="D736" s="76">
        <f t="shared" si="40"/>
        <v>408126939.21793365</v>
      </c>
    </row>
    <row r="737" spans="1:4" x14ac:dyDescent="0.3">
      <c r="A737">
        <v>336000</v>
      </c>
      <c r="B737" s="29">
        <f t="shared" si="38"/>
        <v>2178417568.4727263</v>
      </c>
      <c r="C737" s="39">
        <f t="shared" si="39"/>
        <v>2587200000</v>
      </c>
      <c r="D737" s="76">
        <f t="shared" si="40"/>
        <v>408782431.52727365</v>
      </c>
    </row>
    <row r="738" spans="1:4" x14ac:dyDescent="0.3">
      <c r="A738">
        <v>336500</v>
      </c>
      <c r="B738" s="29">
        <f t="shared" si="38"/>
        <v>2181612076.1633863</v>
      </c>
      <c r="C738" s="39">
        <f t="shared" si="39"/>
        <v>2591050000</v>
      </c>
      <c r="D738" s="76">
        <f t="shared" si="40"/>
        <v>409437923.83661366</v>
      </c>
    </row>
    <row r="739" spans="1:4" x14ac:dyDescent="0.3">
      <c r="A739">
        <v>337000</v>
      </c>
      <c r="B739" s="29">
        <f t="shared" si="38"/>
        <v>2184806583.8540463</v>
      </c>
      <c r="C739" s="39">
        <f t="shared" si="39"/>
        <v>2594900000</v>
      </c>
      <c r="D739" s="76">
        <f t="shared" si="40"/>
        <v>410093416.14595366</v>
      </c>
    </row>
    <row r="740" spans="1:4" x14ac:dyDescent="0.3">
      <c r="A740">
        <v>337500</v>
      </c>
      <c r="B740" s="29">
        <f t="shared" si="38"/>
        <v>2188001091.5447063</v>
      </c>
      <c r="C740" s="39">
        <f t="shared" si="39"/>
        <v>2598750000</v>
      </c>
      <c r="D740" s="76">
        <f t="shared" si="40"/>
        <v>410748908.45529366</v>
      </c>
    </row>
    <row r="741" spans="1:4" x14ac:dyDescent="0.3">
      <c r="A741">
        <v>338000</v>
      </c>
      <c r="B741" s="29">
        <f t="shared" si="38"/>
        <v>2191195599.2353663</v>
      </c>
      <c r="C741" s="39">
        <f t="shared" si="39"/>
        <v>2602600000</v>
      </c>
      <c r="D741" s="76">
        <f t="shared" si="40"/>
        <v>411404400.76463366</v>
      </c>
    </row>
    <row r="742" spans="1:4" x14ac:dyDescent="0.3">
      <c r="A742">
        <v>338500</v>
      </c>
      <c r="B742" s="29">
        <f t="shared" si="38"/>
        <v>2194390106.9260263</v>
      </c>
      <c r="C742" s="39">
        <f t="shared" si="39"/>
        <v>2606450000</v>
      </c>
      <c r="D742" s="76">
        <f t="shared" si="40"/>
        <v>412059893.07397366</v>
      </c>
    </row>
    <row r="743" spans="1:4" x14ac:dyDescent="0.3">
      <c r="A743">
        <v>339000</v>
      </c>
      <c r="B743" s="29">
        <f t="shared" si="38"/>
        <v>2197584614.6166863</v>
      </c>
      <c r="C743" s="39">
        <f t="shared" si="39"/>
        <v>2610300000</v>
      </c>
      <c r="D743" s="76">
        <f t="shared" si="40"/>
        <v>412715385.38331366</v>
      </c>
    </row>
    <row r="744" spans="1:4" x14ac:dyDescent="0.3">
      <c r="A744">
        <v>339500</v>
      </c>
      <c r="B744" s="29">
        <f t="shared" si="38"/>
        <v>2200779122.3073463</v>
      </c>
      <c r="C744" s="39">
        <f t="shared" si="39"/>
        <v>2614150000</v>
      </c>
      <c r="D744" s="76">
        <f t="shared" si="40"/>
        <v>413370877.69265366</v>
      </c>
    </row>
    <row r="745" spans="1:4" x14ac:dyDescent="0.3">
      <c r="A745">
        <v>340000</v>
      </c>
      <c r="B745" s="29">
        <f t="shared" si="38"/>
        <v>2203973629.9980063</v>
      </c>
      <c r="C745" s="39">
        <f t="shared" si="39"/>
        <v>2618000000</v>
      </c>
      <c r="D745" s="76">
        <f t="shared" si="40"/>
        <v>414026370.00199366</v>
      </c>
    </row>
    <row r="746" spans="1:4" x14ac:dyDescent="0.3">
      <c r="A746">
        <v>340500</v>
      </c>
      <c r="B746" s="29">
        <f t="shared" si="38"/>
        <v>2207168137.6886663</v>
      </c>
      <c r="C746" s="39">
        <f t="shared" si="39"/>
        <v>2621850000</v>
      </c>
      <c r="D746" s="76">
        <f t="shared" si="40"/>
        <v>414681862.31133366</v>
      </c>
    </row>
    <row r="747" spans="1:4" x14ac:dyDescent="0.3">
      <c r="A747">
        <v>341000</v>
      </c>
      <c r="B747" s="29">
        <f t="shared" si="38"/>
        <v>2210362645.3793263</v>
      </c>
      <c r="C747" s="39">
        <f t="shared" si="39"/>
        <v>2625700000</v>
      </c>
      <c r="D747" s="76">
        <f t="shared" si="40"/>
        <v>415337354.62067366</v>
      </c>
    </row>
    <row r="748" spans="1:4" x14ac:dyDescent="0.3">
      <c r="A748">
        <v>341500</v>
      </c>
      <c r="B748" s="29">
        <f t="shared" si="38"/>
        <v>2213557153.0699863</v>
      </c>
      <c r="C748" s="39">
        <f t="shared" si="39"/>
        <v>2629550000</v>
      </c>
      <c r="D748" s="76">
        <f t="shared" si="40"/>
        <v>415992846.93001366</v>
      </c>
    </row>
    <row r="749" spans="1:4" x14ac:dyDescent="0.3">
      <c r="A749">
        <v>342000</v>
      </c>
      <c r="B749" s="29">
        <f t="shared" si="38"/>
        <v>2216751660.7606463</v>
      </c>
      <c r="C749" s="39">
        <f t="shared" si="39"/>
        <v>2633400000</v>
      </c>
      <c r="D749" s="76">
        <f t="shared" si="40"/>
        <v>416648339.23935366</v>
      </c>
    </row>
    <row r="750" spans="1:4" x14ac:dyDescent="0.3">
      <c r="A750">
        <v>342500</v>
      </c>
      <c r="B750" s="29">
        <f t="shared" si="38"/>
        <v>2219946168.4513063</v>
      </c>
      <c r="C750" s="39">
        <f t="shared" si="39"/>
        <v>2637250000</v>
      </c>
      <c r="D750" s="76">
        <f t="shared" si="40"/>
        <v>417303831.54869366</v>
      </c>
    </row>
    <row r="751" spans="1:4" x14ac:dyDescent="0.3">
      <c r="A751">
        <v>343000</v>
      </c>
      <c r="B751" s="29">
        <f t="shared" si="38"/>
        <v>2223140676.1419663</v>
      </c>
      <c r="C751" s="39">
        <f t="shared" si="39"/>
        <v>2641100000</v>
      </c>
      <c r="D751" s="76">
        <f t="shared" si="40"/>
        <v>417959323.85803366</v>
      </c>
    </row>
    <row r="752" spans="1:4" x14ac:dyDescent="0.3">
      <c r="A752">
        <v>343500</v>
      </c>
      <c r="B752" s="29">
        <f t="shared" si="38"/>
        <v>2226335183.8326263</v>
      </c>
      <c r="C752" s="39">
        <f t="shared" si="39"/>
        <v>2644950000</v>
      </c>
      <c r="D752" s="76">
        <f t="shared" si="40"/>
        <v>418614816.16737366</v>
      </c>
    </row>
    <row r="753" spans="1:4" x14ac:dyDescent="0.3">
      <c r="A753">
        <v>344000</v>
      </c>
      <c r="B753" s="29">
        <f t="shared" si="38"/>
        <v>2229529691.5232863</v>
      </c>
      <c r="C753" s="39">
        <f t="shared" si="39"/>
        <v>2648800000</v>
      </c>
      <c r="D753" s="76">
        <f t="shared" si="40"/>
        <v>419270308.47671366</v>
      </c>
    </row>
    <row r="754" spans="1:4" x14ac:dyDescent="0.3">
      <c r="A754">
        <v>344500</v>
      </c>
      <c r="B754" s="29">
        <f t="shared" si="38"/>
        <v>2232724199.2139463</v>
      </c>
      <c r="C754" s="39">
        <f t="shared" si="39"/>
        <v>2652650000</v>
      </c>
      <c r="D754" s="76">
        <f t="shared" si="40"/>
        <v>419925800.78605366</v>
      </c>
    </row>
    <row r="755" spans="1:4" x14ac:dyDescent="0.3">
      <c r="A755">
        <v>345000</v>
      </c>
      <c r="B755" s="29">
        <f t="shared" si="38"/>
        <v>2235918706.9046063</v>
      </c>
      <c r="C755" s="39">
        <f t="shared" si="39"/>
        <v>2656500000</v>
      </c>
      <c r="D755" s="76">
        <f t="shared" si="40"/>
        <v>420581293.09539366</v>
      </c>
    </row>
    <row r="756" spans="1:4" x14ac:dyDescent="0.3">
      <c r="A756">
        <v>345500</v>
      </c>
      <c r="B756" s="29">
        <f t="shared" si="38"/>
        <v>2239113214.5952663</v>
      </c>
      <c r="C756" s="39">
        <f t="shared" si="39"/>
        <v>2660350000</v>
      </c>
      <c r="D756" s="76">
        <f t="shared" si="40"/>
        <v>421236785.40473366</v>
      </c>
    </row>
    <row r="757" spans="1:4" x14ac:dyDescent="0.3">
      <c r="A757">
        <v>346000</v>
      </c>
      <c r="B757" s="29">
        <f t="shared" si="38"/>
        <v>2242307722.2859263</v>
      </c>
      <c r="C757" s="39">
        <f t="shared" si="39"/>
        <v>2664200000</v>
      </c>
      <c r="D757" s="76">
        <f t="shared" si="40"/>
        <v>421892277.71407366</v>
      </c>
    </row>
    <row r="758" spans="1:4" x14ac:dyDescent="0.3">
      <c r="A758">
        <v>346500</v>
      </c>
      <c r="B758" s="29">
        <f t="shared" si="38"/>
        <v>2245502229.9765863</v>
      </c>
      <c r="C758" s="39">
        <f t="shared" si="39"/>
        <v>2668050000</v>
      </c>
      <c r="D758" s="76">
        <f t="shared" si="40"/>
        <v>422547770.02341366</v>
      </c>
    </row>
    <row r="759" spans="1:4" x14ac:dyDescent="0.3">
      <c r="A759">
        <v>347000</v>
      </c>
      <c r="B759" s="29">
        <f t="shared" si="38"/>
        <v>2248696737.6672463</v>
      </c>
      <c r="C759" s="39">
        <f t="shared" si="39"/>
        <v>2671900000</v>
      </c>
      <c r="D759" s="76">
        <f t="shared" si="40"/>
        <v>423203262.33275366</v>
      </c>
    </row>
    <row r="760" spans="1:4" x14ac:dyDescent="0.3">
      <c r="A760">
        <v>347500</v>
      </c>
      <c r="B760" s="29">
        <f t="shared" si="38"/>
        <v>2251891245.3579063</v>
      </c>
      <c r="C760" s="39">
        <f t="shared" si="39"/>
        <v>2675750000</v>
      </c>
      <c r="D760" s="76">
        <f t="shared" si="40"/>
        <v>423858754.64209366</v>
      </c>
    </row>
    <row r="761" spans="1:4" x14ac:dyDescent="0.3">
      <c r="A761">
        <v>348000</v>
      </c>
      <c r="B761" s="29">
        <f t="shared" si="38"/>
        <v>2255085753.0485663</v>
      </c>
      <c r="C761" s="39">
        <f t="shared" si="39"/>
        <v>2679600000</v>
      </c>
      <c r="D761" s="76">
        <f t="shared" si="40"/>
        <v>424514246.95143366</v>
      </c>
    </row>
    <row r="762" spans="1:4" x14ac:dyDescent="0.3">
      <c r="A762">
        <v>348500</v>
      </c>
      <c r="B762" s="29">
        <f t="shared" si="38"/>
        <v>2258280260.7392263</v>
      </c>
      <c r="C762" s="39">
        <f t="shared" si="39"/>
        <v>2683450000</v>
      </c>
      <c r="D762" s="76">
        <f t="shared" si="40"/>
        <v>425169739.26077366</v>
      </c>
    </row>
    <row r="763" spans="1:4" x14ac:dyDescent="0.3">
      <c r="A763">
        <v>349000</v>
      </c>
      <c r="B763" s="29">
        <f t="shared" si="38"/>
        <v>2261474768.4298863</v>
      </c>
      <c r="C763" s="39">
        <f t="shared" si="39"/>
        <v>2687300000</v>
      </c>
      <c r="D763" s="76">
        <f t="shared" si="40"/>
        <v>425825231.57011366</v>
      </c>
    </row>
    <row r="764" spans="1:4" x14ac:dyDescent="0.3">
      <c r="A764">
        <v>349500</v>
      </c>
      <c r="B764" s="29">
        <f t="shared" si="38"/>
        <v>2264669276.1205463</v>
      </c>
      <c r="C764" s="39">
        <f t="shared" si="39"/>
        <v>2691150000</v>
      </c>
      <c r="D764" s="76">
        <f t="shared" si="40"/>
        <v>426480723.87945366</v>
      </c>
    </row>
    <row r="765" spans="1:4" x14ac:dyDescent="0.3">
      <c r="A765">
        <v>350000</v>
      </c>
      <c r="B765" s="29">
        <f t="shared" si="38"/>
        <v>2267863783.8112063</v>
      </c>
      <c r="C765" s="39">
        <f t="shared" si="39"/>
        <v>2695000000</v>
      </c>
      <c r="D765" s="76">
        <f t="shared" si="40"/>
        <v>427136216.18879366</v>
      </c>
    </row>
    <row r="766" spans="1:4" x14ac:dyDescent="0.3">
      <c r="A766">
        <v>350500</v>
      </c>
      <c r="B766" s="29">
        <f t="shared" si="38"/>
        <v>2271058291.5018663</v>
      </c>
      <c r="C766" s="39">
        <f t="shared" si="39"/>
        <v>2698850000</v>
      </c>
      <c r="D766" s="76">
        <f t="shared" si="40"/>
        <v>427791708.49813366</v>
      </c>
    </row>
    <row r="767" spans="1:4" x14ac:dyDescent="0.3">
      <c r="A767">
        <v>351000</v>
      </c>
      <c r="B767" s="29">
        <f t="shared" si="38"/>
        <v>2274252799.1925263</v>
      </c>
      <c r="C767" s="39">
        <f t="shared" si="39"/>
        <v>2702700000</v>
      </c>
      <c r="D767" s="76">
        <f t="shared" si="40"/>
        <v>428447200.80747366</v>
      </c>
    </row>
    <row r="768" spans="1:4" x14ac:dyDescent="0.3">
      <c r="A768">
        <v>351500</v>
      </c>
      <c r="B768" s="29">
        <f t="shared" si="38"/>
        <v>2277447306.8831863</v>
      </c>
      <c r="C768" s="39">
        <f t="shared" si="39"/>
        <v>2706550000</v>
      </c>
      <c r="D768" s="76">
        <f t="shared" si="40"/>
        <v>429102693.11681366</v>
      </c>
    </row>
    <row r="769" spans="1:4" x14ac:dyDescent="0.3">
      <c r="A769">
        <v>352000</v>
      </c>
      <c r="B769" s="29">
        <f t="shared" si="38"/>
        <v>2280641814.5738463</v>
      </c>
      <c r="C769" s="39">
        <f t="shared" si="39"/>
        <v>2710400000</v>
      </c>
      <c r="D769" s="76">
        <f t="shared" si="40"/>
        <v>429758185.42615366</v>
      </c>
    </row>
    <row r="770" spans="1:4" x14ac:dyDescent="0.3">
      <c r="A770">
        <v>352500</v>
      </c>
      <c r="B770" s="29">
        <f t="shared" ref="B770:B833" si="41">$B$54+($B$60*A770)</f>
        <v>2283836322.2645063</v>
      </c>
      <c r="C770" s="39">
        <f t="shared" ref="C770:C833" si="42">$E$50*A770</f>
        <v>2714250000</v>
      </c>
      <c r="D770" s="76">
        <f t="shared" ref="D770:D833" si="43">C770-B770</f>
        <v>430413677.73549366</v>
      </c>
    </row>
    <row r="771" spans="1:4" x14ac:dyDescent="0.3">
      <c r="A771">
        <v>353000</v>
      </c>
      <c r="B771" s="29">
        <f t="shared" si="41"/>
        <v>2287030829.9551663</v>
      </c>
      <c r="C771" s="39">
        <f t="shared" si="42"/>
        <v>2718100000</v>
      </c>
      <c r="D771" s="76">
        <f t="shared" si="43"/>
        <v>431069170.04483366</v>
      </c>
    </row>
    <row r="772" spans="1:4" x14ac:dyDescent="0.3">
      <c r="A772">
        <v>353500</v>
      </c>
      <c r="B772" s="29">
        <f t="shared" si="41"/>
        <v>2290225337.6458263</v>
      </c>
      <c r="C772" s="39">
        <f t="shared" si="42"/>
        <v>2721950000</v>
      </c>
      <c r="D772" s="76">
        <f t="shared" si="43"/>
        <v>431724662.35417366</v>
      </c>
    </row>
    <row r="773" spans="1:4" x14ac:dyDescent="0.3">
      <c r="A773">
        <v>354000</v>
      </c>
      <c r="B773" s="29">
        <f t="shared" si="41"/>
        <v>2293419845.3364863</v>
      </c>
      <c r="C773" s="39">
        <f t="shared" si="42"/>
        <v>2725800000</v>
      </c>
      <c r="D773" s="76">
        <f t="shared" si="43"/>
        <v>432380154.66351366</v>
      </c>
    </row>
    <row r="774" spans="1:4" x14ac:dyDescent="0.3">
      <c r="A774">
        <v>354500</v>
      </c>
      <c r="B774" s="29">
        <f t="shared" si="41"/>
        <v>2296614353.0271463</v>
      </c>
      <c r="C774" s="39">
        <f t="shared" si="42"/>
        <v>2729650000</v>
      </c>
      <c r="D774" s="76">
        <f t="shared" si="43"/>
        <v>433035646.97285366</v>
      </c>
    </row>
    <row r="775" spans="1:4" x14ac:dyDescent="0.3">
      <c r="A775">
        <v>355000</v>
      </c>
      <c r="B775" s="29">
        <f t="shared" si="41"/>
        <v>2299808860.7178063</v>
      </c>
      <c r="C775" s="39">
        <f t="shared" si="42"/>
        <v>2733500000</v>
      </c>
      <c r="D775" s="76">
        <f t="shared" si="43"/>
        <v>433691139.28219366</v>
      </c>
    </row>
    <row r="776" spans="1:4" x14ac:dyDescent="0.3">
      <c r="A776">
        <v>355500</v>
      </c>
      <c r="B776" s="29">
        <f t="shared" si="41"/>
        <v>2303003368.4084663</v>
      </c>
      <c r="C776" s="39">
        <f t="shared" si="42"/>
        <v>2737350000</v>
      </c>
      <c r="D776" s="76">
        <f t="shared" si="43"/>
        <v>434346631.59153366</v>
      </c>
    </row>
    <row r="777" spans="1:4" x14ac:dyDescent="0.3">
      <c r="A777">
        <v>356000</v>
      </c>
      <c r="B777" s="29">
        <f t="shared" si="41"/>
        <v>2306197876.0991263</v>
      </c>
      <c r="C777" s="39">
        <f t="shared" si="42"/>
        <v>2741200000</v>
      </c>
      <c r="D777" s="76">
        <f t="shared" si="43"/>
        <v>435002123.90087366</v>
      </c>
    </row>
    <row r="778" spans="1:4" x14ac:dyDescent="0.3">
      <c r="A778">
        <v>356500</v>
      </c>
      <c r="B778" s="29">
        <f t="shared" si="41"/>
        <v>2309392383.7897863</v>
      </c>
      <c r="C778" s="39">
        <f t="shared" si="42"/>
        <v>2745050000</v>
      </c>
      <c r="D778" s="76">
        <f t="shared" si="43"/>
        <v>435657616.21021366</v>
      </c>
    </row>
    <row r="779" spans="1:4" x14ac:dyDescent="0.3">
      <c r="A779">
        <v>357000</v>
      </c>
      <c r="B779" s="29">
        <f t="shared" si="41"/>
        <v>2312586891.4804463</v>
      </c>
      <c r="C779" s="39">
        <f t="shared" si="42"/>
        <v>2748900000</v>
      </c>
      <c r="D779" s="76">
        <f t="shared" si="43"/>
        <v>436313108.51955366</v>
      </c>
    </row>
    <row r="780" spans="1:4" x14ac:dyDescent="0.3">
      <c r="A780">
        <v>357500</v>
      </c>
      <c r="B780" s="29">
        <f t="shared" si="41"/>
        <v>2315781399.1711063</v>
      </c>
      <c r="C780" s="39">
        <f t="shared" si="42"/>
        <v>2752750000</v>
      </c>
      <c r="D780" s="76">
        <f t="shared" si="43"/>
        <v>436968600.82889366</v>
      </c>
    </row>
    <row r="781" spans="1:4" x14ac:dyDescent="0.3">
      <c r="A781">
        <v>358000</v>
      </c>
      <c r="B781" s="29">
        <f t="shared" si="41"/>
        <v>2318975906.8617663</v>
      </c>
      <c r="C781" s="39">
        <f t="shared" si="42"/>
        <v>2756600000</v>
      </c>
      <c r="D781" s="76">
        <f t="shared" si="43"/>
        <v>437624093.13823366</v>
      </c>
    </row>
    <row r="782" spans="1:4" x14ac:dyDescent="0.3">
      <c r="A782">
        <v>358500</v>
      </c>
      <c r="B782" s="29">
        <f t="shared" si="41"/>
        <v>2322170414.5524263</v>
      </c>
      <c r="C782" s="39">
        <f t="shared" si="42"/>
        <v>2760450000</v>
      </c>
      <c r="D782" s="76">
        <f t="shared" si="43"/>
        <v>438279585.44757366</v>
      </c>
    </row>
    <row r="783" spans="1:4" x14ac:dyDescent="0.3">
      <c r="A783">
        <v>359000</v>
      </c>
      <c r="B783" s="29">
        <f t="shared" si="41"/>
        <v>2325364922.2430863</v>
      </c>
      <c r="C783" s="39">
        <f t="shared" si="42"/>
        <v>2764300000</v>
      </c>
      <c r="D783" s="76">
        <f t="shared" si="43"/>
        <v>438935077.75691366</v>
      </c>
    </row>
    <row r="784" spans="1:4" x14ac:dyDescent="0.3">
      <c r="A784">
        <v>359500</v>
      </c>
      <c r="B784" s="29">
        <f t="shared" si="41"/>
        <v>2328559429.9337463</v>
      </c>
      <c r="C784" s="39">
        <f t="shared" si="42"/>
        <v>2768150000</v>
      </c>
      <c r="D784" s="76">
        <f t="shared" si="43"/>
        <v>439590570.06625366</v>
      </c>
    </row>
    <row r="785" spans="1:4" x14ac:dyDescent="0.3">
      <c r="A785">
        <v>360000</v>
      </c>
      <c r="B785" s="29">
        <f t="shared" si="41"/>
        <v>2331753937.6244063</v>
      </c>
      <c r="C785" s="39">
        <f t="shared" si="42"/>
        <v>2772000000</v>
      </c>
      <c r="D785" s="76">
        <f t="shared" si="43"/>
        <v>440246062.37559366</v>
      </c>
    </row>
    <row r="786" spans="1:4" x14ac:dyDescent="0.3">
      <c r="A786">
        <v>360500</v>
      </c>
      <c r="B786" s="29">
        <f t="shared" si="41"/>
        <v>2334948445.3150663</v>
      </c>
      <c r="C786" s="39">
        <f t="shared" si="42"/>
        <v>2775850000</v>
      </c>
      <c r="D786" s="76">
        <f t="shared" si="43"/>
        <v>440901554.68493366</v>
      </c>
    </row>
    <row r="787" spans="1:4" x14ac:dyDescent="0.3">
      <c r="A787">
        <v>361000</v>
      </c>
      <c r="B787" s="29">
        <f t="shared" si="41"/>
        <v>2338142953.0057263</v>
      </c>
      <c r="C787" s="39">
        <f t="shared" si="42"/>
        <v>2779700000</v>
      </c>
      <c r="D787" s="76">
        <f t="shared" si="43"/>
        <v>441557046.99427366</v>
      </c>
    </row>
    <row r="788" spans="1:4" x14ac:dyDescent="0.3">
      <c r="A788">
        <v>361500</v>
      </c>
      <c r="B788" s="29">
        <f t="shared" si="41"/>
        <v>2341337460.6963863</v>
      </c>
      <c r="C788" s="39">
        <f t="shared" si="42"/>
        <v>2783550000</v>
      </c>
      <c r="D788" s="76">
        <f t="shared" si="43"/>
        <v>442212539.30361366</v>
      </c>
    </row>
    <row r="789" spans="1:4" x14ac:dyDescent="0.3">
      <c r="A789">
        <v>362000</v>
      </c>
      <c r="B789" s="29">
        <f t="shared" si="41"/>
        <v>2344531968.3870463</v>
      </c>
      <c r="C789" s="39">
        <f t="shared" si="42"/>
        <v>2787400000</v>
      </c>
      <c r="D789" s="76">
        <f t="shared" si="43"/>
        <v>442868031.61295366</v>
      </c>
    </row>
    <row r="790" spans="1:4" x14ac:dyDescent="0.3">
      <c r="A790">
        <v>362500</v>
      </c>
      <c r="B790" s="29">
        <f t="shared" si="41"/>
        <v>2347726476.0777063</v>
      </c>
      <c r="C790" s="39">
        <f t="shared" si="42"/>
        <v>2791250000</v>
      </c>
      <c r="D790" s="76">
        <f t="shared" si="43"/>
        <v>443523523.92229366</v>
      </c>
    </row>
    <row r="791" spans="1:4" x14ac:dyDescent="0.3">
      <c r="A791">
        <v>363000</v>
      </c>
      <c r="B791" s="29">
        <f t="shared" si="41"/>
        <v>2350920983.7683663</v>
      </c>
      <c r="C791" s="39">
        <f t="shared" si="42"/>
        <v>2795100000</v>
      </c>
      <c r="D791" s="76">
        <f t="shared" si="43"/>
        <v>444179016.23163366</v>
      </c>
    </row>
    <row r="792" spans="1:4" x14ac:dyDescent="0.3">
      <c r="A792">
        <v>363500</v>
      </c>
      <c r="B792" s="29">
        <f t="shared" si="41"/>
        <v>2354115491.4590263</v>
      </c>
      <c r="C792" s="39">
        <f t="shared" si="42"/>
        <v>2798950000</v>
      </c>
      <c r="D792" s="76">
        <f t="shared" si="43"/>
        <v>444834508.54097366</v>
      </c>
    </row>
    <row r="793" spans="1:4" x14ac:dyDescent="0.3">
      <c r="A793">
        <v>364000</v>
      </c>
      <c r="B793" s="29">
        <f t="shared" si="41"/>
        <v>2357309999.1496863</v>
      </c>
      <c r="C793" s="39">
        <f t="shared" si="42"/>
        <v>2802800000</v>
      </c>
      <c r="D793" s="76">
        <f t="shared" si="43"/>
        <v>445490000.85031366</v>
      </c>
    </row>
    <row r="794" spans="1:4" x14ac:dyDescent="0.3">
      <c r="A794">
        <v>364500</v>
      </c>
      <c r="B794" s="29">
        <f t="shared" si="41"/>
        <v>2360504506.8403463</v>
      </c>
      <c r="C794" s="39">
        <f t="shared" si="42"/>
        <v>2806650000</v>
      </c>
      <c r="D794" s="76">
        <f t="shared" si="43"/>
        <v>446145493.15965366</v>
      </c>
    </row>
    <row r="795" spans="1:4" x14ac:dyDescent="0.3">
      <c r="A795">
        <v>365000</v>
      </c>
      <c r="B795" s="29">
        <f t="shared" si="41"/>
        <v>2363699014.5310063</v>
      </c>
      <c r="C795" s="39">
        <f t="shared" si="42"/>
        <v>2810500000</v>
      </c>
      <c r="D795" s="76">
        <f t="shared" si="43"/>
        <v>446800985.46899366</v>
      </c>
    </row>
    <row r="796" spans="1:4" x14ac:dyDescent="0.3">
      <c r="A796">
        <v>365500</v>
      </c>
      <c r="B796" s="29">
        <f t="shared" si="41"/>
        <v>2366893522.2216663</v>
      </c>
      <c r="C796" s="39">
        <f t="shared" si="42"/>
        <v>2814350000</v>
      </c>
      <c r="D796" s="76">
        <f t="shared" si="43"/>
        <v>447456477.77833366</v>
      </c>
    </row>
    <row r="797" spans="1:4" x14ac:dyDescent="0.3">
      <c r="A797">
        <v>366000</v>
      </c>
      <c r="B797" s="29">
        <f t="shared" si="41"/>
        <v>2370088029.9123263</v>
      </c>
      <c r="C797" s="39">
        <f t="shared" si="42"/>
        <v>2818200000</v>
      </c>
      <c r="D797" s="76">
        <f t="shared" si="43"/>
        <v>448111970.08767366</v>
      </c>
    </row>
    <row r="798" spans="1:4" x14ac:dyDescent="0.3">
      <c r="A798">
        <v>366500</v>
      </c>
      <c r="B798" s="29">
        <f t="shared" si="41"/>
        <v>2373282537.6029863</v>
      </c>
      <c r="C798" s="39">
        <f t="shared" si="42"/>
        <v>2822050000</v>
      </c>
      <c r="D798" s="76">
        <f t="shared" si="43"/>
        <v>448767462.39701366</v>
      </c>
    </row>
    <row r="799" spans="1:4" x14ac:dyDescent="0.3">
      <c r="A799">
        <v>367000</v>
      </c>
      <c r="B799" s="29">
        <f t="shared" si="41"/>
        <v>2376477045.2936463</v>
      </c>
      <c r="C799" s="39">
        <f t="shared" si="42"/>
        <v>2825900000</v>
      </c>
      <c r="D799" s="76">
        <f t="shared" si="43"/>
        <v>449422954.70635366</v>
      </c>
    </row>
    <row r="800" spans="1:4" x14ac:dyDescent="0.3">
      <c r="A800">
        <v>367500</v>
      </c>
      <c r="B800" s="29">
        <f t="shared" si="41"/>
        <v>2379671552.9843063</v>
      </c>
      <c r="C800" s="39">
        <f t="shared" si="42"/>
        <v>2829750000</v>
      </c>
      <c r="D800" s="76">
        <f t="shared" si="43"/>
        <v>450078447.01569366</v>
      </c>
    </row>
    <row r="801" spans="1:4" x14ac:dyDescent="0.3">
      <c r="A801">
        <v>368000</v>
      </c>
      <c r="B801" s="29">
        <f t="shared" si="41"/>
        <v>2382866060.6749663</v>
      </c>
      <c r="C801" s="39">
        <f t="shared" si="42"/>
        <v>2833600000</v>
      </c>
      <c r="D801" s="76">
        <f t="shared" si="43"/>
        <v>450733939.32503366</v>
      </c>
    </row>
    <row r="802" spans="1:4" x14ac:dyDescent="0.3">
      <c r="A802">
        <v>368500</v>
      </c>
      <c r="B802" s="29">
        <f t="shared" si="41"/>
        <v>2386060568.3656263</v>
      </c>
      <c r="C802" s="39">
        <f t="shared" si="42"/>
        <v>2837450000</v>
      </c>
      <c r="D802" s="76">
        <f t="shared" si="43"/>
        <v>451389431.63437366</v>
      </c>
    </row>
    <row r="803" spans="1:4" x14ac:dyDescent="0.3">
      <c r="A803">
        <v>369000</v>
      </c>
      <c r="B803" s="29">
        <f t="shared" si="41"/>
        <v>2389255076.0562863</v>
      </c>
      <c r="C803" s="39">
        <f t="shared" si="42"/>
        <v>2841300000</v>
      </c>
      <c r="D803" s="76">
        <f t="shared" si="43"/>
        <v>452044923.94371367</v>
      </c>
    </row>
    <row r="804" spans="1:4" x14ac:dyDescent="0.3">
      <c r="A804">
        <v>369500</v>
      </c>
      <c r="B804" s="29">
        <f t="shared" si="41"/>
        <v>2392449583.7469463</v>
      </c>
      <c r="C804" s="39">
        <f t="shared" si="42"/>
        <v>2845150000</v>
      </c>
      <c r="D804" s="76">
        <f t="shared" si="43"/>
        <v>452700416.25305367</v>
      </c>
    </row>
    <row r="805" spans="1:4" x14ac:dyDescent="0.3">
      <c r="A805">
        <v>370000</v>
      </c>
      <c r="B805" s="29">
        <f t="shared" si="41"/>
        <v>2395644091.4376063</v>
      </c>
      <c r="C805" s="39">
        <f t="shared" si="42"/>
        <v>2849000000</v>
      </c>
      <c r="D805" s="76">
        <f t="shared" si="43"/>
        <v>453355908.56239367</v>
      </c>
    </row>
    <row r="806" spans="1:4" x14ac:dyDescent="0.3">
      <c r="A806">
        <v>370500</v>
      </c>
      <c r="B806" s="29">
        <f t="shared" si="41"/>
        <v>2398838599.1282663</v>
      </c>
      <c r="C806" s="39">
        <f t="shared" si="42"/>
        <v>2852850000</v>
      </c>
      <c r="D806" s="76">
        <f t="shared" si="43"/>
        <v>454011400.87173367</v>
      </c>
    </row>
    <row r="807" spans="1:4" x14ac:dyDescent="0.3">
      <c r="A807">
        <v>371000</v>
      </c>
      <c r="B807" s="29">
        <f t="shared" si="41"/>
        <v>2402033106.8189263</v>
      </c>
      <c r="C807" s="39">
        <f t="shared" si="42"/>
        <v>2856700000</v>
      </c>
      <c r="D807" s="76">
        <f t="shared" si="43"/>
        <v>454666893.18107367</v>
      </c>
    </row>
    <row r="808" spans="1:4" x14ac:dyDescent="0.3">
      <c r="A808">
        <v>371500</v>
      </c>
      <c r="B808" s="29">
        <f t="shared" si="41"/>
        <v>2405227614.5095863</v>
      </c>
      <c r="C808" s="39">
        <f t="shared" si="42"/>
        <v>2860550000</v>
      </c>
      <c r="D808" s="76">
        <f t="shared" si="43"/>
        <v>455322385.49041367</v>
      </c>
    </row>
    <row r="809" spans="1:4" x14ac:dyDescent="0.3">
      <c r="A809">
        <v>372000</v>
      </c>
      <c r="B809" s="29">
        <f t="shared" si="41"/>
        <v>2408422122.2002463</v>
      </c>
      <c r="C809" s="39">
        <f t="shared" si="42"/>
        <v>2864400000</v>
      </c>
      <c r="D809" s="76">
        <f t="shared" si="43"/>
        <v>455977877.79975367</v>
      </c>
    </row>
    <row r="810" spans="1:4" x14ac:dyDescent="0.3">
      <c r="A810">
        <v>372500</v>
      </c>
      <c r="B810" s="29">
        <f t="shared" si="41"/>
        <v>2411616629.8909063</v>
      </c>
      <c r="C810" s="39">
        <f t="shared" si="42"/>
        <v>2868250000</v>
      </c>
      <c r="D810" s="76">
        <f t="shared" si="43"/>
        <v>456633370.10909367</v>
      </c>
    </row>
    <row r="811" spans="1:4" x14ac:dyDescent="0.3">
      <c r="A811">
        <v>373000</v>
      </c>
      <c r="B811" s="29">
        <f t="shared" si="41"/>
        <v>2414811137.5815663</v>
      </c>
      <c r="C811" s="39">
        <f t="shared" si="42"/>
        <v>2872100000</v>
      </c>
      <c r="D811" s="76">
        <f t="shared" si="43"/>
        <v>457288862.41843367</v>
      </c>
    </row>
    <row r="812" spans="1:4" x14ac:dyDescent="0.3">
      <c r="A812">
        <v>373500</v>
      </c>
      <c r="B812" s="29">
        <f t="shared" si="41"/>
        <v>2418005645.2722263</v>
      </c>
      <c r="C812" s="39">
        <f t="shared" si="42"/>
        <v>2875950000</v>
      </c>
      <c r="D812" s="76">
        <f t="shared" si="43"/>
        <v>457944354.72777367</v>
      </c>
    </row>
    <row r="813" spans="1:4" x14ac:dyDescent="0.3">
      <c r="A813">
        <v>374000</v>
      </c>
      <c r="B813" s="29">
        <f t="shared" si="41"/>
        <v>2421200152.9628863</v>
      </c>
      <c r="C813" s="39">
        <f t="shared" si="42"/>
        <v>2879800000</v>
      </c>
      <c r="D813" s="76">
        <f t="shared" si="43"/>
        <v>458599847.03711367</v>
      </c>
    </row>
    <row r="814" spans="1:4" x14ac:dyDescent="0.3">
      <c r="A814">
        <v>374500</v>
      </c>
      <c r="B814" s="29">
        <f t="shared" si="41"/>
        <v>2424394660.6535463</v>
      </c>
      <c r="C814" s="39">
        <f t="shared" si="42"/>
        <v>2883650000</v>
      </c>
      <c r="D814" s="76">
        <f t="shared" si="43"/>
        <v>459255339.34645367</v>
      </c>
    </row>
    <row r="815" spans="1:4" x14ac:dyDescent="0.3">
      <c r="A815">
        <v>375000</v>
      </c>
      <c r="B815" s="29">
        <f t="shared" si="41"/>
        <v>2427589168.3442063</v>
      </c>
      <c r="C815" s="39">
        <f t="shared" si="42"/>
        <v>2887500000</v>
      </c>
      <c r="D815" s="76">
        <f t="shared" si="43"/>
        <v>459910831.65579367</v>
      </c>
    </row>
    <row r="816" spans="1:4" x14ac:dyDescent="0.3">
      <c r="A816">
        <v>375500</v>
      </c>
      <c r="B816" s="29">
        <f t="shared" si="41"/>
        <v>2430783676.0348663</v>
      </c>
      <c r="C816" s="39">
        <f t="shared" si="42"/>
        <v>2891350000</v>
      </c>
      <c r="D816" s="76">
        <f t="shared" si="43"/>
        <v>460566323.96513367</v>
      </c>
    </row>
    <row r="817" spans="1:4" x14ac:dyDescent="0.3">
      <c r="A817">
        <v>376000</v>
      </c>
      <c r="B817" s="29">
        <f t="shared" si="41"/>
        <v>2433978183.7255263</v>
      </c>
      <c r="C817" s="39">
        <f t="shared" si="42"/>
        <v>2895200000</v>
      </c>
      <c r="D817" s="76">
        <f t="shared" si="43"/>
        <v>461221816.27447367</v>
      </c>
    </row>
    <row r="818" spans="1:4" x14ac:dyDescent="0.3">
      <c r="A818">
        <v>376500</v>
      </c>
      <c r="B818" s="29">
        <f t="shared" si="41"/>
        <v>2437172691.4161863</v>
      </c>
      <c r="C818" s="39">
        <f t="shared" si="42"/>
        <v>2899050000</v>
      </c>
      <c r="D818" s="76">
        <f t="shared" si="43"/>
        <v>461877308.58381367</v>
      </c>
    </row>
    <row r="819" spans="1:4" x14ac:dyDescent="0.3">
      <c r="A819">
        <v>377000</v>
      </c>
      <c r="B819" s="29">
        <f t="shared" si="41"/>
        <v>2440367199.1068463</v>
      </c>
      <c r="C819" s="39">
        <f t="shared" si="42"/>
        <v>2902900000</v>
      </c>
      <c r="D819" s="76">
        <f t="shared" si="43"/>
        <v>462532800.89315367</v>
      </c>
    </row>
    <row r="820" spans="1:4" x14ac:dyDescent="0.3">
      <c r="A820">
        <v>377500</v>
      </c>
      <c r="B820" s="29">
        <f t="shared" si="41"/>
        <v>2443561706.7975063</v>
      </c>
      <c r="C820" s="39">
        <f t="shared" si="42"/>
        <v>2906750000</v>
      </c>
      <c r="D820" s="76">
        <f t="shared" si="43"/>
        <v>463188293.20249367</v>
      </c>
    </row>
    <row r="821" spans="1:4" x14ac:dyDescent="0.3">
      <c r="A821">
        <v>378000</v>
      </c>
      <c r="B821" s="29">
        <f t="shared" si="41"/>
        <v>2446756214.4881663</v>
      </c>
      <c r="C821" s="39">
        <f t="shared" si="42"/>
        <v>2910600000</v>
      </c>
      <c r="D821" s="76">
        <f t="shared" si="43"/>
        <v>463843785.51183367</v>
      </c>
    </row>
    <row r="822" spans="1:4" x14ac:dyDescent="0.3">
      <c r="A822">
        <v>378500</v>
      </c>
      <c r="B822" s="29">
        <f t="shared" si="41"/>
        <v>2449950722.1788263</v>
      </c>
      <c r="C822" s="39">
        <f t="shared" si="42"/>
        <v>2914450000</v>
      </c>
      <c r="D822" s="76">
        <f t="shared" si="43"/>
        <v>464499277.82117367</v>
      </c>
    </row>
    <row r="823" spans="1:4" x14ac:dyDescent="0.3">
      <c r="A823">
        <v>379000</v>
      </c>
      <c r="B823" s="29">
        <f t="shared" si="41"/>
        <v>2453145229.8694863</v>
      </c>
      <c r="C823" s="39">
        <f t="shared" si="42"/>
        <v>2918300000</v>
      </c>
      <c r="D823" s="76">
        <f t="shared" si="43"/>
        <v>465154770.13051367</v>
      </c>
    </row>
    <row r="824" spans="1:4" x14ac:dyDescent="0.3">
      <c r="A824">
        <v>379500</v>
      </c>
      <c r="B824" s="29">
        <f t="shared" si="41"/>
        <v>2456339737.5601463</v>
      </c>
      <c r="C824" s="39">
        <f t="shared" si="42"/>
        <v>2922150000</v>
      </c>
      <c r="D824" s="76">
        <f t="shared" si="43"/>
        <v>465810262.43985367</v>
      </c>
    </row>
    <row r="825" spans="1:4" x14ac:dyDescent="0.3">
      <c r="A825">
        <v>380000</v>
      </c>
      <c r="B825" s="29">
        <f t="shared" si="41"/>
        <v>2459534245.2508063</v>
      </c>
      <c r="C825" s="39">
        <f t="shared" si="42"/>
        <v>2926000000</v>
      </c>
      <c r="D825" s="76">
        <f t="shared" si="43"/>
        <v>466465754.74919367</v>
      </c>
    </row>
    <row r="826" spans="1:4" x14ac:dyDescent="0.3">
      <c r="A826">
        <v>380500</v>
      </c>
      <c r="B826" s="29">
        <f t="shared" si="41"/>
        <v>2462728752.9414663</v>
      </c>
      <c r="C826" s="39">
        <f t="shared" si="42"/>
        <v>2929850000</v>
      </c>
      <c r="D826" s="76">
        <f t="shared" si="43"/>
        <v>467121247.05853367</v>
      </c>
    </row>
    <row r="827" spans="1:4" x14ac:dyDescent="0.3">
      <c r="A827">
        <v>381000</v>
      </c>
      <c r="B827" s="29">
        <f t="shared" si="41"/>
        <v>2465923260.6321263</v>
      </c>
      <c r="C827" s="39">
        <f t="shared" si="42"/>
        <v>2933700000</v>
      </c>
      <c r="D827" s="76">
        <f t="shared" si="43"/>
        <v>467776739.36787367</v>
      </c>
    </row>
    <row r="828" spans="1:4" x14ac:dyDescent="0.3">
      <c r="A828">
        <v>381500</v>
      </c>
      <c r="B828" s="29">
        <f t="shared" si="41"/>
        <v>2469117768.3227863</v>
      </c>
      <c r="C828" s="39">
        <f t="shared" si="42"/>
        <v>2937550000</v>
      </c>
      <c r="D828" s="76">
        <f t="shared" si="43"/>
        <v>468432231.67721367</v>
      </c>
    </row>
    <row r="829" spans="1:4" x14ac:dyDescent="0.3">
      <c r="A829">
        <v>382000</v>
      </c>
      <c r="B829" s="29">
        <f t="shared" si="41"/>
        <v>2472312276.0134463</v>
      </c>
      <c r="C829" s="39">
        <f t="shared" si="42"/>
        <v>2941400000</v>
      </c>
      <c r="D829" s="76">
        <f t="shared" si="43"/>
        <v>469087723.98655367</v>
      </c>
    </row>
    <row r="830" spans="1:4" x14ac:dyDescent="0.3">
      <c r="A830">
        <v>382500</v>
      </c>
      <c r="B830" s="29">
        <f t="shared" si="41"/>
        <v>2475506783.7041063</v>
      </c>
      <c r="C830" s="39">
        <f t="shared" si="42"/>
        <v>2945250000</v>
      </c>
      <c r="D830" s="76">
        <f t="shared" si="43"/>
        <v>469743216.29589367</v>
      </c>
    </row>
    <row r="831" spans="1:4" x14ac:dyDescent="0.3">
      <c r="A831">
        <v>383000</v>
      </c>
      <c r="B831" s="29">
        <f t="shared" si="41"/>
        <v>2478701291.3947663</v>
      </c>
      <c r="C831" s="39">
        <f t="shared" si="42"/>
        <v>2949100000</v>
      </c>
      <c r="D831" s="76">
        <f t="shared" si="43"/>
        <v>470398708.60523367</v>
      </c>
    </row>
    <row r="832" spans="1:4" x14ac:dyDescent="0.3">
      <c r="A832">
        <v>383500</v>
      </c>
      <c r="B832" s="29">
        <f t="shared" si="41"/>
        <v>2481895799.0854263</v>
      </c>
      <c r="C832" s="39">
        <f t="shared" si="42"/>
        <v>2952950000</v>
      </c>
      <c r="D832" s="76">
        <f t="shared" si="43"/>
        <v>471054200.91457367</v>
      </c>
    </row>
    <row r="833" spans="1:4" x14ac:dyDescent="0.3">
      <c r="A833">
        <v>384000</v>
      </c>
      <c r="B833" s="29">
        <f t="shared" si="41"/>
        <v>2485090306.7760863</v>
      </c>
      <c r="C833" s="39">
        <f t="shared" si="42"/>
        <v>2956800000</v>
      </c>
      <c r="D833" s="76">
        <f t="shared" si="43"/>
        <v>471709693.22391367</v>
      </c>
    </row>
    <row r="834" spans="1:4" x14ac:dyDescent="0.3">
      <c r="A834">
        <v>384500</v>
      </c>
      <c r="B834" s="29">
        <f t="shared" ref="B834:B897" si="44">$B$54+($B$60*A834)</f>
        <v>2488284814.4667463</v>
      </c>
      <c r="C834" s="39">
        <f t="shared" ref="C834:C897" si="45">$E$50*A834</f>
        <v>2960650000</v>
      </c>
      <c r="D834" s="76">
        <f t="shared" ref="D834:D897" si="46">C834-B834</f>
        <v>472365185.53325367</v>
      </c>
    </row>
    <row r="835" spans="1:4" x14ac:dyDescent="0.3">
      <c r="A835">
        <v>385000</v>
      </c>
      <c r="B835" s="29">
        <f t="shared" si="44"/>
        <v>2491479322.1574063</v>
      </c>
      <c r="C835" s="39">
        <f t="shared" si="45"/>
        <v>2964500000</v>
      </c>
      <c r="D835" s="76">
        <f t="shared" si="46"/>
        <v>473020677.84259367</v>
      </c>
    </row>
    <row r="836" spans="1:4" x14ac:dyDescent="0.3">
      <c r="A836">
        <v>385500</v>
      </c>
      <c r="B836" s="29">
        <f t="shared" si="44"/>
        <v>2494673829.8480663</v>
      </c>
      <c r="C836" s="39">
        <f t="shared" si="45"/>
        <v>2968350000</v>
      </c>
      <c r="D836" s="76">
        <f t="shared" si="46"/>
        <v>473676170.15193367</v>
      </c>
    </row>
    <row r="837" spans="1:4" x14ac:dyDescent="0.3">
      <c r="A837">
        <v>386000</v>
      </c>
      <c r="B837" s="29">
        <f t="shared" si="44"/>
        <v>2497868337.5387263</v>
      </c>
      <c r="C837" s="39">
        <f t="shared" si="45"/>
        <v>2972200000</v>
      </c>
      <c r="D837" s="76">
        <f t="shared" si="46"/>
        <v>474331662.46127367</v>
      </c>
    </row>
    <row r="838" spans="1:4" x14ac:dyDescent="0.3">
      <c r="A838">
        <v>386500</v>
      </c>
      <c r="B838" s="29">
        <f t="shared" si="44"/>
        <v>2501062845.2293863</v>
      </c>
      <c r="C838" s="39">
        <f t="shared" si="45"/>
        <v>2976050000</v>
      </c>
      <c r="D838" s="76">
        <f t="shared" si="46"/>
        <v>474987154.77061367</v>
      </c>
    </row>
    <row r="839" spans="1:4" x14ac:dyDescent="0.3">
      <c r="A839">
        <v>387000</v>
      </c>
      <c r="B839" s="29">
        <f t="shared" si="44"/>
        <v>2504257352.9200463</v>
      </c>
      <c r="C839" s="39">
        <f t="shared" si="45"/>
        <v>2979900000</v>
      </c>
      <c r="D839" s="76">
        <f t="shared" si="46"/>
        <v>475642647.07995367</v>
      </c>
    </row>
    <row r="840" spans="1:4" x14ac:dyDescent="0.3">
      <c r="A840">
        <v>387500</v>
      </c>
      <c r="B840" s="29">
        <f t="shared" si="44"/>
        <v>2507451860.6107063</v>
      </c>
      <c r="C840" s="39">
        <f t="shared" si="45"/>
        <v>2983750000</v>
      </c>
      <c r="D840" s="76">
        <f t="shared" si="46"/>
        <v>476298139.38929367</v>
      </c>
    </row>
    <row r="841" spans="1:4" x14ac:dyDescent="0.3">
      <c r="A841">
        <v>388000</v>
      </c>
      <c r="B841" s="29">
        <f t="shared" si="44"/>
        <v>2510646368.3013663</v>
      </c>
      <c r="C841" s="39">
        <f t="shared" si="45"/>
        <v>2987600000</v>
      </c>
      <c r="D841" s="76">
        <f t="shared" si="46"/>
        <v>476953631.69863367</v>
      </c>
    </row>
    <row r="842" spans="1:4" x14ac:dyDescent="0.3">
      <c r="A842">
        <v>388500</v>
      </c>
      <c r="B842" s="29">
        <f t="shared" si="44"/>
        <v>2513840875.9920263</v>
      </c>
      <c r="C842" s="39">
        <f t="shared" si="45"/>
        <v>2991450000</v>
      </c>
      <c r="D842" s="76">
        <f t="shared" si="46"/>
        <v>477609124.00797367</v>
      </c>
    </row>
    <row r="843" spans="1:4" x14ac:dyDescent="0.3">
      <c r="A843">
        <v>389000</v>
      </c>
      <c r="B843" s="29">
        <f t="shared" si="44"/>
        <v>2517035383.6826863</v>
      </c>
      <c r="C843" s="39">
        <f t="shared" si="45"/>
        <v>2995300000</v>
      </c>
      <c r="D843" s="76">
        <f t="shared" si="46"/>
        <v>478264616.31731367</v>
      </c>
    </row>
    <row r="844" spans="1:4" x14ac:dyDescent="0.3">
      <c r="A844">
        <v>389500</v>
      </c>
      <c r="B844" s="29">
        <f t="shared" si="44"/>
        <v>2520229891.3733463</v>
      </c>
      <c r="C844" s="39">
        <f t="shared" si="45"/>
        <v>2999150000</v>
      </c>
      <c r="D844" s="76">
        <f t="shared" si="46"/>
        <v>478920108.62665367</v>
      </c>
    </row>
    <row r="845" spans="1:4" x14ac:dyDescent="0.3">
      <c r="A845">
        <v>390000</v>
      </c>
      <c r="B845" s="29">
        <f t="shared" si="44"/>
        <v>2523424399.0640063</v>
      </c>
      <c r="C845" s="39">
        <f t="shared" si="45"/>
        <v>3003000000</v>
      </c>
      <c r="D845" s="76">
        <f t="shared" si="46"/>
        <v>479575600.93599367</v>
      </c>
    </row>
    <row r="846" spans="1:4" x14ac:dyDescent="0.3">
      <c r="A846">
        <v>390500</v>
      </c>
      <c r="B846" s="29">
        <f t="shared" si="44"/>
        <v>2526618906.7546663</v>
      </c>
      <c r="C846" s="39">
        <f t="shared" si="45"/>
        <v>3006850000</v>
      </c>
      <c r="D846" s="76">
        <f t="shared" si="46"/>
        <v>480231093.24533367</v>
      </c>
    </row>
    <row r="847" spans="1:4" x14ac:dyDescent="0.3">
      <c r="A847">
        <v>391000</v>
      </c>
      <c r="B847" s="29">
        <f t="shared" si="44"/>
        <v>2529813414.4453263</v>
      </c>
      <c r="C847" s="39">
        <f t="shared" si="45"/>
        <v>3010700000</v>
      </c>
      <c r="D847" s="76">
        <f t="shared" si="46"/>
        <v>480886585.55467367</v>
      </c>
    </row>
    <row r="848" spans="1:4" x14ac:dyDescent="0.3">
      <c r="A848">
        <v>391500</v>
      </c>
      <c r="B848" s="29">
        <f t="shared" si="44"/>
        <v>2533007922.1359863</v>
      </c>
      <c r="C848" s="39">
        <f t="shared" si="45"/>
        <v>3014550000</v>
      </c>
      <c r="D848" s="76">
        <f t="shared" si="46"/>
        <v>481542077.86401367</v>
      </c>
    </row>
    <row r="849" spans="1:4" x14ac:dyDescent="0.3">
      <c r="A849">
        <v>392000</v>
      </c>
      <c r="B849" s="29">
        <f t="shared" si="44"/>
        <v>2536202429.8266463</v>
      </c>
      <c r="C849" s="39">
        <f t="shared" si="45"/>
        <v>3018400000</v>
      </c>
      <c r="D849" s="76">
        <f t="shared" si="46"/>
        <v>482197570.17335367</v>
      </c>
    </row>
    <row r="850" spans="1:4" x14ac:dyDescent="0.3">
      <c r="A850">
        <v>392500</v>
      </c>
      <c r="B850" s="29">
        <f t="shared" si="44"/>
        <v>2539396937.5173063</v>
      </c>
      <c r="C850" s="39">
        <f t="shared" si="45"/>
        <v>3022250000</v>
      </c>
      <c r="D850" s="76">
        <f t="shared" si="46"/>
        <v>482853062.48269367</v>
      </c>
    </row>
    <row r="851" spans="1:4" x14ac:dyDescent="0.3">
      <c r="A851">
        <v>393000</v>
      </c>
      <c r="B851" s="29">
        <f t="shared" si="44"/>
        <v>2542591445.2079663</v>
      </c>
      <c r="C851" s="39">
        <f t="shared" si="45"/>
        <v>3026100000</v>
      </c>
      <c r="D851" s="76">
        <f t="shared" si="46"/>
        <v>483508554.79203367</v>
      </c>
    </row>
    <row r="852" spans="1:4" x14ac:dyDescent="0.3">
      <c r="A852">
        <v>393500</v>
      </c>
      <c r="B852" s="29">
        <f t="shared" si="44"/>
        <v>2545785952.8986263</v>
      </c>
      <c r="C852" s="39">
        <f t="shared" si="45"/>
        <v>3029950000</v>
      </c>
      <c r="D852" s="76">
        <f t="shared" si="46"/>
        <v>484164047.10137367</v>
      </c>
    </row>
    <row r="853" spans="1:4" x14ac:dyDescent="0.3">
      <c r="A853">
        <v>394000</v>
      </c>
      <c r="B853" s="29">
        <f t="shared" si="44"/>
        <v>2548980460.5892863</v>
      </c>
      <c r="C853" s="39">
        <f t="shared" si="45"/>
        <v>3033800000</v>
      </c>
      <c r="D853" s="76">
        <f t="shared" si="46"/>
        <v>484819539.41071367</v>
      </c>
    </row>
    <row r="854" spans="1:4" x14ac:dyDescent="0.3">
      <c r="A854">
        <v>394500</v>
      </c>
      <c r="B854" s="29">
        <f t="shared" si="44"/>
        <v>2552174968.2799463</v>
      </c>
      <c r="C854" s="39">
        <f t="shared" si="45"/>
        <v>3037650000</v>
      </c>
      <c r="D854" s="76">
        <f t="shared" si="46"/>
        <v>485475031.72005367</v>
      </c>
    </row>
    <row r="855" spans="1:4" x14ac:dyDescent="0.3">
      <c r="A855">
        <v>395000</v>
      </c>
      <c r="B855" s="29">
        <f t="shared" si="44"/>
        <v>2555369475.9706063</v>
      </c>
      <c r="C855" s="39">
        <f t="shared" si="45"/>
        <v>3041500000</v>
      </c>
      <c r="D855" s="76">
        <f t="shared" si="46"/>
        <v>486130524.02939367</v>
      </c>
    </row>
    <row r="856" spans="1:4" x14ac:dyDescent="0.3">
      <c r="A856">
        <v>395500</v>
      </c>
      <c r="B856" s="29">
        <f t="shared" si="44"/>
        <v>2558563983.6612663</v>
      </c>
      <c r="C856" s="39">
        <f t="shared" si="45"/>
        <v>3045350000</v>
      </c>
      <c r="D856" s="76">
        <f t="shared" si="46"/>
        <v>486786016.33873367</v>
      </c>
    </row>
    <row r="857" spans="1:4" x14ac:dyDescent="0.3">
      <c r="A857">
        <v>396000</v>
      </c>
      <c r="B857" s="29">
        <f t="shared" si="44"/>
        <v>2561758491.3519263</v>
      </c>
      <c r="C857" s="39">
        <f t="shared" si="45"/>
        <v>3049200000</v>
      </c>
      <c r="D857" s="76">
        <f t="shared" si="46"/>
        <v>487441508.64807367</v>
      </c>
    </row>
    <row r="858" spans="1:4" x14ac:dyDescent="0.3">
      <c r="A858">
        <v>396500</v>
      </c>
      <c r="B858" s="29">
        <f t="shared" si="44"/>
        <v>2564952999.0425863</v>
      </c>
      <c r="C858" s="39">
        <f t="shared" si="45"/>
        <v>3053050000</v>
      </c>
      <c r="D858" s="76">
        <f t="shared" si="46"/>
        <v>488097000.95741367</v>
      </c>
    </row>
    <row r="859" spans="1:4" x14ac:dyDescent="0.3">
      <c r="A859">
        <v>397000</v>
      </c>
      <c r="B859" s="29">
        <f t="shared" si="44"/>
        <v>2568147506.7332463</v>
      </c>
      <c r="C859" s="39">
        <f t="shared" si="45"/>
        <v>3056900000</v>
      </c>
      <c r="D859" s="76">
        <f t="shared" si="46"/>
        <v>488752493.26675367</v>
      </c>
    </row>
    <row r="860" spans="1:4" x14ac:dyDescent="0.3">
      <c r="A860">
        <v>397500</v>
      </c>
      <c r="B860" s="29">
        <f t="shared" si="44"/>
        <v>2571342014.4239063</v>
      </c>
      <c r="C860" s="39">
        <f t="shared" si="45"/>
        <v>3060750000</v>
      </c>
      <c r="D860" s="76">
        <f t="shared" si="46"/>
        <v>489407985.57609367</v>
      </c>
    </row>
    <row r="861" spans="1:4" x14ac:dyDescent="0.3">
      <c r="A861">
        <v>398000</v>
      </c>
      <c r="B861" s="29">
        <f t="shared" si="44"/>
        <v>2574536522.1145663</v>
      </c>
      <c r="C861" s="39">
        <f t="shared" si="45"/>
        <v>3064600000</v>
      </c>
      <c r="D861" s="76">
        <f t="shared" si="46"/>
        <v>490063477.88543367</v>
      </c>
    </row>
    <row r="862" spans="1:4" x14ac:dyDescent="0.3">
      <c r="A862">
        <v>398500</v>
      </c>
      <c r="B862" s="29">
        <f t="shared" si="44"/>
        <v>2577731029.8052263</v>
      </c>
      <c r="C862" s="39">
        <f t="shared" si="45"/>
        <v>3068450000</v>
      </c>
      <c r="D862" s="76">
        <f t="shared" si="46"/>
        <v>490718970.19477367</v>
      </c>
    </row>
    <row r="863" spans="1:4" x14ac:dyDescent="0.3">
      <c r="A863">
        <v>399000</v>
      </c>
      <c r="B863" s="29">
        <f t="shared" si="44"/>
        <v>2580925537.4958863</v>
      </c>
      <c r="C863" s="39">
        <f t="shared" si="45"/>
        <v>3072300000</v>
      </c>
      <c r="D863" s="76">
        <f t="shared" si="46"/>
        <v>491374462.50411367</v>
      </c>
    </row>
    <row r="864" spans="1:4" x14ac:dyDescent="0.3">
      <c r="A864">
        <v>399500</v>
      </c>
      <c r="B864" s="29">
        <f t="shared" si="44"/>
        <v>2584120045.1865463</v>
      </c>
      <c r="C864" s="39">
        <f t="shared" si="45"/>
        <v>3076150000</v>
      </c>
      <c r="D864" s="76">
        <f t="shared" si="46"/>
        <v>492029954.81345367</v>
      </c>
    </row>
    <row r="865" spans="1:4" x14ac:dyDescent="0.3">
      <c r="A865">
        <v>400000</v>
      </c>
      <c r="B865" s="29">
        <f t="shared" si="44"/>
        <v>2587314552.8772063</v>
      </c>
      <c r="C865" s="39">
        <f t="shared" si="45"/>
        <v>3080000000</v>
      </c>
      <c r="D865" s="76">
        <f t="shared" si="46"/>
        <v>492685447.12279367</v>
      </c>
    </row>
    <row r="866" spans="1:4" x14ac:dyDescent="0.3">
      <c r="A866">
        <v>400500</v>
      </c>
      <c r="B866" s="29">
        <f t="shared" si="44"/>
        <v>2590509060.5678663</v>
      </c>
      <c r="C866" s="39">
        <f t="shared" si="45"/>
        <v>3083850000</v>
      </c>
      <c r="D866" s="76">
        <f t="shared" si="46"/>
        <v>493340939.43213367</v>
      </c>
    </row>
    <row r="867" spans="1:4" x14ac:dyDescent="0.3">
      <c r="A867">
        <v>401000</v>
      </c>
      <c r="B867" s="29">
        <f t="shared" si="44"/>
        <v>2593703568.2585263</v>
      </c>
      <c r="C867" s="39">
        <f t="shared" si="45"/>
        <v>3087700000</v>
      </c>
      <c r="D867" s="76">
        <f t="shared" si="46"/>
        <v>493996431.74147367</v>
      </c>
    </row>
    <row r="868" spans="1:4" x14ac:dyDescent="0.3">
      <c r="A868">
        <v>401500</v>
      </c>
      <c r="B868" s="29">
        <f t="shared" si="44"/>
        <v>2596898075.9491863</v>
      </c>
      <c r="C868" s="39">
        <f t="shared" si="45"/>
        <v>3091550000</v>
      </c>
      <c r="D868" s="76">
        <f t="shared" si="46"/>
        <v>494651924.05081367</v>
      </c>
    </row>
    <row r="869" spans="1:4" x14ac:dyDescent="0.3">
      <c r="A869">
        <v>402000</v>
      </c>
      <c r="B869" s="29">
        <f t="shared" si="44"/>
        <v>2600092583.6398463</v>
      </c>
      <c r="C869" s="39">
        <f t="shared" si="45"/>
        <v>3095400000</v>
      </c>
      <c r="D869" s="76">
        <f t="shared" si="46"/>
        <v>495307416.36015368</v>
      </c>
    </row>
    <row r="870" spans="1:4" x14ac:dyDescent="0.3">
      <c r="A870">
        <v>402500</v>
      </c>
      <c r="B870" s="29">
        <f t="shared" si="44"/>
        <v>2603287091.3305063</v>
      </c>
      <c r="C870" s="39">
        <f t="shared" si="45"/>
        <v>3099250000</v>
      </c>
      <c r="D870" s="76">
        <f t="shared" si="46"/>
        <v>495962908.66949368</v>
      </c>
    </row>
    <row r="871" spans="1:4" x14ac:dyDescent="0.3">
      <c r="A871">
        <v>403000</v>
      </c>
      <c r="B871" s="29">
        <f t="shared" si="44"/>
        <v>2606481599.0211663</v>
      </c>
      <c r="C871" s="39">
        <f t="shared" si="45"/>
        <v>3103100000</v>
      </c>
      <c r="D871" s="76">
        <f t="shared" si="46"/>
        <v>496618400.97883368</v>
      </c>
    </row>
    <row r="872" spans="1:4" x14ac:dyDescent="0.3">
      <c r="A872">
        <v>403500</v>
      </c>
      <c r="B872" s="29">
        <f t="shared" si="44"/>
        <v>2609676106.7118263</v>
      </c>
      <c r="C872" s="39">
        <f t="shared" si="45"/>
        <v>3106950000</v>
      </c>
      <c r="D872" s="76">
        <f t="shared" si="46"/>
        <v>497273893.28817368</v>
      </c>
    </row>
    <row r="873" spans="1:4" x14ac:dyDescent="0.3">
      <c r="A873">
        <v>404000</v>
      </c>
      <c r="B873" s="29">
        <f t="shared" si="44"/>
        <v>2612870614.4024863</v>
      </c>
      <c r="C873" s="39">
        <f t="shared" si="45"/>
        <v>3110800000</v>
      </c>
      <c r="D873" s="76">
        <f t="shared" si="46"/>
        <v>497929385.59751368</v>
      </c>
    </row>
    <row r="874" spans="1:4" x14ac:dyDescent="0.3">
      <c r="A874">
        <v>404500</v>
      </c>
      <c r="B874" s="29">
        <f t="shared" si="44"/>
        <v>2616065122.0931463</v>
      </c>
      <c r="C874" s="39">
        <f t="shared" si="45"/>
        <v>3114650000</v>
      </c>
      <c r="D874" s="76">
        <f t="shared" si="46"/>
        <v>498584877.90685368</v>
      </c>
    </row>
    <row r="875" spans="1:4" x14ac:dyDescent="0.3">
      <c r="A875">
        <v>405000</v>
      </c>
      <c r="B875" s="29">
        <f t="shared" si="44"/>
        <v>2619259629.7838063</v>
      </c>
      <c r="C875" s="39">
        <f t="shared" si="45"/>
        <v>3118500000</v>
      </c>
      <c r="D875" s="76">
        <f t="shared" si="46"/>
        <v>499240370.21619368</v>
      </c>
    </row>
    <row r="876" spans="1:4" x14ac:dyDescent="0.3">
      <c r="A876">
        <v>405500</v>
      </c>
      <c r="B876" s="29">
        <f t="shared" si="44"/>
        <v>2622454137.4744663</v>
      </c>
      <c r="C876" s="39">
        <f t="shared" si="45"/>
        <v>3122350000</v>
      </c>
      <c r="D876" s="76">
        <f t="shared" si="46"/>
        <v>499895862.52553368</v>
      </c>
    </row>
    <row r="877" spans="1:4" x14ac:dyDescent="0.3">
      <c r="A877">
        <v>406000</v>
      </c>
      <c r="B877" s="29">
        <f t="shared" si="44"/>
        <v>2625648645.1651263</v>
      </c>
      <c r="C877" s="39">
        <f t="shared" si="45"/>
        <v>3126200000</v>
      </c>
      <c r="D877" s="76">
        <f t="shared" si="46"/>
        <v>500551354.83487368</v>
      </c>
    </row>
    <row r="878" spans="1:4" x14ac:dyDescent="0.3">
      <c r="A878">
        <v>406500</v>
      </c>
      <c r="B878" s="29">
        <f t="shared" si="44"/>
        <v>2628843152.8557863</v>
      </c>
      <c r="C878" s="39">
        <f t="shared" si="45"/>
        <v>3130050000</v>
      </c>
      <c r="D878" s="76">
        <f t="shared" si="46"/>
        <v>501206847.14421368</v>
      </c>
    </row>
    <row r="879" spans="1:4" x14ac:dyDescent="0.3">
      <c r="A879">
        <v>407000</v>
      </c>
      <c r="B879" s="29">
        <f t="shared" si="44"/>
        <v>2632037660.5464463</v>
      </c>
      <c r="C879" s="39">
        <f t="shared" si="45"/>
        <v>3133900000</v>
      </c>
      <c r="D879" s="76">
        <f t="shared" si="46"/>
        <v>501862339.45355368</v>
      </c>
    </row>
    <row r="880" spans="1:4" x14ac:dyDescent="0.3">
      <c r="A880">
        <v>407500</v>
      </c>
      <c r="B880" s="29">
        <f t="shared" si="44"/>
        <v>2635232168.2371063</v>
      </c>
      <c r="C880" s="39">
        <f t="shared" si="45"/>
        <v>3137750000</v>
      </c>
      <c r="D880" s="76">
        <f t="shared" si="46"/>
        <v>502517831.76289368</v>
      </c>
    </row>
    <row r="881" spans="1:4" x14ac:dyDescent="0.3">
      <c r="A881">
        <v>408000</v>
      </c>
      <c r="B881" s="29">
        <f t="shared" si="44"/>
        <v>2638426675.9277663</v>
      </c>
      <c r="C881" s="39">
        <f t="shared" si="45"/>
        <v>3141600000</v>
      </c>
      <c r="D881" s="76">
        <f t="shared" si="46"/>
        <v>503173324.07223368</v>
      </c>
    </row>
    <row r="882" spans="1:4" x14ac:dyDescent="0.3">
      <c r="A882">
        <v>408500</v>
      </c>
      <c r="B882" s="29">
        <f t="shared" si="44"/>
        <v>2641621183.6184263</v>
      </c>
      <c r="C882" s="39">
        <f t="shared" si="45"/>
        <v>3145450000</v>
      </c>
      <c r="D882" s="76">
        <f t="shared" si="46"/>
        <v>503828816.38157368</v>
      </c>
    </row>
    <row r="883" spans="1:4" x14ac:dyDescent="0.3">
      <c r="A883">
        <v>409000</v>
      </c>
      <c r="B883" s="29">
        <f t="shared" si="44"/>
        <v>2644815691.3090863</v>
      </c>
      <c r="C883" s="39">
        <f t="shared" si="45"/>
        <v>3149300000</v>
      </c>
      <c r="D883" s="76">
        <f t="shared" si="46"/>
        <v>504484308.69091368</v>
      </c>
    </row>
    <row r="884" spans="1:4" x14ac:dyDescent="0.3">
      <c r="A884">
        <v>409500</v>
      </c>
      <c r="B884" s="29">
        <f t="shared" si="44"/>
        <v>2648010198.9997463</v>
      </c>
      <c r="C884" s="39">
        <f t="shared" si="45"/>
        <v>3153150000</v>
      </c>
      <c r="D884" s="76">
        <f t="shared" si="46"/>
        <v>505139801.00025368</v>
      </c>
    </row>
    <row r="885" spans="1:4" x14ac:dyDescent="0.3">
      <c r="A885">
        <v>410000</v>
      </c>
      <c r="B885" s="29">
        <f t="shared" si="44"/>
        <v>2651204706.6904063</v>
      </c>
      <c r="C885" s="39">
        <f t="shared" si="45"/>
        <v>3157000000</v>
      </c>
      <c r="D885" s="76">
        <f t="shared" si="46"/>
        <v>505795293.30959368</v>
      </c>
    </row>
    <row r="886" spans="1:4" x14ac:dyDescent="0.3">
      <c r="A886">
        <v>410500</v>
      </c>
      <c r="B886" s="29">
        <f t="shared" si="44"/>
        <v>2654399214.3810663</v>
      </c>
      <c r="C886" s="39">
        <f t="shared" si="45"/>
        <v>3160850000</v>
      </c>
      <c r="D886" s="76">
        <f t="shared" si="46"/>
        <v>506450785.61893368</v>
      </c>
    </row>
    <row r="887" spans="1:4" x14ac:dyDescent="0.3">
      <c r="A887">
        <v>411000</v>
      </c>
      <c r="B887" s="29">
        <f t="shared" si="44"/>
        <v>2657593722.0717263</v>
      </c>
      <c r="C887" s="39">
        <f t="shared" si="45"/>
        <v>3164700000</v>
      </c>
      <c r="D887" s="76">
        <f t="shared" si="46"/>
        <v>507106277.92827368</v>
      </c>
    </row>
    <row r="888" spans="1:4" x14ac:dyDescent="0.3">
      <c r="A888">
        <v>411500</v>
      </c>
      <c r="B888" s="29">
        <f t="shared" si="44"/>
        <v>2660788229.7623863</v>
      </c>
      <c r="C888" s="39">
        <f t="shared" si="45"/>
        <v>3168550000</v>
      </c>
      <c r="D888" s="76">
        <f t="shared" si="46"/>
        <v>507761770.23761368</v>
      </c>
    </row>
    <row r="889" spans="1:4" x14ac:dyDescent="0.3">
      <c r="A889">
        <v>412000</v>
      </c>
      <c r="B889" s="29">
        <f t="shared" si="44"/>
        <v>2663982737.4530463</v>
      </c>
      <c r="C889" s="39">
        <f t="shared" si="45"/>
        <v>3172400000</v>
      </c>
      <c r="D889" s="76">
        <f t="shared" si="46"/>
        <v>508417262.54695368</v>
      </c>
    </row>
    <row r="890" spans="1:4" x14ac:dyDescent="0.3">
      <c r="A890">
        <v>412500</v>
      </c>
      <c r="B890" s="29">
        <f t="shared" si="44"/>
        <v>2667177245.1437063</v>
      </c>
      <c r="C890" s="39">
        <f t="shared" si="45"/>
        <v>3176250000</v>
      </c>
      <c r="D890" s="76">
        <f t="shared" si="46"/>
        <v>509072754.85629368</v>
      </c>
    </row>
    <row r="891" spans="1:4" x14ac:dyDescent="0.3">
      <c r="A891">
        <v>413000</v>
      </c>
      <c r="B891" s="29">
        <f t="shared" si="44"/>
        <v>2670371752.8343663</v>
      </c>
      <c r="C891" s="39">
        <f t="shared" si="45"/>
        <v>3180100000</v>
      </c>
      <c r="D891" s="76">
        <f t="shared" si="46"/>
        <v>509728247.16563368</v>
      </c>
    </row>
    <row r="892" spans="1:4" x14ac:dyDescent="0.3">
      <c r="A892">
        <v>413500</v>
      </c>
      <c r="B892" s="29">
        <f t="shared" si="44"/>
        <v>2673566260.5250263</v>
      </c>
      <c r="C892" s="39">
        <f t="shared" si="45"/>
        <v>3183950000</v>
      </c>
      <c r="D892" s="76">
        <f t="shared" si="46"/>
        <v>510383739.47497368</v>
      </c>
    </row>
    <row r="893" spans="1:4" x14ac:dyDescent="0.3">
      <c r="A893">
        <v>414000</v>
      </c>
      <c r="B893" s="29">
        <f t="shared" si="44"/>
        <v>2676760768.2156863</v>
      </c>
      <c r="C893" s="39">
        <f t="shared" si="45"/>
        <v>3187800000</v>
      </c>
      <c r="D893" s="76">
        <f t="shared" si="46"/>
        <v>511039231.78431368</v>
      </c>
    </row>
    <row r="894" spans="1:4" x14ac:dyDescent="0.3">
      <c r="A894">
        <v>414500</v>
      </c>
      <c r="B894" s="29">
        <f t="shared" si="44"/>
        <v>2679955275.9063463</v>
      </c>
      <c r="C894" s="39">
        <f t="shared" si="45"/>
        <v>3191650000</v>
      </c>
      <c r="D894" s="76">
        <f t="shared" si="46"/>
        <v>511694724.09365368</v>
      </c>
    </row>
    <row r="895" spans="1:4" x14ac:dyDescent="0.3">
      <c r="A895">
        <v>415000</v>
      </c>
      <c r="B895" s="29">
        <f t="shared" si="44"/>
        <v>2683149783.5970063</v>
      </c>
      <c r="C895" s="39">
        <f t="shared" si="45"/>
        <v>3195500000</v>
      </c>
      <c r="D895" s="76">
        <f t="shared" si="46"/>
        <v>512350216.40299368</v>
      </c>
    </row>
    <row r="896" spans="1:4" x14ac:dyDescent="0.3">
      <c r="A896">
        <v>415500</v>
      </c>
      <c r="B896" s="29">
        <f t="shared" si="44"/>
        <v>2686344291.2876663</v>
      </c>
      <c r="C896" s="39">
        <f t="shared" si="45"/>
        <v>3199350000</v>
      </c>
      <c r="D896" s="76">
        <f t="shared" si="46"/>
        <v>513005708.71233368</v>
      </c>
    </row>
    <row r="897" spans="1:4" x14ac:dyDescent="0.3">
      <c r="A897">
        <v>416000</v>
      </c>
      <c r="B897" s="29">
        <f t="shared" si="44"/>
        <v>2689538798.9783263</v>
      </c>
      <c r="C897" s="39">
        <f t="shared" si="45"/>
        <v>3203200000</v>
      </c>
      <c r="D897" s="76">
        <f t="shared" si="46"/>
        <v>513661201.02167368</v>
      </c>
    </row>
    <row r="898" spans="1:4" x14ac:dyDescent="0.3">
      <c r="A898">
        <v>416500</v>
      </c>
      <c r="B898" s="29">
        <f t="shared" ref="B898:B961" si="47">$B$54+($B$60*A898)</f>
        <v>2692733306.6689863</v>
      </c>
      <c r="C898" s="39">
        <f t="shared" ref="C898:C961" si="48">$E$50*A898</f>
        <v>3207050000</v>
      </c>
      <c r="D898" s="76">
        <f t="shared" ref="D898:D961" si="49">C898-B898</f>
        <v>514316693.33101368</v>
      </c>
    </row>
    <row r="899" spans="1:4" x14ac:dyDescent="0.3">
      <c r="A899">
        <v>417000</v>
      </c>
      <c r="B899" s="29">
        <f t="shared" si="47"/>
        <v>2695927814.3596463</v>
      </c>
      <c r="C899" s="39">
        <f t="shared" si="48"/>
        <v>3210900000</v>
      </c>
      <c r="D899" s="76">
        <f t="shared" si="49"/>
        <v>514972185.64035368</v>
      </c>
    </row>
    <row r="900" spans="1:4" x14ac:dyDescent="0.3">
      <c r="A900">
        <v>417500</v>
      </c>
      <c r="B900" s="29">
        <f t="shared" si="47"/>
        <v>2699122322.0503063</v>
      </c>
      <c r="C900" s="39">
        <f t="shared" si="48"/>
        <v>3214750000</v>
      </c>
      <c r="D900" s="76">
        <f t="shared" si="49"/>
        <v>515627677.94969368</v>
      </c>
    </row>
    <row r="901" spans="1:4" x14ac:dyDescent="0.3">
      <c r="A901">
        <v>418000</v>
      </c>
      <c r="B901" s="29">
        <f t="shared" si="47"/>
        <v>2702316829.7409663</v>
      </c>
      <c r="C901" s="39">
        <f t="shared" si="48"/>
        <v>3218600000</v>
      </c>
      <c r="D901" s="76">
        <f t="shared" si="49"/>
        <v>516283170.25903368</v>
      </c>
    </row>
    <row r="902" spans="1:4" x14ac:dyDescent="0.3">
      <c r="A902">
        <v>418500</v>
      </c>
      <c r="B902" s="29">
        <f t="shared" si="47"/>
        <v>2705511337.4316263</v>
      </c>
      <c r="C902" s="39">
        <f t="shared" si="48"/>
        <v>3222450000</v>
      </c>
      <c r="D902" s="76">
        <f t="shared" si="49"/>
        <v>516938662.56837368</v>
      </c>
    </row>
    <row r="903" spans="1:4" x14ac:dyDescent="0.3">
      <c r="A903">
        <v>419000</v>
      </c>
      <c r="B903" s="29">
        <f t="shared" si="47"/>
        <v>2708705845.1222863</v>
      </c>
      <c r="C903" s="39">
        <f t="shared" si="48"/>
        <v>3226300000</v>
      </c>
      <c r="D903" s="76">
        <f t="shared" si="49"/>
        <v>517594154.87771368</v>
      </c>
    </row>
    <row r="904" spans="1:4" x14ac:dyDescent="0.3">
      <c r="A904">
        <v>419500</v>
      </c>
      <c r="B904" s="29">
        <f t="shared" si="47"/>
        <v>2711900352.8129463</v>
      </c>
      <c r="C904" s="39">
        <f t="shared" si="48"/>
        <v>3230150000</v>
      </c>
      <c r="D904" s="76">
        <f t="shared" si="49"/>
        <v>518249647.18705368</v>
      </c>
    </row>
    <row r="905" spans="1:4" x14ac:dyDescent="0.3">
      <c r="A905">
        <v>420000</v>
      </c>
      <c r="B905" s="29">
        <f t="shared" si="47"/>
        <v>2715094860.5036063</v>
      </c>
      <c r="C905" s="39">
        <f t="shared" si="48"/>
        <v>3234000000</v>
      </c>
      <c r="D905" s="76">
        <f t="shared" si="49"/>
        <v>518905139.49639368</v>
      </c>
    </row>
    <row r="906" spans="1:4" x14ac:dyDescent="0.3">
      <c r="A906">
        <v>420500</v>
      </c>
      <c r="B906" s="29">
        <f t="shared" si="47"/>
        <v>2718289368.1942663</v>
      </c>
      <c r="C906" s="39">
        <f t="shared" si="48"/>
        <v>3237850000</v>
      </c>
      <c r="D906" s="76">
        <f t="shared" si="49"/>
        <v>519560631.80573368</v>
      </c>
    </row>
    <row r="907" spans="1:4" x14ac:dyDescent="0.3">
      <c r="A907">
        <v>421000</v>
      </c>
      <c r="B907" s="29">
        <f t="shared" si="47"/>
        <v>2721483875.8849263</v>
      </c>
      <c r="C907" s="39">
        <f t="shared" si="48"/>
        <v>3241700000</v>
      </c>
      <c r="D907" s="76">
        <f t="shared" si="49"/>
        <v>520216124.11507368</v>
      </c>
    </row>
    <row r="908" spans="1:4" x14ac:dyDescent="0.3">
      <c r="A908">
        <v>421500</v>
      </c>
      <c r="B908" s="29">
        <f t="shared" si="47"/>
        <v>2724678383.5755863</v>
      </c>
      <c r="C908" s="39">
        <f t="shared" si="48"/>
        <v>3245550000</v>
      </c>
      <c r="D908" s="76">
        <f t="shared" si="49"/>
        <v>520871616.42441368</v>
      </c>
    </row>
    <row r="909" spans="1:4" x14ac:dyDescent="0.3">
      <c r="A909">
        <v>422000</v>
      </c>
      <c r="B909" s="29">
        <f t="shared" si="47"/>
        <v>2727872891.2662463</v>
      </c>
      <c r="C909" s="39">
        <f t="shared" si="48"/>
        <v>3249400000</v>
      </c>
      <c r="D909" s="76">
        <f t="shared" si="49"/>
        <v>521527108.73375368</v>
      </c>
    </row>
    <row r="910" spans="1:4" x14ac:dyDescent="0.3">
      <c r="A910">
        <v>422500</v>
      </c>
      <c r="B910" s="29">
        <f t="shared" si="47"/>
        <v>2731067398.9569063</v>
      </c>
      <c r="C910" s="39">
        <f t="shared" si="48"/>
        <v>3253250000</v>
      </c>
      <c r="D910" s="76">
        <f t="shared" si="49"/>
        <v>522182601.04309368</v>
      </c>
    </row>
    <row r="911" spans="1:4" x14ac:dyDescent="0.3">
      <c r="A911">
        <v>423000</v>
      </c>
      <c r="B911" s="29">
        <f t="shared" si="47"/>
        <v>2734261906.6475663</v>
      </c>
      <c r="C911" s="39">
        <f t="shared" si="48"/>
        <v>3257100000</v>
      </c>
      <c r="D911" s="76">
        <f t="shared" si="49"/>
        <v>522838093.35243368</v>
      </c>
    </row>
    <row r="912" spans="1:4" x14ac:dyDescent="0.3">
      <c r="A912">
        <v>423500</v>
      </c>
      <c r="B912" s="29">
        <f t="shared" si="47"/>
        <v>2737456414.3382263</v>
      </c>
      <c r="C912" s="39">
        <f t="shared" si="48"/>
        <v>3260950000</v>
      </c>
      <c r="D912" s="76">
        <f t="shared" si="49"/>
        <v>523493585.66177368</v>
      </c>
    </row>
    <row r="913" spans="1:4" x14ac:dyDescent="0.3">
      <c r="A913">
        <v>424000</v>
      </c>
      <c r="B913" s="29">
        <f t="shared" si="47"/>
        <v>2740650922.0288863</v>
      </c>
      <c r="C913" s="39">
        <f t="shared" si="48"/>
        <v>3264800000</v>
      </c>
      <c r="D913" s="76">
        <f t="shared" si="49"/>
        <v>524149077.97111368</v>
      </c>
    </row>
    <row r="914" spans="1:4" x14ac:dyDescent="0.3">
      <c r="A914">
        <v>424500</v>
      </c>
      <c r="B914" s="29">
        <f t="shared" si="47"/>
        <v>2743845429.7195463</v>
      </c>
      <c r="C914" s="39">
        <f t="shared" si="48"/>
        <v>3268650000</v>
      </c>
      <c r="D914" s="76">
        <f t="shared" si="49"/>
        <v>524804570.28045368</v>
      </c>
    </row>
    <row r="915" spans="1:4" x14ac:dyDescent="0.3">
      <c r="A915">
        <v>425000</v>
      </c>
      <c r="B915" s="29">
        <f t="shared" si="47"/>
        <v>2747039937.4102063</v>
      </c>
      <c r="C915" s="39">
        <f t="shared" si="48"/>
        <v>3272500000</v>
      </c>
      <c r="D915" s="76">
        <f t="shared" si="49"/>
        <v>525460062.58979368</v>
      </c>
    </row>
    <row r="916" spans="1:4" x14ac:dyDescent="0.3">
      <c r="A916">
        <v>425500</v>
      </c>
      <c r="B916" s="29">
        <f t="shared" si="47"/>
        <v>2750234445.1008663</v>
      </c>
      <c r="C916" s="39">
        <f t="shared" si="48"/>
        <v>3276350000</v>
      </c>
      <c r="D916" s="76">
        <f t="shared" si="49"/>
        <v>526115554.89913368</v>
      </c>
    </row>
    <row r="917" spans="1:4" x14ac:dyDescent="0.3">
      <c r="A917">
        <v>426000</v>
      </c>
      <c r="B917" s="29">
        <f t="shared" si="47"/>
        <v>2753428952.7915263</v>
      </c>
      <c r="C917" s="39">
        <f t="shared" si="48"/>
        <v>3280200000</v>
      </c>
      <c r="D917" s="76">
        <f t="shared" si="49"/>
        <v>526771047.20847368</v>
      </c>
    </row>
    <row r="918" spans="1:4" x14ac:dyDescent="0.3">
      <c r="A918">
        <v>426500</v>
      </c>
      <c r="B918" s="29">
        <f t="shared" si="47"/>
        <v>2756623460.4821863</v>
      </c>
      <c r="C918" s="39">
        <f t="shared" si="48"/>
        <v>3284050000</v>
      </c>
      <c r="D918" s="76">
        <f t="shared" si="49"/>
        <v>527426539.51781368</v>
      </c>
    </row>
    <row r="919" spans="1:4" x14ac:dyDescent="0.3">
      <c r="A919">
        <v>427000</v>
      </c>
      <c r="B919" s="29">
        <f t="shared" si="47"/>
        <v>2759817968.1728463</v>
      </c>
      <c r="C919" s="39">
        <f t="shared" si="48"/>
        <v>3287900000</v>
      </c>
      <c r="D919" s="76">
        <f t="shared" si="49"/>
        <v>528082031.82715368</v>
      </c>
    </row>
    <row r="920" spans="1:4" x14ac:dyDescent="0.3">
      <c r="A920">
        <v>427500</v>
      </c>
      <c r="B920" s="29">
        <f t="shared" si="47"/>
        <v>2763012475.8635063</v>
      </c>
      <c r="C920" s="39">
        <f t="shared" si="48"/>
        <v>3291750000</v>
      </c>
      <c r="D920" s="76">
        <f t="shared" si="49"/>
        <v>528737524.13649368</v>
      </c>
    </row>
    <row r="921" spans="1:4" x14ac:dyDescent="0.3">
      <c r="A921">
        <v>428000</v>
      </c>
      <c r="B921" s="29">
        <f t="shared" si="47"/>
        <v>2766206983.5541663</v>
      </c>
      <c r="C921" s="39">
        <f t="shared" si="48"/>
        <v>3295600000</v>
      </c>
      <c r="D921" s="76">
        <f t="shared" si="49"/>
        <v>529393016.44583368</v>
      </c>
    </row>
    <row r="922" spans="1:4" x14ac:dyDescent="0.3">
      <c r="A922">
        <v>428500</v>
      </c>
      <c r="B922" s="29">
        <f t="shared" si="47"/>
        <v>2769401491.2448263</v>
      </c>
      <c r="C922" s="39">
        <f t="shared" si="48"/>
        <v>3299450000</v>
      </c>
      <c r="D922" s="76">
        <f t="shared" si="49"/>
        <v>530048508.75517368</v>
      </c>
    </row>
    <row r="923" spans="1:4" x14ac:dyDescent="0.3">
      <c r="A923">
        <v>429000</v>
      </c>
      <c r="B923" s="29">
        <f t="shared" si="47"/>
        <v>2772595998.9354863</v>
      </c>
      <c r="C923" s="39">
        <f t="shared" si="48"/>
        <v>3303300000</v>
      </c>
      <c r="D923" s="76">
        <f t="shared" si="49"/>
        <v>530704001.06451368</v>
      </c>
    </row>
    <row r="924" spans="1:4" x14ac:dyDescent="0.3">
      <c r="A924">
        <v>429500</v>
      </c>
      <c r="B924" s="29">
        <f t="shared" si="47"/>
        <v>2775790506.6261463</v>
      </c>
      <c r="C924" s="39">
        <f t="shared" si="48"/>
        <v>3307150000</v>
      </c>
      <c r="D924" s="76">
        <f t="shared" si="49"/>
        <v>531359493.37385368</v>
      </c>
    </row>
    <row r="925" spans="1:4" x14ac:dyDescent="0.3">
      <c r="A925">
        <v>430000</v>
      </c>
      <c r="B925" s="29">
        <f t="shared" si="47"/>
        <v>2778985014.3168063</v>
      </c>
      <c r="C925" s="39">
        <f t="shared" si="48"/>
        <v>3311000000</v>
      </c>
      <c r="D925" s="76">
        <f t="shared" si="49"/>
        <v>532014985.68319368</v>
      </c>
    </row>
    <row r="926" spans="1:4" x14ac:dyDescent="0.3">
      <c r="A926">
        <v>430500</v>
      </c>
      <c r="B926" s="29">
        <f t="shared" si="47"/>
        <v>2782179522.0074663</v>
      </c>
      <c r="C926" s="39">
        <f t="shared" si="48"/>
        <v>3314850000</v>
      </c>
      <c r="D926" s="76">
        <f t="shared" si="49"/>
        <v>532670477.99253368</v>
      </c>
    </row>
    <row r="927" spans="1:4" x14ac:dyDescent="0.3">
      <c r="A927">
        <v>431000</v>
      </c>
      <c r="B927" s="29">
        <f t="shared" si="47"/>
        <v>2785374029.6981263</v>
      </c>
      <c r="C927" s="39">
        <f t="shared" si="48"/>
        <v>3318700000</v>
      </c>
      <c r="D927" s="76">
        <f t="shared" si="49"/>
        <v>533325970.30187368</v>
      </c>
    </row>
    <row r="928" spans="1:4" x14ac:dyDescent="0.3">
      <c r="A928">
        <v>431500</v>
      </c>
      <c r="B928" s="29">
        <f t="shared" si="47"/>
        <v>2788568537.3887863</v>
      </c>
      <c r="C928" s="39">
        <f t="shared" si="48"/>
        <v>3322550000</v>
      </c>
      <c r="D928" s="76">
        <f t="shared" si="49"/>
        <v>533981462.61121368</v>
      </c>
    </row>
    <row r="929" spans="1:4" x14ac:dyDescent="0.3">
      <c r="A929">
        <v>432000</v>
      </c>
      <c r="B929" s="29">
        <f t="shared" si="47"/>
        <v>2791763045.0794463</v>
      </c>
      <c r="C929" s="39">
        <f t="shared" si="48"/>
        <v>3326400000</v>
      </c>
      <c r="D929" s="76">
        <f t="shared" si="49"/>
        <v>534636954.92055368</v>
      </c>
    </row>
    <row r="930" spans="1:4" x14ac:dyDescent="0.3">
      <c r="A930">
        <v>432500</v>
      </c>
      <c r="B930" s="29">
        <f t="shared" si="47"/>
        <v>2794957552.7701063</v>
      </c>
      <c r="C930" s="39">
        <f t="shared" si="48"/>
        <v>3330250000</v>
      </c>
      <c r="D930" s="76">
        <f t="shared" si="49"/>
        <v>535292447.22989368</v>
      </c>
    </row>
    <row r="931" spans="1:4" x14ac:dyDescent="0.3">
      <c r="A931">
        <v>433000</v>
      </c>
      <c r="B931" s="29">
        <f t="shared" si="47"/>
        <v>2798152060.4607663</v>
      </c>
      <c r="C931" s="39">
        <f t="shared" si="48"/>
        <v>3334100000</v>
      </c>
      <c r="D931" s="76">
        <f t="shared" si="49"/>
        <v>535947939.53923368</v>
      </c>
    </row>
    <row r="932" spans="1:4" x14ac:dyDescent="0.3">
      <c r="A932">
        <v>433500</v>
      </c>
      <c r="B932" s="29">
        <f t="shared" si="47"/>
        <v>2801346568.1514263</v>
      </c>
      <c r="C932" s="39">
        <f t="shared" si="48"/>
        <v>3337950000</v>
      </c>
      <c r="D932" s="76">
        <f t="shared" si="49"/>
        <v>536603431.84857368</v>
      </c>
    </row>
    <row r="933" spans="1:4" x14ac:dyDescent="0.3">
      <c r="A933">
        <v>434000</v>
      </c>
      <c r="B933" s="29">
        <f t="shared" si="47"/>
        <v>2804541075.8420863</v>
      </c>
      <c r="C933" s="39">
        <f t="shared" si="48"/>
        <v>3341800000</v>
      </c>
      <c r="D933" s="76">
        <f t="shared" si="49"/>
        <v>537258924.15791368</v>
      </c>
    </row>
    <row r="934" spans="1:4" x14ac:dyDescent="0.3">
      <c r="A934">
        <v>434500</v>
      </c>
      <c r="B934" s="29">
        <f t="shared" si="47"/>
        <v>2807735583.5327463</v>
      </c>
      <c r="C934" s="39">
        <f t="shared" si="48"/>
        <v>3345650000</v>
      </c>
      <c r="D934" s="76">
        <f t="shared" si="49"/>
        <v>537914416.46725368</v>
      </c>
    </row>
    <row r="935" spans="1:4" x14ac:dyDescent="0.3">
      <c r="A935">
        <v>435000</v>
      </c>
      <c r="B935" s="29">
        <f t="shared" si="47"/>
        <v>2810930091.2234063</v>
      </c>
      <c r="C935" s="39">
        <f t="shared" si="48"/>
        <v>3349500000</v>
      </c>
      <c r="D935" s="76">
        <f t="shared" si="49"/>
        <v>538569908.77659369</v>
      </c>
    </row>
    <row r="936" spans="1:4" x14ac:dyDescent="0.3">
      <c r="A936">
        <v>435500</v>
      </c>
      <c r="B936" s="29">
        <f t="shared" si="47"/>
        <v>2814124598.9140663</v>
      </c>
      <c r="C936" s="39">
        <f t="shared" si="48"/>
        <v>3353350000</v>
      </c>
      <c r="D936" s="76">
        <f t="shared" si="49"/>
        <v>539225401.08593369</v>
      </c>
    </row>
    <row r="937" spans="1:4" x14ac:dyDescent="0.3">
      <c r="A937">
        <v>436000</v>
      </c>
      <c r="B937" s="29">
        <f t="shared" si="47"/>
        <v>2817319106.6047263</v>
      </c>
      <c r="C937" s="39">
        <f t="shared" si="48"/>
        <v>3357200000</v>
      </c>
      <c r="D937" s="76">
        <f t="shared" si="49"/>
        <v>539880893.39527369</v>
      </c>
    </row>
    <row r="938" spans="1:4" x14ac:dyDescent="0.3">
      <c r="A938">
        <v>436500</v>
      </c>
      <c r="B938" s="29">
        <f t="shared" si="47"/>
        <v>2820513614.2953863</v>
      </c>
      <c r="C938" s="39">
        <f t="shared" si="48"/>
        <v>3361050000</v>
      </c>
      <c r="D938" s="76">
        <f t="shared" si="49"/>
        <v>540536385.70461369</v>
      </c>
    </row>
    <row r="939" spans="1:4" x14ac:dyDescent="0.3">
      <c r="A939">
        <v>437000</v>
      </c>
      <c r="B939" s="29">
        <f t="shared" si="47"/>
        <v>2823708121.9860463</v>
      </c>
      <c r="C939" s="39">
        <f t="shared" si="48"/>
        <v>3364900000</v>
      </c>
      <c r="D939" s="76">
        <f t="shared" si="49"/>
        <v>541191878.01395369</v>
      </c>
    </row>
    <row r="940" spans="1:4" x14ac:dyDescent="0.3">
      <c r="A940">
        <v>437500</v>
      </c>
      <c r="B940" s="29">
        <f t="shared" si="47"/>
        <v>2826902629.6767063</v>
      </c>
      <c r="C940" s="39">
        <f t="shared" si="48"/>
        <v>3368750000</v>
      </c>
      <c r="D940" s="76">
        <f t="shared" si="49"/>
        <v>541847370.32329369</v>
      </c>
    </row>
    <row r="941" spans="1:4" x14ac:dyDescent="0.3">
      <c r="A941">
        <v>438000</v>
      </c>
      <c r="B941" s="29">
        <f t="shared" si="47"/>
        <v>2830097137.3673663</v>
      </c>
      <c r="C941" s="39">
        <f t="shared" si="48"/>
        <v>3372600000</v>
      </c>
      <c r="D941" s="76">
        <f t="shared" si="49"/>
        <v>542502862.63263369</v>
      </c>
    </row>
    <row r="942" spans="1:4" x14ac:dyDescent="0.3">
      <c r="A942">
        <v>438500</v>
      </c>
      <c r="B942" s="29">
        <f t="shared" si="47"/>
        <v>2833291645.0580263</v>
      </c>
      <c r="C942" s="39">
        <f t="shared" si="48"/>
        <v>3376450000</v>
      </c>
      <c r="D942" s="76">
        <f t="shared" si="49"/>
        <v>543158354.94197369</v>
      </c>
    </row>
    <row r="943" spans="1:4" x14ac:dyDescent="0.3">
      <c r="A943">
        <v>439000</v>
      </c>
      <c r="B943" s="29">
        <f t="shared" si="47"/>
        <v>2836486152.7486863</v>
      </c>
      <c r="C943" s="39">
        <f t="shared" si="48"/>
        <v>3380300000</v>
      </c>
      <c r="D943" s="76">
        <f t="shared" si="49"/>
        <v>543813847.25131369</v>
      </c>
    </row>
    <row r="944" spans="1:4" x14ac:dyDescent="0.3">
      <c r="A944">
        <v>439500</v>
      </c>
      <c r="B944" s="29">
        <f t="shared" si="47"/>
        <v>2839680660.4393463</v>
      </c>
      <c r="C944" s="39">
        <f t="shared" si="48"/>
        <v>3384150000</v>
      </c>
      <c r="D944" s="76">
        <f t="shared" si="49"/>
        <v>544469339.56065369</v>
      </c>
    </row>
    <row r="945" spans="1:4" x14ac:dyDescent="0.3">
      <c r="A945">
        <v>440000</v>
      </c>
      <c r="B945" s="29">
        <f t="shared" si="47"/>
        <v>2842875168.1300063</v>
      </c>
      <c r="C945" s="39">
        <f t="shared" si="48"/>
        <v>3388000000</v>
      </c>
      <c r="D945" s="76">
        <f t="shared" si="49"/>
        <v>545124831.86999369</v>
      </c>
    </row>
    <row r="946" spans="1:4" x14ac:dyDescent="0.3">
      <c r="A946">
        <v>440500</v>
      </c>
      <c r="B946" s="29">
        <f t="shared" si="47"/>
        <v>2846069675.8206663</v>
      </c>
      <c r="C946" s="39">
        <f t="shared" si="48"/>
        <v>3391850000</v>
      </c>
      <c r="D946" s="76">
        <f t="shared" si="49"/>
        <v>545780324.17933369</v>
      </c>
    </row>
    <row r="947" spans="1:4" x14ac:dyDescent="0.3">
      <c r="A947">
        <v>441000</v>
      </c>
      <c r="B947" s="29">
        <f t="shared" si="47"/>
        <v>2849264183.5113263</v>
      </c>
      <c r="C947" s="39">
        <f t="shared" si="48"/>
        <v>3395700000</v>
      </c>
      <c r="D947" s="76">
        <f t="shared" si="49"/>
        <v>546435816.48867369</v>
      </c>
    </row>
    <row r="948" spans="1:4" x14ac:dyDescent="0.3">
      <c r="A948">
        <v>441500</v>
      </c>
      <c r="B948" s="29">
        <f t="shared" si="47"/>
        <v>2852458691.2019863</v>
      </c>
      <c r="C948" s="39">
        <f t="shared" si="48"/>
        <v>3399550000</v>
      </c>
      <c r="D948" s="76">
        <f t="shared" si="49"/>
        <v>547091308.79801369</v>
      </c>
    </row>
    <row r="949" spans="1:4" x14ac:dyDescent="0.3">
      <c r="A949">
        <v>442000</v>
      </c>
      <c r="B949" s="29">
        <f t="shared" si="47"/>
        <v>2855653198.8926463</v>
      </c>
      <c r="C949" s="39">
        <f t="shared" si="48"/>
        <v>3403400000</v>
      </c>
      <c r="D949" s="76">
        <f t="shared" si="49"/>
        <v>547746801.10735369</v>
      </c>
    </row>
    <row r="950" spans="1:4" x14ac:dyDescent="0.3">
      <c r="A950">
        <v>442500</v>
      </c>
      <c r="B950" s="29">
        <f t="shared" si="47"/>
        <v>2858847706.5833063</v>
      </c>
      <c r="C950" s="39">
        <f t="shared" si="48"/>
        <v>3407250000</v>
      </c>
      <c r="D950" s="76">
        <f t="shared" si="49"/>
        <v>548402293.41669369</v>
      </c>
    </row>
    <row r="951" spans="1:4" x14ac:dyDescent="0.3">
      <c r="A951">
        <v>443000</v>
      </c>
      <c r="B951" s="29">
        <f t="shared" si="47"/>
        <v>2862042214.2739663</v>
      </c>
      <c r="C951" s="39">
        <f t="shared" si="48"/>
        <v>3411100000</v>
      </c>
      <c r="D951" s="76">
        <f t="shared" si="49"/>
        <v>549057785.72603369</v>
      </c>
    </row>
    <row r="952" spans="1:4" x14ac:dyDescent="0.3">
      <c r="A952">
        <v>443500</v>
      </c>
      <c r="B952" s="29">
        <f t="shared" si="47"/>
        <v>2865236721.9646263</v>
      </c>
      <c r="C952" s="39">
        <f t="shared" si="48"/>
        <v>3414950000</v>
      </c>
      <c r="D952" s="76">
        <f t="shared" si="49"/>
        <v>549713278.03537369</v>
      </c>
    </row>
    <row r="953" spans="1:4" x14ac:dyDescent="0.3">
      <c r="A953">
        <v>444000</v>
      </c>
      <c r="B953" s="29">
        <f t="shared" si="47"/>
        <v>2868431229.6552863</v>
      </c>
      <c r="C953" s="39">
        <f t="shared" si="48"/>
        <v>3418800000</v>
      </c>
      <c r="D953" s="76">
        <f t="shared" si="49"/>
        <v>550368770.34471369</v>
      </c>
    </row>
    <row r="954" spans="1:4" x14ac:dyDescent="0.3">
      <c r="A954">
        <v>444500</v>
      </c>
      <c r="B954" s="29">
        <f t="shared" si="47"/>
        <v>2871625737.3459463</v>
      </c>
      <c r="C954" s="39">
        <f t="shared" si="48"/>
        <v>3422650000</v>
      </c>
      <c r="D954" s="76">
        <f t="shared" si="49"/>
        <v>551024262.65405369</v>
      </c>
    </row>
    <row r="955" spans="1:4" x14ac:dyDescent="0.3">
      <c r="A955">
        <v>445000</v>
      </c>
      <c r="B955" s="29">
        <f t="shared" si="47"/>
        <v>2874820245.0366063</v>
      </c>
      <c r="C955" s="39">
        <f t="shared" si="48"/>
        <v>3426500000</v>
      </c>
      <c r="D955" s="76">
        <f t="shared" si="49"/>
        <v>551679754.96339369</v>
      </c>
    </row>
    <row r="956" spans="1:4" x14ac:dyDescent="0.3">
      <c r="A956">
        <v>445500</v>
      </c>
      <c r="B956" s="29">
        <f t="shared" si="47"/>
        <v>2878014752.7272663</v>
      </c>
      <c r="C956" s="39">
        <f t="shared" si="48"/>
        <v>3430350000</v>
      </c>
      <c r="D956" s="76">
        <f t="shared" si="49"/>
        <v>552335247.27273369</v>
      </c>
    </row>
    <row r="957" spans="1:4" x14ac:dyDescent="0.3">
      <c r="A957">
        <v>446000</v>
      </c>
      <c r="B957" s="29">
        <f t="shared" si="47"/>
        <v>2881209260.4179263</v>
      </c>
      <c r="C957" s="39">
        <f t="shared" si="48"/>
        <v>3434200000</v>
      </c>
      <c r="D957" s="76">
        <f t="shared" si="49"/>
        <v>552990739.58207369</v>
      </c>
    </row>
    <row r="958" spans="1:4" x14ac:dyDescent="0.3">
      <c r="A958">
        <v>446500</v>
      </c>
      <c r="B958" s="29">
        <f t="shared" si="47"/>
        <v>2884403768.1085863</v>
      </c>
      <c r="C958" s="39">
        <f t="shared" si="48"/>
        <v>3438050000</v>
      </c>
      <c r="D958" s="76">
        <f t="shared" si="49"/>
        <v>553646231.89141369</v>
      </c>
    </row>
    <row r="959" spans="1:4" x14ac:dyDescent="0.3">
      <c r="A959">
        <v>447000</v>
      </c>
      <c r="B959" s="29">
        <f t="shared" si="47"/>
        <v>2887598275.7992463</v>
      </c>
      <c r="C959" s="39">
        <f t="shared" si="48"/>
        <v>3441900000</v>
      </c>
      <c r="D959" s="76">
        <f t="shared" si="49"/>
        <v>554301724.20075369</v>
      </c>
    </row>
    <row r="960" spans="1:4" x14ac:dyDescent="0.3">
      <c r="A960">
        <v>447500</v>
      </c>
      <c r="B960" s="29">
        <f t="shared" si="47"/>
        <v>2890792783.4899063</v>
      </c>
      <c r="C960" s="39">
        <f t="shared" si="48"/>
        <v>3445750000</v>
      </c>
      <c r="D960" s="76">
        <f t="shared" si="49"/>
        <v>554957216.51009369</v>
      </c>
    </row>
    <row r="961" spans="1:4" x14ac:dyDescent="0.3">
      <c r="A961">
        <v>448000</v>
      </c>
      <c r="B961" s="29">
        <f t="shared" si="47"/>
        <v>2893987291.1805663</v>
      </c>
      <c r="C961" s="39">
        <f t="shared" si="48"/>
        <v>3449600000</v>
      </c>
      <c r="D961" s="76">
        <f t="shared" si="49"/>
        <v>555612708.81943369</v>
      </c>
    </row>
    <row r="962" spans="1:4" x14ac:dyDescent="0.3">
      <c r="A962">
        <v>448500</v>
      </c>
      <c r="B962" s="29">
        <f t="shared" ref="B962:B1025" si="50">$B$54+($B$60*A962)</f>
        <v>2897181798.8712263</v>
      </c>
      <c r="C962" s="39">
        <f t="shared" ref="C962:C1025" si="51">$E$50*A962</f>
        <v>3453450000</v>
      </c>
      <c r="D962" s="76">
        <f t="shared" ref="D962:D1025" si="52">C962-B962</f>
        <v>556268201.12877369</v>
      </c>
    </row>
    <row r="963" spans="1:4" x14ac:dyDescent="0.3">
      <c r="A963">
        <v>449000</v>
      </c>
      <c r="B963" s="29">
        <f t="shared" si="50"/>
        <v>2900376306.5618863</v>
      </c>
      <c r="C963" s="39">
        <f t="shared" si="51"/>
        <v>3457300000</v>
      </c>
      <c r="D963" s="76">
        <f t="shared" si="52"/>
        <v>556923693.43811369</v>
      </c>
    </row>
    <row r="964" spans="1:4" x14ac:dyDescent="0.3">
      <c r="A964">
        <v>449500</v>
      </c>
      <c r="B964" s="29">
        <f t="shared" si="50"/>
        <v>2903570814.2525463</v>
      </c>
      <c r="C964" s="39">
        <f t="shared" si="51"/>
        <v>3461150000</v>
      </c>
      <c r="D964" s="76">
        <f t="shared" si="52"/>
        <v>557579185.74745369</v>
      </c>
    </row>
    <row r="965" spans="1:4" x14ac:dyDescent="0.3">
      <c r="A965">
        <v>450000</v>
      </c>
      <c r="B965" s="29">
        <f t="shared" si="50"/>
        <v>2906765321.9432063</v>
      </c>
      <c r="C965" s="39">
        <f t="shared" si="51"/>
        <v>3465000000</v>
      </c>
      <c r="D965" s="76">
        <f t="shared" si="52"/>
        <v>558234678.05679369</v>
      </c>
    </row>
    <row r="966" spans="1:4" x14ac:dyDescent="0.3">
      <c r="A966">
        <v>450500</v>
      </c>
      <c r="B966" s="29">
        <f t="shared" si="50"/>
        <v>2909959829.6338663</v>
      </c>
      <c r="C966" s="39">
        <f t="shared" si="51"/>
        <v>3468850000</v>
      </c>
      <c r="D966" s="76">
        <f t="shared" si="52"/>
        <v>558890170.36613369</v>
      </c>
    </row>
    <row r="967" spans="1:4" x14ac:dyDescent="0.3">
      <c r="A967">
        <v>451000</v>
      </c>
      <c r="B967" s="29">
        <f t="shared" si="50"/>
        <v>2913154337.3245263</v>
      </c>
      <c r="C967" s="39">
        <f t="shared" si="51"/>
        <v>3472700000</v>
      </c>
      <c r="D967" s="76">
        <f t="shared" si="52"/>
        <v>559545662.67547369</v>
      </c>
    </row>
    <row r="968" spans="1:4" x14ac:dyDescent="0.3">
      <c r="A968">
        <v>451500</v>
      </c>
      <c r="B968" s="29">
        <f t="shared" si="50"/>
        <v>2916348845.0151863</v>
      </c>
      <c r="C968" s="39">
        <f t="shared" si="51"/>
        <v>3476550000</v>
      </c>
      <c r="D968" s="76">
        <f t="shared" si="52"/>
        <v>560201154.98481369</v>
      </c>
    </row>
    <row r="969" spans="1:4" x14ac:dyDescent="0.3">
      <c r="A969">
        <v>452000</v>
      </c>
      <c r="B969" s="29">
        <f t="shared" si="50"/>
        <v>2919543352.7058463</v>
      </c>
      <c r="C969" s="39">
        <f t="shared" si="51"/>
        <v>3480400000</v>
      </c>
      <c r="D969" s="76">
        <f t="shared" si="52"/>
        <v>560856647.29415369</v>
      </c>
    </row>
    <row r="970" spans="1:4" x14ac:dyDescent="0.3">
      <c r="A970">
        <v>452500</v>
      </c>
      <c r="B970" s="29">
        <f t="shared" si="50"/>
        <v>2922737860.3965063</v>
      </c>
      <c r="C970" s="39">
        <f t="shared" si="51"/>
        <v>3484250000</v>
      </c>
      <c r="D970" s="76">
        <f t="shared" si="52"/>
        <v>561512139.60349369</v>
      </c>
    </row>
    <row r="971" spans="1:4" x14ac:dyDescent="0.3">
      <c r="A971">
        <v>453000</v>
      </c>
      <c r="B971" s="29">
        <f t="shared" si="50"/>
        <v>2925932368.0871663</v>
      </c>
      <c r="C971" s="39">
        <f t="shared" si="51"/>
        <v>3488100000</v>
      </c>
      <c r="D971" s="76">
        <f t="shared" si="52"/>
        <v>562167631.91283369</v>
      </c>
    </row>
    <row r="972" spans="1:4" x14ac:dyDescent="0.3">
      <c r="A972">
        <v>453500</v>
      </c>
      <c r="B972" s="29">
        <f t="shared" si="50"/>
        <v>2929126875.7778263</v>
      </c>
      <c r="C972" s="39">
        <f t="shared" si="51"/>
        <v>3491950000</v>
      </c>
      <c r="D972" s="76">
        <f t="shared" si="52"/>
        <v>562823124.22217369</v>
      </c>
    </row>
    <row r="973" spans="1:4" x14ac:dyDescent="0.3">
      <c r="A973">
        <v>454000</v>
      </c>
      <c r="B973" s="29">
        <f t="shared" si="50"/>
        <v>2932321383.4684863</v>
      </c>
      <c r="C973" s="39">
        <f t="shared" si="51"/>
        <v>3495800000</v>
      </c>
      <c r="D973" s="76">
        <f t="shared" si="52"/>
        <v>563478616.53151369</v>
      </c>
    </row>
    <row r="974" spans="1:4" x14ac:dyDescent="0.3">
      <c r="A974">
        <v>454500</v>
      </c>
      <c r="B974" s="29">
        <f t="shared" si="50"/>
        <v>2935515891.1591463</v>
      </c>
      <c r="C974" s="39">
        <f t="shared" si="51"/>
        <v>3499650000</v>
      </c>
      <c r="D974" s="76">
        <f t="shared" si="52"/>
        <v>564134108.84085369</v>
      </c>
    </row>
    <row r="975" spans="1:4" x14ac:dyDescent="0.3">
      <c r="A975">
        <v>455000</v>
      </c>
      <c r="B975" s="29">
        <f t="shared" si="50"/>
        <v>2938710398.8498063</v>
      </c>
      <c r="C975" s="39">
        <f t="shared" si="51"/>
        <v>3503500000</v>
      </c>
      <c r="D975" s="76">
        <f t="shared" si="52"/>
        <v>564789601.15019369</v>
      </c>
    </row>
    <row r="976" spans="1:4" x14ac:dyDescent="0.3">
      <c r="A976">
        <v>455500</v>
      </c>
      <c r="B976" s="29">
        <f t="shared" si="50"/>
        <v>2941904906.5404663</v>
      </c>
      <c r="C976" s="39">
        <f t="shared" si="51"/>
        <v>3507350000</v>
      </c>
      <c r="D976" s="76">
        <f t="shared" si="52"/>
        <v>565445093.45953369</v>
      </c>
    </row>
    <row r="977" spans="1:4" x14ac:dyDescent="0.3">
      <c r="A977">
        <v>456000</v>
      </c>
      <c r="B977" s="29">
        <f t="shared" si="50"/>
        <v>2945099414.2311263</v>
      </c>
      <c r="C977" s="39">
        <f t="shared" si="51"/>
        <v>3511200000</v>
      </c>
      <c r="D977" s="76">
        <f t="shared" si="52"/>
        <v>566100585.76887369</v>
      </c>
    </row>
    <row r="978" spans="1:4" x14ac:dyDescent="0.3">
      <c r="A978">
        <v>456500</v>
      </c>
      <c r="B978" s="29">
        <f t="shared" si="50"/>
        <v>2948293921.9217863</v>
      </c>
      <c r="C978" s="39">
        <f t="shared" si="51"/>
        <v>3515050000</v>
      </c>
      <c r="D978" s="76">
        <f t="shared" si="52"/>
        <v>566756078.07821369</v>
      </c>
    </row>
    <row r="979" spans="1:4" x14ac:dyDescent="0.3">
      <c r="A979">
        <v>457000</v>
      </c>
      <c r="B979" s="29">
        <f t="shared" si="50"/>
        <v>2951488429.6124463</v>
      </c>
      <c r="C979" s="39">
        <f t="shared" si="51"/>
        <v>3518900000</v>
      </c>
      <c r="D979" s="76">
        <f t="shared" si="52"/>
        <v>567411570.38755369</v>
      </c>
    </row>
    <row r="980" spans="1:4" x14ac:dyDescent="0.3">
      <c r="A980">
        <v>457500</v>
      </c>
      <c r="B980" s="29">
        <f t="shared" si="50"/>
        <v>2954682937.3031063</v>
      </c>
      <c r="C980" s="39">
        <f t="shared" si="51"/>
        <v>3522750000</v>
      </c>
      <c r="D980" s="76">
        <f t="shared" si="52"/>
        <v>568067062.69689369</v>
      </c>
    </row>
    <row r="981" spans="1:4" x14ac:dyDescent="0.3">
      <c r="A981">
        <v>458000</v>
      </c>
      <c r="B981" s="29">
        <f t="shared" si="50"/>
        <v>2957877444.9937663</v>
      </c>
      <c r="C981" s="39">
        <f t="shared" si="51"/>
        <v>3526600000</v>
      </c>
      <c r="D981" s="76">
        <f t="shared" si="52"/>
        <v>568722555.00623369</v>
      </c>
    </row>
    <row r="982" spans="1:4" x14ac:dyDescent="0.3">
      <c r="A982">
        <v>458500</v>
      </c>
      <c r="B982" s="29">
        <f t="shared" si="50"/>
        <v>2961071952.6844263</v>
      </c>
      <c r="C982" s="39">
        <f t="shared" si="51"/>
        <v>3530450000</v>
      </c>
      <c r="D982" s="76">
        <f t="shared" si="52"/>
        <v>569378047.31557369</v>
      </c>
    </row>
    <row r="983" spans="1:4" x14ac:dyDescent="0.3">
      <c r="A983">
        <v>459000</v>
      </c>
      <c r="B983" s="29">
        <f t="shared" si="50"/>
        <v>2964266460.3750863</v>
      </c>
      <c r="C983" s="39">
        <f t="shared" si="51"/>
        <v>3534300000</v>
      </c>
      <c r="D983" s="76">
        <f t="shared" si="52"/>
        <v>570033539.62491369</v>
      </c>
    </row>
    <row r="984" spans="1:4" x14ac:dyDescent="0.3">
      <c r="A984">
        <v>459500</v>
      </c>
      <c r="B984" s="29">
        <f t="shared" si="50"/>
        <v>2967460968.0657463</v>
      </c>
      <c r="C984" s="39">
        <f t="shared" si="51"/>
        <v>3538150000</v>
      </c>
      <c r="D984" s="76">
        <f t="shared" si="52"/>
        <v>570689031.93425369</v>
      </c>
    </row>
    <row r="985" spans="1:4" x14ac:dyDescent="0.3">
      <c r="A985">
        <v>460000</v>
      </c>
      <c r="B985" s="29">
        <f t="shared" si="50"/>
        <v>2970655475.7564063</v>
      </c>
      <c r="C985" s="39">
        <f t="shared" si="51"/>
        <v>3542000000</v>
      </c>
      <c r="D985" s="76">
        <f t="shared" si="52"/>
        <v>571344524.24359369</v>
      </c>
    </row>
    <row r="986" spans="1:4" x14ac:dyDescent="0.3">
      <c r="A986">
        <v>460500</v>
      </c>
      <c r="B986" s="29">
        <f t="shared" si="50"/>
        <v>2973849983.4470663</v>
      </c>
      <c r="C986" s="39">
        <f t="shared" si="51"/>
        <v>3545850000</v>
      </c>
      <c r="D986" s="76">
        <f t="shared" si="52"/>
        <v>572000016.55293369</v>
      </c>
    </row>
    <row r="987" spans="1:4" x14ac:dyDescent="0.3">
      <c r="A987">
        <v>461000</v>
      </c>
      <c r="B987" s="29">
        <f t="shared" si="50"/>
        <v>2977044491.1377263</v>
      </c>
      <c r="C987" s="39">
        <f t="shared" si="51"/>
        <v>3549700000</v>
      </c>
      <c r="D987" s="76">
        <f t="shared" si="52"/>
        <v>572655508.86227369</v>
      </c>
    </row>
    <row r="988" spans="1:4" x14ac:dyDescent="0.3">
      <c r="A988">
        <v>461500</v>
      </c>
      <c r="B988" s="29">
        <f t="shared" si="50"/>
        <v>2980238998.8283863</v>
      </c>
      <c r="C988" s="39">
        <f t="shared" si="51"/>
        <v>3553550000</v>
      </c>
      <c r="D988" s="76">
        <f t="shared" si="52"/>
        <v>573311001.17161369</v>
      </c>
    </row>
    <row r="989" spans="1:4" x14ac:dyDescent="0.3">
      <c r="A989">
        <v>462000</v>
      </c>
      <c r="B989" s="29">
        <f t="shared" si="50"/>
        <v>2983433506.5190463</v>
      </c>
      <c r="C989" s="39">
        <f t="shared" si="51"/>
        <v>3557400000</v>
      </c>
      <c r="D989" s="76">
        <f t="shared" si="52"/>
        <v>573966493.48095369</v>
      </c>
    </row>
    <row r="990" spans="1:4" x14ac:dyDescent="0.3">
      <c r="A990">
        <v>462500</v>
      </c>
      <c r="B990" s="29">
        <f t="shared" si="50"/>
        <v>2986628014.2097063</v>
      </c>
      <c r="C990" s="39">
        <f t="shared" si="51"/>
        <v>3561250000</v>
      </c>
      <c r="D990" s="76">
        <f t="shared" si="52"/>
        <v>574621985.79029369</v>
      </c>
    </row>
    <row r="991" spans="1:4" x14ac:dyDescent="0.3">
      <c r="A991">
        <v>463000</v>
      </c>
      <c r="B991" s="29">
        <f t="shared" si="50"/>
        <v>2989822521.9003663</v>
      </c>
      <c r="C991" s="39">
        <f t="shared" si="51"/>
        <v>3565100000</v>
      </c>
      <c r="D991" s="76">
        <f t="shared" si="52"/>
        <v>575277478.09963369</v>
      </c>
    </row>
    <row r="992" spans="1:4" x14ac:dyDescent="0.3">
      <c r="A992">
        <v>463500</v>
      </c>
      <c r="B992" s="29">
        <f t="shared" si="50"/>
        <v>2993017029.5910263</v>
      </c>
      <c r="C992" s="39">
        <f t="shared" si="51"/>
        <v>3568950000</v>
      </c>
      <c r="D992" s="76">
        <f t="shared" si="52"/>
        <v>575932970.40897369</v>
      </c>
    </row>
    <row r="993" spans="1:4" x14ac:dyDescent="0.3">
      <c r="A993">
        <v>464000</v>
      </c>
      <c r="B993" s="29">
        <f t="shared" si="50"/>
        <v>2996211537.2816863</v>
      </c>
      <c r="C993" s="39">
        <f t="shared" si="51"/>
        <v>3572800000</v>
      </c>
      <c r="D993" s="76">
        <f t="shared" si="52"/>
        <v>576588462.71831369</v>
      </c>
    </row>
    <row r="994" spans="1:4" x14ac:dyDescent="0.3">
      <c r="A994">
        <v>464500</v>
      </c>
      <c r="B994" s="29">
        <f t="shared" si="50"/>
        <v>2999406044.9723463</v>
      </c>
      <c r="C994" s="39">
        <f t="shared" si="51"/>
        <v>3576650000</v>
      </c>
      <c r="D994" s="76">
        <f t="shared" si="52"/>
        <v>577243955.02765369</v>
      </c>
    </row>
    <row r="995" spans="1:4" x14ac:dyDescent="0.3">
      <c r="A995">
        <v>465000</v>
      </c>
      <c r="B995" s="29">
        <f t="shared" si="50"/>
        <v>3002600552.6630063</v>
      </c>
      <c r="C995" s="39">
        <f t="shared" si="51"/>
        <v>3580500000</v>
      </c>
      <c r="D995" s="76">
        <f t="shared" si="52"/>
        <v>577899447.33699369</v>
      </c>
    </row>
    <row r="996" spans="1:4" x14ac:dyDescent="0.3">
      <c r="A996">
        <v>465500</v>
      </c>
      <c r="B996" s="29">
        <f t="shared" si="50"/>
        <v>3005795060.3536663</v>
      </c>
      <c r="C996" s="39">
        <f t="shared" si="51"/>
        <v>3584350000</v>
      </c>
      <c r="D996" s="76">
        <f t="shared" si="52"/>
        <v>578554939.64633369</v>
      </c>
    </row>
    <row r="997" spans="1:4" x14ac:dyDescent="0.3">
      <c r="A997">
        <v>466000</v>
      </c>
      <c r="B997" s="29">
        <f t="shared" si="50"/>
        <v>3008989568.0443263</v>
      </c>
      <c r="C997" s="39">
        <f t="shared" si="51"/>
        <v>3588200000</v>
      </c>
      <c r="D997" s="76">
        <f t="shared" si="52"/>
        <v>579210431.95567369</v>
      </c>
    </row>
    <row r="998" spans="1:4" x14ac:dyDescent="0.3">
      <c r="A998">
        <v>466500</v>
      </c>
      <c r="B998" s="29">
        <f t="shared" si="50"/>
        <v>3012184075.7349863</v>
      </c>
      <c r="C998" s="39">
        <f t="shared" si="51"/>
        <v>3592050000</v>
      </c>
      <c r="D998" s="76">
        <f t="shared" si="52"/>
        <v>579865924.26501369</v>
      </c>
    </row>
    <row r="999" spans="1:4" x14ac:dyDescent="0.3">
      <c r="A999">
        <v>467000</v>
      </c>
      <c r="B999" s="29">
        <f t="shared" si="50"/>
        <v>3015378583.4256463</v>
      </c>
      <c r="C999" s="39">
        <f t="shared" si="51"/>
        <v>3595900000</v>
      </c>
      <c r="D999" s="76">
        <f t="shared" si="52"/>
        <v>580521416.57435369</v>
      </c>
    </row>
    <row r="1000" spans="1:4" x14ac:dyDescent="0.3">
      <c r="A1000">
        <v>467500</v>
      </c>
      <c r="B1000" s="29">
        <f t="shared" si="50"/>
        <v>3018573091.1163063</v>
      </c>
      <c r="C1000" s="39">
        <f t="shared" si="51"/>
        <v>3599750000</v>
      </c>
      <c r="D1000" s="76">
        <f t="shared" si="52"/>
        <v>581176908.8836937</v>
      </c>
    </row>
    <row r="1001" spans="1:4" x14ac:dyDescent="0.3">
      <c r="A1001">
        <v>468000</v>
      </c>
      <c r="B1001" s="29">
        <f t="shared" si="50"/>
        <v>3021767598.8069663</v>
      </c>
      <c r="C1001" s="39">
        <f t="shared" si="51"/>
        <v>3603600000</v>
      </c>
      <c r="D1001" s="76">
        <f t="shared" si="52"/>
        <v>581832401.1930337</v>
      </c>
    </row>
    <row r="1002" spans="1:4" x14ac:dyDescent="0.3">
      <c r="A1002">
        <v>468500</v>
      </c>
      <c r="B1002" s="29">
        <f t="shared" si="50"/>
        <v>3024962106.4976263</v>
      </c>
      <c r="C1002" s="39">
        <f t="shared" si="51"/>
        <v>3607450000</v>
      </c>
      <c r="D1002" s="76">
        <f t="shared" si="52"/>
        <v>582487893.5023737</v>
      </c>
    </row>
    <row r="1003" spans="1:4" x14ac:dyDescent="0.3">
      <c r="A1003">
        <v>469000</v>
      </c>
      <c r="B1003" s="29">
        <f t="shared" si="50"/>
        <v>3028156614.1882863</v>
      </c>
      <c r="C1003" s="39">
        <f t="shared" si="51"/>
        <v>3611300000</v>
      </c>
      <c r="D1003" s="76">
        <f t="shared" si="52"/>
        <v>583143385.8117137</v>
      </c>
    </row>
    <row r="1004" spans="1:4" x14ac:dyDescent="0.3">
      <c r="A1004">
        <v>469500</v>
      </c>
      <c r="B1004" s="29">
        <f t="shared" si="50"/>
        <v>3031351121.8789463</v>
      </c>
      <c r="C1004" s="39">
        <f t="shared" si="51"/>
        <v>3615150000</v>
      </c>
      <c r="D1004" s="76">
        <f t="shared" si="52"/>
        <v>583798878.1210537</v>
      </c>
    </row>
    <row r="1005" spans="1:4" x14ac:dyDescent="0.3">
      <c r="A1005">
        <v>470000</v>
      </c>
      <c r="B1005" s="29">
        <f t="shared" si="50"/>
        <v>3034545629.5696063</v>
      </c>
      <c r="C1005" s="39">
        <f t="shared" si="51"/>
        <v>3619000000</v>
      </c>
      <c r="D1005" s="76">
        <f t="shared" si="52"/>
        <v>584454370.4303937</v>
      </c>
    </row>
    <row r="1006" spans="1:4" x14ac:dyDescent="0.3">
      <c r="A1006">
        <v>470500</v>
      </c>
      <c r="B1006" s="29">
        <f t="shared" si="50"/>
        <v>3037740137.2602663</v>
      </c>
      <c r="C1006" s="39">
        <f t="shared" si="51"/>
        <v>3622850000</v>
      </c>
      <c r="D1006" s="76">
        <f t="shared" si="52"/>
        <v>585109862.7397337</v>
      </c>
    </row>
    <row r="1007" spans="1:4" x14ac:dyDescent="0.3">
      <c r="A1007">
        <v>471000</v>
      </c>
      <c r="B1007" s="29">
        <f t="shared" si="50"/>
        <v>3040934644.9509263</v>
      </c>
      <c r="C1007" s="39">
        <f t="shared" si="51"/>
        <v>3626700000</v>
      </c>
      <c r="D1007" s="76">
        <f t="shared" si="52"/>
        <v>585765355.0490737</v>
      </c>
    </row>
    <row r="1008" spans="1:4" x14ac:dyDescent="0.3">
      <c r="A1008">
        <v>471500</v>
      </c>
      <c r="B1008" s="29">
        <f t="shared" si="50"/>
        <v>3044129152.6415863</v>
      </c>
      <c r="C1008" s="39">
        <f t="shared" si="51"/>
        <v>3630550000</v>
      </c>
      <c r="D1008" s="76">
        <f t="shared" si="52"/>
        <v>586420847.3584137</v>
      </c>
    </row>
    <row r="1009" spans="1:4" x14ac:dyDescent="0.3">
      <c r="A1009">
        <v>472000</v>
      </c>
      <c r="B1009" s="29">
        <f t="shared" si="50"/>
        <v>3047323660.3322463</v>
      </c>
      <c r="C1009" s="39">
        <f t="shared" si="51"/>
        <v>3634400000</v>
      </c>
      <c r="D1009" s="76">
        <f t="shared" si="52"/>
        <v>587076339.6677537</v>
      </c>
    </row>
    <row r="1010" spans="1:4" x14ac:dyDescent="0.3">
      <c r="A1010">
        <v>472500</v>
      </c>
      <c r="B1010" s="29">
        <f t="shared" si="50"/>
        <v>3050518168.0229063</v>
      </c>
      <c r="C1010" s="39">
        <f t="shared" si="51"/>
        <v>3638250000</v>
      </c>
      <c r="D1010" s="76">
        <f t="shared" si="52"/>
        <v>587731831.9770937</v>
      </c>
    </row>
    <row r="1011" spans="1:4" x14ac:dyDescent="0.3">
      <c r="A1011">
        <v>473000</v>
      </c>
      <c r="B1011" s="29">
        <f t="shared" si="50"/>
        <v>3053712675.7135663</v>
      </c>
      <c r="C1011" s="39">
        <f t="shared" si="51"/>
        <v>3642100000</v>
      </c>
      <c r="D1011" s="76">
        <f t="shared" si="52"/>
        <v>588387324.2864337</v>
      </c>
    </row>
    <row r="1012" spans="1:4" x14ac:dyDescent="0.3">
      <c r="A1012">
        <v>473500</v>
      </c>
      <c r="B1012" s="29">
        <f t="shared" si="50"/>
        <v>3056907183.4042263</v>
      </c>
      <c r="C1012" s="39">
        <f t="shared" si="51"/>
        <v>3645950000</v>
      </c>
      <c r="D1012" s="76">
        <f t="shared" si="52"/>
        <v>589042816.5957737</v>
      </c>
    </row>
    <row r="1013" spans="1:4" x14ac:dyDescent="0.3">
      <c r="A1013">
        <v>474000</v>
      </c>
      <c r="B1013" s="29">
        <f t="shared" si="50"/>
        <v>3060101691.0948863</v>
      </c>
      <c r="C1013" s="39">
        <f t="shared" si="51"/>
        <v>3649800000</v>
      </c>
      <c r="D1013" s="76">
        <f t="shared" si="52"/>
        <v>589698308.9051137</v>
      </c>
    </row>
    <row r="1014" spans="1:4" x14ac:dyDescent="0.3">
      <c r="A1014">
        <v>474500</v>
      </c>
      <c r="B1014" s="29">
        <f t="shared" si="50"/>
        <v>3063296198.7855463</v>
      </c>
      <c r="C1014" s="39">
        <f t="shared" si="51"/>
        <v>3653650000</v>
      </c>
      <c r="D1014" s="76">
        <f t="shared" si="52"/>
        <v>590353801.2144537</v>
      </c>
    </row>
    <row r="1015" spans="1:4" x14ac:dyDescent="0.3">
      <c r="A1015">
        <v>475000</v>
      </c>
      <c r="B1015" s="29">
        <f t="shared" si="50"/>
        <v>3066490706.4762063</v>
      </c>
      <c r="C1015" s="39">
        <f t="shared" si="51"/>
        <v>3657500000</v>
      </c>
      <c r="D1015" s="76">
        <f t="shared" si="52"/>
        <v>591009293.5237937</v>
      </c>
    </row>
    <row r="1016" spans="1:4" x14ac:dyDescent="0.3">
      <c r="A1016">
        <v>475500</v>
      </c>
      <c r="B1016" s="29">
        <f t="shared" si="50"/>
        <v>3069685214.1668663</v>
      </c>
      <c r="C1016" s="39">
        <f t="shared" si="51"/>
        <v>3661350000</v>
      </c>
      <c r="D1016" s="76">
        <f t="shared" si="52"/>
        <v>591664785.8331337</v>
      </c>
    </row>
    <row r="1017" spans="1:4" x14ac:dyDescent="0.3">
      <c r="A1017">
        <v>476000</v>
      </c>
      <c r="B1017" s="29">
        <f t="shared" si="50"/>
        <v>3072879721.8575263</v>
      </c>
      <c r="C1017" s="39">
        <f t="shared" si="51"/>
        <v>3665200000</v>
      </c>
      <c r="D1017" s="76">
        <f t="shared" si="52"/>
        <v>592320278.1424737</v>
      </c>
    </row>
    <row r="1018" spans="1:4" x14ac:dyDescent="0.3">
      <c r="A1018">
        <v>476500</v>
      </c>
      <c r="B1018" s="29">
        <f t="shared" si="50"/>
        <v>3076074229.5481863</v>
      </c>
      <c r="C1018" s="39">
        <f t="shared" si="51"/>
        <v>3669050000</v>
      </c>
      <c r="D1018" s="76">
        <f t="shared" si="52"/>
        <v>592975770.4518137</v>
      </c>
    </row>
    <row r="1019" spans="1:4" x14ac:dyDescent="0.3">
      <c r="A1019">
        <v>477000</v>
      </c>
      <c r="B1019" s="29">
        <f t="shared" si="50"/>
        <v>3079268737.2388463</v>
      </c>
      <c r="C1019" s="39">
        <f t="shared" si="51"/>
        <v>3672900000</v>
      </c>
      <c r="D1019" s="76">
        <f t="shared" si="52"/>
        <v>593631262.7611537</v>
      </c>
    </row>
    <row r="1020" spans="1:4" x14ac:dyDescent="0.3">
      <c r="A1020">
        <v>477500</v>
      </c>
      <c r="B1020" s="29">
        <f t="shared" si="50"/>
        <v>3082463244.9295063</v>
      </c>
      <c r="C1020" s="39">
        <f t="shared" si="51"/>
        <v>3676750000</v>
      </c>
      <c r="D1020" s="76">
        <f t="shared" si="52"/>
        <v>594286755.0704937</v>
      </c>
    </row>
    <row r="1021" spans="1:4" x14ac:dyDescent="0.3">
      <c r="A1021">
        <v>478000</v>
      </c>
      <c r="B1021" s="29">
        <f t="shared" si="50"/>
        <v>3085657752.6201663</v>
      </c>
      <c r="C1021" s="39">
        <f t="shared" si="51"/>
        <v>3680600000</v>
      </c>
      <c r="D1021" s="76">
        <f t="shared" si="52"/>
        <v>594942247.3798337</v>
      </c>
    </row>
    <row r="1022" spans="1:4" x14ac:dyDescent="0.3">
      <c r="A1022">
        <v>478500</v>
      </c>
      <c r="B1022" s="29">
        <f t="shared" si="50"/>
        <v>3088852260.3108263</v>
      </c>
      <c r="C1022" s="39">
        <f t="shared" si="51"/>
        <v>3684450000</v>
      </c>
      <c r="D1022" s="76">
        <f t="shared" si="52"/>
        <v>595597739.6891737</v>
      </c>
    </row>
    <row r="1023" spans="1:4" x14ac:dyDescent="0.3">
      <c r="A1023">
        <v>479000</v>
      </c>
      <c r="B1023" s="29">
        <f t="shared" si="50"/>
        <v>3092046768.0014863</v>
      </c>
      <c r="C1023" s="39">
        <f t="shared" si="51"/>
        <v>3688300000</v>
      </c>
      <c r="D1023" s="76">
        <f t="shared" si="52"/>
        <v>596253231.9985137</v>
      </c>
    </row>
    <row r="1024" spans="1:4" x14ac:dyDescent="0.3">
      <c r="A1024">
        <v>479500</v>
      </c>
      <c r="B1024" s="29">
        <f t="shared" si="50"/>
        <v>3095241275.6921463</v>
      </c>
      <c r="C1024" s="39">
        <f t="shared" si="51"/>
        <v>3692150000</v>
      </c>
      <c r="D1024" s="76">
        <f t="shared" si="52"/>
        <v>596908724.3078537</v>
      </c>
    </row>
    <row r="1025" spans="1:4" x14ac:dyDescent="0.3">
      <c r="A1025">
        <v>480000</v>
      </c>
      <c r="B1025" s="29">
        <f t="shared" si="50"/>
        <v>3098435783.3828063</v>
      </c>
      <c r="C1025" s="39">
        <f t="shared" si="51"/>
        <v>3696000000</v>
      </c>
      <c r="D1025" s="76">
        <f t="shared" si="52"/>
        <v>597564216.6171937</v>
      </c>
    </row>
    <row r="1026" spans="1:4" x14ac:dyDescent="0.3">
      <c r="A1026">
        <v>480500</v>
      </c>
      <c r="B1026" s="29">
        <f t="shared" ref="B1026:B1089" si="53">$B$54+($B$60*A1026)</f>
        <v>3101630291.0734663</v>
      </c>
      <c r="C1026" s="39">
        <f t="shared" ref="C1026:C1089" si="54">$E$50*A1026</f>
        <v>3699850000</v>
      </c>
      <c r="D1026" s="76">
        <f t="shared" ref="D1026:D1089" si="55">C1026-B1026</f>
        <v>598219708.9265337</v>
      </c>
    </row>
    <row r="1027" spans="1:4" x14ac:dyDescent="0.3">
      <c r="A1027">
        <v>481000</v>
      </c>
      <c r="B1027" s="29">
        <f t="shared" si="53"/>
        <v>3104824798.7641263</v>
      </c>
      <c r="C1027" s="39">
        <f t="shared" si="54"/>
        <v>3703700000</v>
      </c>
      <c r="D1027" s="76">
        <f t="shared" si="55"/>
        <v>598875201.2358737</v>
      </c>
    </row>
    <row r="1028" spans="1:4" x14ac:dyDescent="0.3">
      <c r="A1028">
        <v>481500</v>
      </c>
      <c r="B1028" s="29">
        <f t="shared" si="53"/>
        <v>3108019306.4547863</v>
      </c>
      <c r="C1028" s="39">
        <f t="shared" si="54"/>
        <v>3707550000</v>
      </c>
      <c r="D1028" s="76">
        <f t="shared" si="55"/>
        <v>599530693.5452137</v>
      </c>
    </row>
    <row r="1029" spans="1:4" x14ac:dyDescent="0.3">
      <c r="A1029">
        <v>482000</v>
      </c>
      <c r="B1029" s="29">
        <f t="shared" si="53"/>
        <v>3111213814.1454463</v>
      </c>
      <c r="C1029" s="39">
        <f t="shared" si="54"/>
        <v>3711400000</v>
      </c>
      <c r="D1029" s="76">
        <f t="shared" si="55"/>
        <v>600186185.8545537</v>
      </c>
    </row>
    <row r="1030" spans="1:4" x14ac:dyDescent="0.3">
      <c r="A1030">
        <v>482500</v>
      </c>
      <c r="B1030" s="29">
        <f t="shared" si="53"/>
        <v>3114408321.8361063</v>
      </c>
      <c r="C1030" s="39">
        <f t="shared" si="54"/>
        <v>3715250000</v>
      </c>
      <c r="D1030" s="76">
        <f t="shared" si="55"/>
        <v>600841678.1638937</v>
      </c>
    </row>
    <row r="1031" spans="1:4" x14ac:dyDescent="0.3">
      <c r="A1031">
        <v>483000</v>
      </c>
      <c r="B1031" s="29">
        <f t="shared" si="53"/>
        <v>3117602829.5267663</v>
      </c>
      <c r="C1031" s="39">
        <f t="shared" si="54"/>
        <v>3719100000</v>
      </c>
      <c r="D1031" s="76">
        <f t="shared" si="55"/>
        <v>601497170.4732337</v>
      </c>
    </row>
    <row r="1032" spans="1:4" x14ac:dyDescent="0.3">
      <c r="A1032">
        <v>483500</v>
      </c>
      <c r="B1032" s="29">
        <f t="shared" si="53"/>
        <v>3120797337.2174263</v>
      </c>
      <c r="C1032" s="39">
        <f t="shared" si="54"/>
        <v>3722950000</v>
      </c>
      <c r="D1032" s="76">
        <f t="shared" si="55"/>
        <v>602152662.7825737</v>
      </c>
    </row>
    <row r="1033" spans="1:4" x14ac:dyDescent="0.3">
      <c r="A1033">
        <v>484000</v>
      </c>
      <c r="B1033" s="29">
        <f t="shared" si="53"/>
        <v>3123991844.9080863</v>
      </c>
      <c r="C1033" s="39">
        <f t="shared" si="54"/>
        <v>3726800000</v>
      </c>
      <c r="D1033" s="76">
        <f t="shared" si="55"/>
        <v>602808155.0919137</v>
      </c>
    </row>
    <row r="1034" spans="1:4" x14ac:dyDescent="0.3">
      <c r="A1034">
        <v>484500</v>
      </c>
      <c r="B1034" s="29">
        <f t="shared" si="53"/>
        <v>3127186352.5987463</v>
      </c>
      <c r="C1034" s="39">
        <f t="shared" si="54"/>
        <v>3730650000</v>
      </c>
      <c r="D1034" s="76">
        <f t="shared" si="55"/>
        <v>603463647.4012537</v>
      </c>
    </row>
    <row r="1035" spans="1:4" x14ac:dyDescent="0.3">
      <c r="A1035">
        <v>485000</v>
      </c>
      <c r="B1035" s="29">
        <f t="shared" si="53"/>
        <v>3130380860.2894063</v>
      </c>
      <c r="C1035" s="39">
        <f t="shared" si="54"/>
        <v>3734500000</v>
      </c>
      <c r="D1035" s="76">
        <f t="shared" si="55"/>
        <v>604119139.7105937</v>
      </c>
    </row>
    <row r="1036" spans="1:4" x14ac:dyDescent="0.3">
      <c r="A1036">
        <v>485500</v>
      </c>
      <c r="B1036" s="29">
        <f t="shared" si="53"/>
        <v>3133575367.9800663</v>
      </c>
      <c r="C1036" s="39">
        <f t="shared" si="54"/>
        <v>3738350000</v>
      </c>
      <c r="D1036" s="76">
        <f t="shared" si="55"/>
        <v>604774632.0199337</v>
      </c>
    </row>
    <row r="1037" spans="1:4" x14ac:dyDescent="0.3">
      <c r="A1037">
        <v>486000</v>
      </c>
      <c r="B1037" s="29">
        <f t="shared" si="53"/>
        <v>3136769875.6707263</v>
      </c>
      <c r="C1037" s="39">
        <f t="shared" si="54"/>
        <v>3742200000</v>
      </c>
      <c r="D1037" s="76">
        <f t="shared" si="55"/>
        <v>605430124.3292737</v>
      </c>
    </row>
    <row r="1038" spans="1:4" x14ac:dyDescent="0.3">
      <c r="A1038">
        <v>486500</v>
      </c>
      <c r="B1038" s="29">
        <f t="shared" si="53"/>
        <v>3139964383.3613863</v>
      </c>
      <c r="C1038" s="39">
        <f t="shared" si="54"/>
        <v>3746050000</v>
      </c>
      <c r="D1038" s="76">
        <f t="shared" si="55"/>
        <v>606085616.6386137</v>
      </c>
    </row>
    <row r="1039" spans="1:4" x14ac:dyDescent="0.3">
      <c r="A1039">
        <v>487000</v>
      </c>
      <c r="B1039" s="29">
        <f t="shared" si="53"/>
        <v>3143158891.0520463</v>
      </c>
      <c r="C1039" s="39">
        <f t="shared" si="54"/>
        <v>3749900000</v>
      </c>
      <c r="D1039" s="76">
        <f t="shared" si="55"/>
        <v>606741108.9479537</v>
      </c>
    </row>
    <row r="1040" spans="1:4" x14ac:dyDescent="0.3">
      <c r="A1040">
        <v>487500</v>
      </c>
      <c r="B1040" s="29">
        <f t="shared" si="53"/>
        <v>3146353398.7427063</v>
      </c>
      <c r="C1040" s="39">
        <f t="shared" si="54"/>
        <v>3753750000</v>
      </c>
      <c r="D1040" s="76">
        <f t="shared" si="55"/>
        <v>607396601.2572937</v>
      </c>
    </row>
    <row r="1041" spans="1:4" x14ac:dyDescent="0.3">
      <c r="A1041">
        <v>488000</v>
      </c>
      <c r="B1041" s="29">
        <f t="shared" si="53"/>
        <v>3149547906.4333663</v>
      </c>
      <c r="C1041" s="39">
        <f t="shared" si="54"/>
        <v>3757600000</v>
      </c>
      <c r="D1041" s="76">
        <f t="shared" si="55"/>
        <v>608052093.5666337</v>
      </c>
    </row>
    <row r="1042" spans="1:4" x14ac:dyDescent="0.3">
      <c r="A1042">
        <v>488500</v>
      </c>
      <c r="B1042" s="29">
        <f t="shared" si="53"/>
        <v>3152742414.1240263</v>
      </c>
      <c r="C1042" s="39">
        <f t="shared" si="54"/>
        <v>3761450000</v>
      </c>
      <c r="D1042" s="76">
        <f t="shared" si="55"/>
        <v>608707585.8759737</v>
      </c>
    </row>
    <row r="1043" spans="1:4" x14ac:dyDescent="0.3">
      <c r="A1043">
        <v>489000</v>
      </c>
      <c r="B1043" s="29">
        <f t="shared" si="53"/>
        <v>3155936921.8146863</v>
      </c>
      <c r="C1043" s="39">
        <f t="shared" si="54"/>
        <v>3765300000</v>
      </c>
      <c r="D1043" s="76">
        <f t="shared" si="55"/>
        <v>609363078.1853137</v>
      </c>
    </row>
    <row r="1044" spans="1:4" x14ac:dyDescent="0.3">
      <c r="A1044">
        <v>489500</v>
      </c>
      <c r="B1044" s="29">
        <f t="shared" si="53"/>
        <v>3159131429.5053463</v>
      </c>
      <c r="C1044" s="39">
        <f t="shared" si="54"/>
        <v>3769150000</v>
      </c>
      <c r="D1044" s="76">
        <f t="shared" si="55"/>
        <v>610018570.4946537</v>
      </c>
    </row>
    <row r="1045" spans="1:4" x14ac:dyDescent="0.3">
      <c r="A1045">
        <v>490000</v>
      </c>
      <c r="B1045" s="29">
        <f t="shared" si="53"/>
        <v>3162325937.1960063</v>
      </c>
      <c r="C1045" s="39">
        <f t="shared" si="54"/>
        <v>3773000000</v>
      </c>
      <c r="D1045" s="76">
        <f t="shared" si="55"/>
        <v>610674062.8039937</v>
      </c>
    </row>
    <row r="1046" spans="1:4" x14ac:dyDescent="0.3">
      <c r="A1046">
        <v>490500</v>
      </c>
      <c r="B1046" s="29">
        <f t="shared" si="53"/>
        <v>3165520444.8866663</v>
      </c>
      <c r="C1046" s="39">
        <f t="shared" si="54"/>
        <v>3776850000</v>
      </c>
      <c r="D1046" s="76">
        <f t="shared" si="55"/>
        <v>611329555.1133337</v>
      </c>
    </row>
    <row r="1047" spans="1:4" x14ac:dyDescent="0.3">
      <c r="A1047">
        <v>491000</v>
      </c>
      <c r="B1047" s="29">
        <f t="shared" si="53"/>
        <v>3168714952.5773263</v>
      </c>
      <c r="C1047" s="39">
        <f t="shared" si="54"/>
        <v>3780700000</v>
      </c>
      <c r="D1047" s="76">
        <f t="shared" si="55"/>
        <v>611985047.4226737</v>
      </c>
    </row>
    <row r="1048" spans="1:4" x14ac:dyDescent="0.3">
      <c r="A1048">
        <v>491500</v>
      </c>
      <c r="B1048" s="29">
        <f t="shared" si="53"/>
        <v>3171909460.2679863</v>
      </c>
      <c r="C1048" s="39">
        <f t="shared" si="54"/>
        <v>3784550000</v>
      </c>
      <c r="D1048" s="76">
        <f t="shared" si="55"/>
        <v>612640539.7320137</v>
      </c>
    </row>
    <row r="1049" spans="1:4" x14ac:dyDescent="0.3">
      <c r="A1049">
        <v>492000</v>
      </c>
      <c r="B1049" s="29">
        <f t="shared" si="53"/>
        <v>3175103967.9586463</v>
      </c>
      <c r="C1049" s="39">
        <f t="shared" si="54"/>
        <v>3788400000</v>
      </c>
      <c r="D1049" s="76">
        <f t="shared" si="55"/>
        <v>613296032.0413537</v>
      </c>
    </row>
    <row r="1050" spans="1:4" x14ac:dyDescent="0.3">
      <c r="A1050">
        <v>492500</v>
      </c>
      <c r="B1050" s="29">
        <f t="shared" si="53"/>
        <v>3178298475.6493063</v>
      </c>
      <c r="C1050" s="39">
        <f t="shared" si="54"/>
        <v>3792250000</v>
      </c>
      <c r="D1050" s="76">
        <f t="shared" si="55"/>
        <v>613951524.3506937</v>
      </c>
    </row>
    <row r="1051" spans="1:4" x14ac:dyDescent="0.3">
      <c r="A1051">
        <v>493000</v>
      </c>
      <c r="B1051" s="29">
        <f t="shared" si="53"/>
        <v>3181492983.3399663</v>
      </c>
      <c r="C1051" s="39">
        <f t="shared" si="54"/>
        <v>3796100000</v>
      </c>
      <c r="D1051" s="76">
        <f t="shared" si="55"/>
        <v>614607016.6600337</v>
      </c>
    </row>
    <row r="1052" spans="1:4" x14ac:dyDescent="0.3">
      <c r="A1052">
        <v>493500</v>
      </c>
      <c r="B1052" s="29">
        <f t="shared" si="53"/>
        <v>3184687491.0306263</v>
      </c>
      <c r="C1052" s="39">
        <f t="shared" si="54"/>
        <v>3799950000</v>
      </c>
      <c r="D1052" s="76">
        <f t="shared" si="55"/>
        <v>615262508.9693737</v>
      </c>
    </row>
    <row r="1053" spans="1:4" x14ac:dyDescent="0.3">
      <c r="A1053">
        <v>494000</v>
      </c>
      <c r="B1053" s="29">
        <f t="shared" si="53"/>
        <v>3187881998.7212863</v>
      </c>
      <c r="C1053" s="39">
        <f t="shared" si="54"/>
        <v>3803800000</v>
      </c>
      <c r="D1053" s="76">
        <f t="shared" si="55"/>
        <v>615918001.2787137</v>
      </c>
    </row>
    <row r="1054" spans="1:4" x14ac:dyDescent="0.3">
      <c r="A1054">
        <v>494500</v>
      </c>
      <c r="B1054" s="29">
        <f t="shared" si="53"/>
        <v>3191076506.4119463</v>
      </c>
      <c r="C1054" s="39">
        <f t="shared" si="54"/>
        <v>3807650000</v>
      </c>
      <c r="D1054" s="76">
        <f t="shared" si="55"/>
        <v>616573493.5880537</v>
      </c>
    </row>
    <row r="1055" spans="1:4" x14ac:dyDescent="0.3">
      <c r="A1055">
        <v>495000</v>
      </c>
      <c r="B1055" s="29">
        <f t="shared" si="53"/>
        <v>3194271014.1026063</v>
      </c>
      <c r="C1055" s="39">
        <f t="shared" si="54"/>
        <v>3811500000</v>
      </c>
      <c r="D1055" s="76">
        <f t="shared" si="55"/>
        <v>617228985.8973937</v>
      </c>
    </row>
    <row r="1056" spans="1:4" x14ac:dyDescent="0.3">
      <c r="A1056">
        <v>495500</v>
      </c>
      <c r="B1056" s="29">
        <f t="shared" si="53"/>
        <v>3197465521.7932663</v>
      </c>
      <c r="C1056" s="39">
        <f t="shared" si="54"/>
        <v>3815350000</v>
      </c>
      <c r="D1056" s="76">
        <f t="shared" si="55"/>
        <v>617884478.2067337</v>
      </c>
    </row>
    <row r="1057" spans="1:4" x14ac:dyDescent="0.3">
      <c r="A1057">
        <v>496000</v>
      </c>
      <c r="B1057" s="29">
        <f t="shared" si="53"/>
        <v>3200660029.4839263</v>
      </c>
      <c r="C1057" s="39">
        <f t="shared" si="54"/>
        <v>3819200000</v>
      </c>
      <c r="D1057" s="76">
        <f t="shared" si="55"/>
        <v>618539970.5160737</v>
      </c>
    </row>
    <row r="1058" spans="1:4" x14ac:dyDescent="0.3">
      <c r="A1058">
        <v>496500</v>
      </c>
      <c r="B1058" s="29">
        <f t="shared" si="53"/>
        <v>3203854537.1745863</v>
      </c>
      <c r="C1058" s="39">
        <f t="shared" si="54"/>
        <v>3823050000</v>
      </c>
      <c r="D1058" s="76">
        <f t="shared" si="55"/>
        <v>619195462.8254137</v>
      </c>
    </row>
    <row r="1059" spans="1:4" x14ac:dyDescent="0.3">
      <c r="A1059">
        <v>497000</v>
      </c>
      <c r="B1059" s="29">
        <f t="shared" si="53"/>
        <v>3207049044.8652463</v>
      </c>
      <c r="C1059" s="39">
        <f t="shared" si="54"/>
        <v>3826900000</v>
      </c>
      <c r="D1059" s="76">
        <f t="shared" si="55"/>
        <v>619850955.1347537</v>
      </c>
    </row>
    <row r="1060" spans="1:4" x14ac:dyDescent="0.3">
      <c r="A1060">
        <v>497500</v>
      </c>
      <c r="B1060" s="29">
        <f t="shared" si="53"/>
        <v>3210243552.5559063</v>
      </c>
      <c r="C1060" s="39">
        <f t="shared" si="54"/>
        <v>3830750000</v>
      </c>
      <c r="D1060" s="76">
        <f t="shared" si="55"/>
        <v>620506447.4440937</v>
      </c>
    </row>
    <row r="1061" spans="1:4" x14ac:dyDescent="0.3">
      <c r="A1061">
        <v>498000</v>
      </c>
      <c r="B1061" s="29">
        <f t="shared" si="53"/>
        <v>3213438060.2465663</v>
      </c>
      <c r="C1061" s="39">
        <f t="shared" si="54"/>
        <v>3834600000</v>
      </c>
      <c r="D1061" s="76">
        <f t="shared" si="55"/>
        <v>621161939.7534337</v>
      </c>
    </row>
    <row r="1062" spans="1:4" x14ac:dyDescent="0.3">
      <c r="A1062">
        <v>498500</v>
      </c>
      <c r="B1062" s="29">
        <f t="shared" si="53"/>
        <v>3216632567.9372263</v>
      </c>
      <c r="C1062" s="39">
        <f t="shared" si="54"/>
        <v>3838450000</v>
      </c>
      <c r="D1062" s="76">
        <f t="shared" si="55"/>
        <v>621817432.0627737</v>
      </c>
    </row>
    <row r="1063" spans="1:4" x14ac:dyDescent="0.3">
      <c r="A1063">
        <v>499000</v>
      </c>
      <c r="B1063" s="29">
        <f t="shared" si="53"/>
        <v>3219827075.6278863</v>
      </c>
      <c r="C1063" s="39">
        <f t="shared" si="54"/>
        <v>3842300000</v>
      </c>
      <c r="D1063" s="76">
        <f t="shared" si="55"/>
        <v>622472924.3721137</v>
      </c>
    </row>
    <row r="1064" spans="1:4" x14ac:dyDescent="0.3">
      <c r="A1064">
        <v>499500</v>
      </c>
      <c r="B1064" s="29">
        <f t="shared" si="53"/>
        <v>3223021583.3185463</v>
      </c>
      <c r="C1064" s="39">
        <f t="shared" si="54"/>
        <v>3846150000</v>
      </c>
      <c r="D1064" s="76">
        <f t="shared" si="55"/>
        <v>623128416.6814537</v>
      </c>
    </row>
    <row r="1065" spans="1:4" x14ac:dyDescent="0.3">
      <c r="A1065">
        <v>500000</v>
      </c>
      <c r="B1065" s="29">
        <f t="shared" si="53"/>
        <v>3226216091.0092063</v>
      </c>
      <c r="C1065" s="39">
        <f t="shared" si="54"/>
        <v>3850000000</v>
      </c>
      <c r="D1065" s="76">
        <f t="shared" si="55"/>
        <v>623783908.9907937</v>
      </c>
    </row>
    <row r="1066" spans="1:4" x14ac:dyDescent="0.3">
      <c r="A1066">
        <v>500500</v>
      </c>
      <c r="B1066" s="29">
        <f t="shared" si="53"/>
        <v>3229410598.6998663</v>
      </c>
      <c r="C1066" s="39">
        <f t="shared" si="54"/>
        <v>3853850000</v>
      </c>
      <c r="D1066" s="76">
        <f t="shared" si="55"/>
        <v>624439401.30013371</v>
      </c>
    </row>
    <row r="1067" spans="1:4" x14ac:dyDescent="0.3">
      <c r="A1067">
        <v>501000</v>
      </c>
      <c r="B1067" s="29">
        <f t="shared" si="53"/>
        <v>3232605106.3905263</v>
      </c>
      <c r="C1067" s="39">
        <f t="shared" si="54"/>
        <v>3857700000</v>
      </c>
      <c r="D1067" s="76">
        <f t="shared" si="55"/>
        <v>625094893.60947371</v>
      </c>
    </row>
    <row r="1068" spans="1:4" x14ac:dyDescent="0.3">
      <c r="A1068">
        <v>501500</v>
      </c>
      <c r="B1068" s="29">
        <f t="shared" si="53"/>
        <v>3235799614.0811863</v>
      </c>
      <c r="C1068" s="39">
        <f t="shared" si="54"/>
        <v>3861550000</v>
      </c>
      <c r="D1068" s="76">
        <f t="shared" si="55"/>
        <v>625750385.91881371</v>
      </c>
    </row>
    <row r="1069" spans="1:4" x14ac:dyDescent="0.3">
      <c r="A1069">
        <v>502000</v>
      </c>
      <c r="B1069" s="29">
        <f t="shared" si="53"/>
        <v>3238994121.7718463</v>
      </c>
      <c r="C1069" s="39">
        <f t="shared" si="54"/>
        <v>3865400000</v>
      </c>
      <c r="D1069" s="76">
        <f t="shared" si="55"/>
        <v>626405878.22815371</v>
      </c>
    </row>
    <row r="1070" spans="1:4" x14ac:dyDescent="0.3">
      <c r="A1070">
        <v>502500</v>
      </c>
      <c r="B1070" s="29">
        <f t="shared" si="53"/>
        <v>3242188629.4625063</v>
      </c>
      <c r="C1070" s="39">
        <f t="shared" si="54"/>
        <v>3869250000</v>
      </c>
      <c r="D1070" s="76">
        <f t="shared" si="55"/>
        <v>627061370.53749371</v>
      </c>
    </row>
    <row r="1071" spans="1:4" x14ac:dyDescent="0.3">
      <c r="A1071">
        <v>503000</v>
      </c>
      <c r="B1071" s="29">
        <f t="shared" si="53"/>
        <v>3245383137.1531663</v>
      </c>
      <c r="C1071" s="39">
        <f t="shared" si="54"/>
        <v>3873100000</v>
      </c>
      <c r="D1071" s="76">
        <f t="shared" si="55"/>
        <v>627716862.84683371</v>
      </c>
    </row>
    <row r="1072" spans="1:4" x14ac:dyDescent="0.3">
      <c r="A1072">
        <v>503500</v>
      </c>
      <c r="B1072" s="29">
        <f t="shared" si="53"/>
        <v>3248577644.8438263</v>
      </c>
      <c r="C1072" s="39">
        <f t="shared" si="54"/>
        <v>3876950000</v>
      </c>
      <c r="D1072" s="76">
        <f t="shared" si="55"/>
        <v>628372355.15617371</v>
      </c>
    </row>
    <row r="1073" spans="1:4" x14ac:dyDescent="0.3">
      <c r="A1073">
        <v>504000</v>
      </c>
      <c r="B1073" s="29">
        <f t="shared" si="53"/>
        <v>3251772152.5344863</v>
      </c>
      <c r="C1073" s="39">
        <f t="shared" si="54"/>
        <v>3880800000</v>
      </c>
      <c r="D1073" s="76">
        <f t="shared" si="55"/>
        <v>629027847.46551371</v>
      </c>
    </row>
    <row r="1074" spans="1:4" x14ac:dyDescent="0.3">
      <c r="A1074">
        <v>504500</v>
      </c>
      <c r="B1074" s="29">
        <f t="shared" si="53"/>
        <v>3254966660.2251463</v>
      </c>
      <c r="C1074" s="39">
        <f t="shared" si="54"/>
        <v>3884650000</v>
      </c>
      <c r="D1074" s="76">
        <f t="shared" si="55"/>
        <v>629683339.77485371</v>
      </c>
    </row>
    <row r="1075" spans="1:4" x14ac:dyDescent="0.3">
      <c r="A1075">
        <v>505000</v>
      </c>
      <c r="B1075" s="29">
        <f t="shared" si="53"/>
        <v>3258161167.9158063</v>
      </c>
      <c r="C1075" s="39">
        <f t="shared" si="54"/>
        <v>3888500000</v>
      </c>
      <c r="D1075" s="76">
        <f t="shared" si="55"/>
        <v>630338832.08419371</v>
      </c>
    </row>
    <row r="1076" spans="1:4" x14ac:dyDescent="0.3">
      <c r="A1076">
        <v>505500</v>
      </c>
      <c r="B1076" s="29">
        <f t="shared" si="53"/>
        <v>3261355675.6064663</v>
      </c>
      <c r="C1076" s="39">
        <f t="shared" si="54"/>
        <v>3892350000</v>
      </c>
      <c r="D1076" s="76">
        <f t="shared" si="55"/>
        <v>630994324.39353371</v>
      </c>
    </row>
    <row r="1077" spans="1:4" x14ac:dyDescent="0.3">
      <c r="A1077">
        <v>506000</v>
      </c>
      <c r="B1077" s="29">
        <f t="shared" si="53"/>
        <v>3264550183.2971263</v>
      </c>
      <c r="C1077" s="39">
        <f t="shared" si="54"/>
        <v>3896200000</v>
      </c>
      <c r="D1077" s="76">
        <f t="shared" si="55"/>
        <v>631649816.70287371</v>
      </c>
    </row>
    <row r="1078" spans="1:4" x14ac:dyDescent="0.3">
      <c r="A1078">
        <v>506500</v>
      </c>
      <c r="B1078" s="29">
        <f t="shared" si="53"/>
        <v>3267744690.9877863</v>
      </c>
      <c r="C1078" s="39">
        <f t="shared" si="54"/>
        <v>3900050000</v>
      </c>
      <c r="D1078" s="76">
        <f t="shared" si="55"/>
        <v>632305309.01221371</v>
      </c>
    </row>
    <row r="1079" spans="1:4" x14ac:dyDescent="0.3">
      <c r="A1079">
        <v>507000</v>
      </c>
      <c r="B1079" s="29">
        <f t="shared" si="53"/>
        <v>3270939198.6784463</v>
      </c>
      <c r="C1079" s="39">
        <f t="shared" si="54"/>
        <v>3903900000</v>
      </c>
      <c r="D1079" s="76">
        <f t="shared" si="55"/>
        <v>632960801.32155371</v>
      </c>
    </row>
    <row r="1080" spans="1:4" x14ac:dyDescent="0.3">
      <c r="A1080">
        <v>507500</v>
      </c>
      <c r="B1080" s="29">
        <f t="shared" si="53"/>
        <v>3274133706.3691063</v>
      </c>
      <c r="C1080" s="39">
        <f t="shared" si="54"/>
        <v>3907750000</v>
      </c>
      <c r="D1080" s="76">
        <f t="shared" si="55"/>
        <v>633616293.63089371</v>
      </c>
    </row>
    <row r="1081" spans="1:4" x14ac:dyDescent="0.3">
      <c r="A1081">
        <v>508000</v>
      </c>
      <c r="B1081" s="29">
        <f t="shared" si="53"/>
        <v>3277328214.0597663</v>
      </c>
      <c r="C1081" s="39">
        <f t="shared" si="54"/>
        <v>3911600000</v>
      </c>
      <c r="D1081" s="76">
        <f t="shared" si="55"/>
        <v>634271785.94023371</v>
      </c>
    </row>
    <row r="1082" spans="1:4" x14ac:dyDescent="0.3">
      <c r="A1082">
        <v>508500</v>
      </c>
      <c r="B1082" s="29">
        <f t="shared" si="53"/>
        <v>3280522721.7504263</v>
      </c>
      <c r="C1082" s="39">
        <f t="shared" si="54"/>
        <v>3915450000</v>
      </c>
      <c r="D1082" s="76">
        <f t="shared" si="55"/>
        <v>634927278.24957371</v>
      </c>
    </row>
    <row r="1083" spans="1:4" x14ac:dyDescent="0.3">
      <c r="A1083">
        <v>509000</v>
      </c>
      <c r="B1083" s="29">
        <f t="shared" si="53"/>
        <v>3283717229.4410863</v>
      </c>
      <c r="C1083" s="39">
        <f t="shared" si="54"/>
        <v>3919300000</v>
      </c>
      <c r="D1083" s="76">
        <f t="shared" si="55"/>
        <v>635582770.55891371</v>
      </c>
    </row>
    <row r="1084" spans="1:4" x14ac:dyDescent="0.3">
      <c r="A1084">
        <v>509500</v>
      </c>
      <c r="B1084" s="29">
        <f t="shared" si="53"/>
        <v>3286911737.1317463</v>
      </c>
      <c r="C1084" s="39">
        <f t="shared" si="54"/>
        <v>3923150000</v>
      </c>
      <c r="D1084" s="76">
        <f t="shared" si="55"/>
        <v>636238262.86825371</v>
      </c>
    </row>
    <row r="1085" spans="1:4" x14ac:dyDescent="0.3">
      <c r="A1085">
        <v>510000</v>
      </c>
      <c r="B1085" s="29">
        <f t="shared" si="53"/>
        <v>3290106244.8224063</v>
      </c>
      <c r="C1085" s="39">
        <f t="shared" si="54"/>
        <v>3927000000</v>
      </c>
      <c r="D1085" s="76">
        <f t="shared" si="55"/>
        <v>636893755.17759371</v>
      </c>
    </row>
    <row r="1086" spans="1:4" x14ac:dyDescent="0.3">
      <c r="A1086">
        <v>510500</v>
      </c>
      <c r="B1086" s="29">
        <f t="shared" si="53"/>
        <v>3293300752.5130663</v>
      </c>
      <c r="C1086" s="39">
        <f t="shared" si="54"/>
        <v>3930850000</v>
      </c>
      <c r="D1086" s="76">
        <f t="shared" si="55"/>
        <v>637549247.48693371</v>
      </c>
    </row>
    <row r="1087" spans="1:4" x14ac:dyDescent="0.3">
      <c r="A1087">
        <v>511000</v>
      </c>
      <c r="B1087" s="29">
        <f t="shared" si="53"/>
        <v>3296495260.2037263</v>
      </c>
      <c r="C1087" s="39">
        <f t="shared" si="54"/>
        <v>3934700000</v>
      </c>
      <c r="D1087" s="76">
        <f t="shared" si="55"/>
        <v>638204739.79627371</v>
      </c>
    </row>
    <row r="1088" spans="1:4" x14ac:dyDescent="0.3">
      <c r="A1088">
        <v>511500</v>
      </c>
      <c r="B1088" s="29">
        <f t="shared" si="53"/>
        <v>3299689767.8943863</v>
      </c>
      <c r="C1088" s="39">
        <f t="shared" si="54"/>
        <v>3938550000</v>
      </c>
      <c r="D1088" s="76">
        <f t="shared" si="55"/>
        <v>638860232.10561371</v>
      </c>
    </row>
    <row r="1089" spans="1:4" x14ac:dyDescent="0.3">
      <c r="A1089">
        <v>512000</v>
      </c>
      <c r="B1089" s="29">
        <f t="shared" si="53"/>
        <v>3302884275.5850463</v>
      </c>
      <c r="C1089" s="39">
        <f t="shared" si="54"/>
        <v>3942400000</v>
      </c>
      <c r="D1089" s="76">
        <f t="shared" si="55"/>
        <v>639515724.41495371</v>
      </c>
    </row>
    <row r="1090" spans="1:4" x14ac:dyDescent="0.3">
      <c r="A1090">
        <v>512500</v>
      </c>
      <c r="B1090" s="29">
        <f t="shared" ref="B1090:B1153" si="56">$B$54+($B$60*A1090)</f>
        <v>3306078783.2757063</v>
      </c>
      <c r="C1090" s="39">
        <f t="shared" ref="C1090:C1153" si="57">$E$50*A1090</f>
        <v>3946250000</v>
      </c>
      <c r="D1090" s="76">
        <f t="shared" ref="D1090:D1153" si="58">C1090-B1090</f>
        <v>640171216.72429371</v>
      </c>
    </row>
    <row r="1091" spans="1:4" x14ac:dyDescent="0.3">
      <c r="A1091">
        <v>513000</v>
      </c>
      <c r="B1091" s="29">
        <f t="shared" si="56"/>
        <v>3309273290.9663663</v>
      </c>
      <c r="C1091" s="39">
        <f t="shared" si="57"/>
        <v>3950100000</v>
      </c>
      <c r="D1091" s="76">
        <f t="shared" si="58"/>
        <v>640826709.03363371</v>
      </c>
    </row>
    <row r="1092" spans="1:4" x14ac:dyDescent="0.3">
      <c r="A1092">
        <v>513500</v>
      </c>
      <c r="B1092" s="29">
        <f t="shared" si="56"/>
        <v>3312467798.6570263</v>
      </c>
      <c r="C1092" s="39">
        <f t="shared" si="57"/>
        <v>3953950000</v>
      </c>
      <c r="D1092" s="76">
        <f t="shared" si="58"/>
        <v>641482201.34297371</v>
      </c>
    </row>
    <row r="1093" spans="1:4" x14ac:dyDescent="0.3">
      <c r="A1093">
        <v>514000</v>
      </c>
      <c r="B1093" s="29">
        <f t="shared" si="56"/>
        <v>3315662306.3476863</v>
      </c>
      <c r="C1093" s="39">
        <f t="shared" si="57"/>
        <v>3957800000</v>
      </c>
      <c r="D1093" s="76">
        <f t="shared" si="58"/>
        <v>642137693.65231371</v>
      </c>
    </row>
    <row r="1094" spans="1:4" x14ac:dyDescent="0.3">
      <c r="A1094">
        <v>514500</v>
      </c>
      <c r="B1094" s="29">
        <f t="shared" si="56"/>
        <v>3318856814.0383463</v>
      </c>
      <c r="C1094" s="39">
        <f t="shared" si="57"/>
        <v>3961650000</v>
      </c>
      <c r="D1094" s="76">
        <f t="shared" si="58"/>
        <v>642793185.96165371</v>
      </c>
    </row>
    <row r="1095" spans="1:4" x14ac:dyDescent="0.3">
      <c r="A1095">
        <v>515000</v>
      </c>
      <c r="B1095" s="29">
        <f t="shared" si="56"/>
        <v>3322051321.7290063</v>
      </c>
      <c r="C1095" s="39">
        <f t="shared" si="57"/>
        <v>3965500000</v>
      </c>
      <c r="D1095" s="76">
        <f t="shared" si="58"/>
        <v>643448678.27099371</v>
      </c>
    </row>
    <row r="1096" spans="1:4" x14ac:dyDescent="0.3">
      <c r="A1096">
        <v>515500</v>
      </c>
      <c r="B1096" s="29">
        <f t="shared" si="56"/>
        <v>3325245829.4196663</v>
      </c>
      <c r="C1096" s="39">
        <f t="shared" si="57"/>
        <v>3969350000</v>
      </c>
      <c r="D1096" s="76">
        <f t="shared" si="58"/>
        <v>644104170.58033371</v>
      </c>
    </row>
    <row r="1097" spans="1:4" x14ac:dyDescent="0.3">
      <c r="A1097">
        <v>516000</v>
      </c>
      <c r="B1097" s="29">
        <f t="shared" si="56"/>
        <v>3328440337.1103263</v>
      </c>
      <c r="C1097" s="39">
        <f t="shared" si="57"/>
        <v>3973200000</v>
      </c>
      <c r="D1097" s="76">
        <f t="shared" si="58"/>
        <v>644759662.88967371</v>
      </c>
    </row>
    <row r="1098" spans="1:4" x14ac:dyDescent="0.3">
      <c r="A1098">
        <v>516500</v>
      </c>
      <c r="B1098" s="29">
        <f t="shared" si="56"/>
        <v>3331634844.8009863</v>
      </c>
      <c r="C1098" s="39">
        <f t="shared" si="57"/>
        <v>3977050000</v>
      </c>
      <c r="D1098" s="76">
        <f t="shared" si="58"/>
        <v>645415155.19901371</v>
      </c>
    </row>
    <row r="1099" spans="1:4" x14ac:dyDescent="0.3">
      <c r="A1099">
        <v>517000</v>
      </c>
      <c r="B1099" s="29">
        <f t="shared" si="56"/>
        <v>3334829352.4916463</v>
      </c>
      <c r="C1099" s="39">
        <f t="shared" si="57"/>
        <v>3980900000</v>
      </c>
      <c r="D1099" s="76">
        <f t="shared" si="58"/>
        <v>646070647.50835371</v>
      </c>
    </row>
    <row r="1100" spans="1:4" x14ac:dyDescent="0.3">
      <c r="A1100">
        <v>517500</v>
      </c>
      <c r="B1100" s="29">
        <f t="shared" si="56"/>
        <v>3338023860.1823063</v>
      </c>
      <c r="C1100" s="39">
        <f t="shared" si="57"/>
        <v>3984750000</v>
      </c>
      <c r="D1100" s="76">
        <f t="shared" si="58"/>
        <v>646726139.81769371</v>
      </c>
    </row>
    <row r="1101" spans="1:4" x14ac:dyDescent="0.3">
      <c r="A1101">
        <v>518000</v>
      </c>
      <c r="B1101" s="29">
        <f t="shared" si="56"/>
        <v>3341218367.8729663</v>
      </c>
      <c r="C1101" s="39">
        <f t="shared" si="57"/>
        <v>3988600000</v>
      </c>
      <c r="D1101" s="76">
        <f t="shared" si="58"/>
        <v>647381632.12703371</v>
      </c>
    </row>
    <row r="1102" spans="1:4" x14ac:dyDescent="0.3">
      <c r="A1102">
        <v>518500</v>
      </c>
      <c r="B1102" s="29">
        <f t="shared" si="56"/>
        <v>3344412875.5636263</v>
      </c>
      <c r="C1102" s="39">
        <f t="shared" si="57"/>
        <v>3992450000</v>
      </c>
      <c r="D1102" s="76">
        <f t="shared" si="58"/>
        <v>648037124.43637371</v>
      </c>
    </row>
    <row r="1103" spans="1:4" x14ac:dyDescent="0.3">
      <c r="A1103">
        <v>519000</v>
      </c>
      <c r="B1103" s="29">
        <f t="shared" si="56"/>
        <v>3347607383.2542863</v>
      </c>
      <c r="C1103" s="39">
        <f t="shared" si="57"/>
        <v>3996300000</v>
      </c>
      <c r="D1103" s="76">
        <f t="shared" si="58"/>
        <v>648692616.74571371</v>
      </c>
    </row>
    <row r="1104" spans="1:4" x14ac:dyDescent="0.3">
      <c r="A1104">
        <v>519500</v>
      </c>
      <c r="B1104" s="29">
        <f t="shared" si="56"/>
        <v>3350801890.9449463</v>
      </c>
      <c r="C1104" s="39">
        <f t="shared" si="57"/>
        <v>4000150000</v>
      </c>
      <c r="D1104" s="76">
        <f t="shared" si="58"/>
        <v>649348109.05505371</v>
      </c>
    </row>
    <row r="1105" spans="1:4" x14ac:dyDescent="0.3">
      <c r="A1105">
        <v>520000</v>
      </c>
      <c r="B1105" s="29">
        <f t="shared" si="56"/>
        <v>3353996398.6356063</v>
      </c>
      <c r="C1105" s="39">
        <f t="shared" si="57"/>
        <v>4004000000</v>
      </c>
      <c r="D1105" s="76">
        <f t="shared" si="58"/>
        <v>650003601.36439371</v>
      </c>
    </row>
    <row r="1106" spans="1:4" x14ac:dyDescent="0.3">
      <c r="A1106">
        <v>520500</v>
      </c>
      <c r="B1106" s="29">
        <f t="shared" si="56"/>
        <v>3357190906.3262663</v>
      </c>
      <c r="C1106" s="39">
        <f t="shared" si="57"/>
        <v>4007850000</v>
      </c>
      <c r="D1106" s="76">
        <f t="shared" si="58"/>
        <v>650659093.67373371</v>
      </c>
    </row>
    <row r="1107" spans="1:4" x14ac:dyDescent="0.3">
      <c r="A1107">
        <v>521000</v>
      </c>
      <c r="B1107" s="29">
        <f t="shared" si="56"/>
        <v>3360385414.0169263</v>
      </c>
      <c r="C1107" s="39">
        <f t="shared" si="57"/>
        <v>4011700000</v>
      </c>
      <c r="D1107" s="76">
        <f t="shared" si="58"/>
        <v>651314585.98307371</v>
      </c>
    </row>
    <row r="1108" spans="1:4" x14ac:dyDescent="0.3">
      <c r="A1108">
        <v>521500</v>
      </c>
      <c r="B1108" s="29">
        <f t="shared" si="56"/>
        <v>3363579921.7075863</v>
      </c>
      <c r="C1108" s="39">
        <f t="shared" si="57"/>
        <v>4015550000</v>
      </c>
      <c r="D1108" s="76">
        <f t="shared" si="58"/>
        <v>651970078.29241371</v>
      </c>
    </row>
    <row r="1109" spans="1:4" x14ac:dyDescent="0.3">
      <c r="A1109">
        <v>522000</v>
      </c>
      <c r="B1109" s="29">
        <f t="shared" si="56"/>
        <v>3366774429.3982463</v>
      </c>
      <c r="C1109" s="39">
        <f t="shared" si="57"/>
        <v>4019400000</v>
      </c>
      <c r="D1109" s="76">
        <f t="shared" si="58"/>
        <v>652625570.60175371</v>
      </c>
    </row>
    <row r="1110" spans="1:4" x14ac:dyDescent="0.3">
      <c r="A1110">
        <v>522500</v>
      </c>
      <c r="B1110" s="29">
        <f t="shared" si="56"/>
        <v>3369968937.0889063</v>
      </c>
      <c r="C1110" s="39">
        <f t="shared" si="57"/>
        <v>4023250000</v>
      </c>
      <c r="D1110" s="76">
        <f t="shared" si="58"/>
        <v>653281062.91109371</v>
      </c>
    </row>
    <row r="1111" spans="1:4" x14ac:dyDescent="0.3">
      <c r="A1111">
        <v>523000</v>
      </c>
      <c r="B1111" s="29">
        <f t="shared" si="56"/>
        <v>3373163444.7795663</v>
      </c>
      <c r="C1111" s="39">
        <f t="shared" si="57"/>
        <v>4027100000</v>
      </c>
      <c r="D1111" s="76">
        <f t="shared" si="58"/>
        <v>653936555.22043371</v>
      </c>
    </row>
    <row r="1112" spans="1:4" x14ac:dyDescent="0.3">
      <c r="A1112">
        <v>523500</v>
      </c>
      <c r="B1112" s="29">
        <f t="shared" si="56"/>
        <v>3376357952.4702263</v>
      </c>
      <c r="C1112" s="39">
        <f t="shared" si="57"/>
        <v>4030950000</v>
      </c>
      <c r="D1112" s="76">
        <f t="shared" si="58"/>
        <v>654592047.52977371</v>
      </c>
    </row>
    <row r="1113" spans="1:4" x14ac:dyDescent="0.3">
      <c r="A1113">
        <v>524000</v>
      </c>
      <c r="B1113" s="29">
        <f t="shared" si="56"/>
        <v>3379552460.1608863</v>
      </c>
      <c r="C1113" s="39">
        <f t="shared" si="57"/>
        <v>4034800000</v>
      </c>
      <c r="D1113" s="76">
        <f t="shared" si="58"/>
        <v>655247539.83911371</v>
      </c>
    </row>
    <row r="1114" spans="1:4" x14ac:dyDescent="0.3">
      <c r="A1114">
        <v>524500</v>
      </c>
      <c r="B1114" s="29">
        <f t="shared" si="56"/>
        <v>3382746967.8515463</v>
      </c>
      <c r="C1114" s="39">
        <f t="shared" si="57"/>
        <v>4038650000</v>
      </c>
      <c r="D1114" s="76">
        <f t="shared" si="58"/>
        <v>655903032.14845371</v>
      </c>
    </row>
    <row r="1115" spans="1:4" x14ac:dyDescent="0.3">
      <c r="A1115">
        <v>525000</v>
      </c>
      <c r="B1115" s="29">
        <f t="shared" si="56"/>
        <v>3385941475.5422063</v>
      </c>
      <c r="C1115" s="39">
        <f t="shared" si="57"/>
        <v>4042500000</v>
      </c>
      <c r="D1115" s="76">
        <f t="shared" si="58"/>
        <v>656558524.45779371</v>
      </c>
    </row>
    <row r="1116" spans="1:4" x14ac:dyDescent="0.3">
      <c r="A1116">
        <v>525500</v>
      </c>
      <c r="B1116" s="29">
        <f t="shared" si="56"/>
        <v>3389135983.2328663</v>
      </c>
      <c r="C1116" s="39">
        <f t="shared" si="57"/>
        <v>4046350000</v>
      </c>
      <c r="D1116" s="76">
        <f t="shared" si="58"/>
        <v>657214016.76713371</v>
      </c>
    </row>
    <row r="1117" spans="1:4" x14ac:dyDescent="0.3">
      <c r="A1117">
        <v>526000</v>
      </c>
      <c r="B1117" s="29">
        <f t="shared" si="56"/>
        <v>3392330490.9235263</v>
      </c>
      <c r="C1117" s="39">
        <f t="shared" si="57"/>
        <v>4050200000</v>
      </c>
      <c r="D1117" s="76">
        <f t="shared" si="58"/>
        <v>657869509.07647371</v>
      </c>
    </row>
    <row r="1118" spans="1:4" x14ac:dyDescent="0.3">
      <c r="A1118">
        <v>526500</v>
      </c>
      <c r="B1118" s="29">
        <f t="shared" si="56"/>
        <v>3395524998.6141863</v>
      </c>
      <c r="C1118" s="39">
        <f t="shared" si="57"/>
        <v>4054050000</v>
      </c>
      <c r="D1118" s="76">
        <f t="shared" si="58"/>
        <v>658525001.38581371</v>
      </c>
    </row>
    <row r="1119" spans="1:4" x14ac:dyDescent="0.3">
      <c r="A1119">
        <v>527000</v>
      </c>
      <c r="B1119" s="29">
        <f t="shared" si="56"/>
        <v>3398719506.3048463</v>
      </c>
      <c r="C1119" s="39">
        <f t="shared" si="57"/>
        <v>4057900000</v>
      </c>
      <c r="D1119" s="76">
        <f t="shared" si="58"/>
        <v>659180493.69515371</v>
      </c>
    </row>
    <row r="1120" spans="1:4" x14ac:dyDescent="0.3">
      <c r="A1120">
        <v>527500</v>
      </c>
      <c r="B1120" s="29">
        <f t="shared" si="56"/>
        <v>3401914013.9955063</v>
      </c>
      <c r="C1120" s="39">
        <f t="shared" si="57"/>
        <v>4061750000</v>
      </c>
      <c r="D1120" s="76">
        <f t="shared" si="58"/>
        <v>659835986.00449371</v>
      </c>
    </row>
    <row r="1121" spans="1:4" x14ac:dyDescent="0.3">
      <c r="A1121">
        <v>528000</v>
      </c>
      <c r="B1121" s="29">
        <f t="shared" si="56"/>
        <v>3405108521.6861663</v>
      </c>
      <c r="C1121" s="39">
        <f t="shared" si="57"/>
        <v>4065600000</v>
      </c>
      <c r="D1121" s="76">
        <f t="shared" si="58"/>
        <v>660491478.31383371</v>
      </c>
    </row>
    <row r="1122" spans="1:4" x14ac:dyDescent="0.3">
      <c r="A1122">
        <v>528500</v>
      </c>
      <c r="B1122" s="29">
        <f t="shared" si="56"/>
        <v>3408303029.3768263</v>
      </c>
      <c r="C1122" s="39">
        <f t="shared" si="57"/>
        <v>4069450000</v>
      </c>
      <c r="D1122" s="76">
        <f t="shared" si="58"/>
        <v>661146970.62317371</v>
      </c>
    </row>
    <row r="1123" spans="1:4" x14ac:dyDescent="0.3">
      <c r="A1123">
        <v>529000</v>
      </c>
      <c r="B1123" s="29">
        <f t="shared" si="56"/>
        <v>3411497537.0674863</v>
      </c>
      <c r="C1123" s="39">
        <f t="shared" si="57"/>
        <v>4073300000</v>
      </c>
      <c r="D1123" s="76">
        <f t="shared" si="58"/>
        <v>661802462.93251371</v>
      </c>
    </row>
    <row r="1124" spans="1:4" x14ac:dyDescent="0.3">
      <c r="A1124">
        <v>529500</v>
      </c>
      <c r="B1124" s="29">
        <f t="shared" si="56"/>
        <v>3414692044.7581463</v>
      </c>
      <c r="C1124" s="39">
        <f t="shared" si="57"/>
        <v>4077150000</v>
      </c>
      <c r="D1124" s="76">
        <f t="shared" si="58"/>
        <v>662457955.24185371</v>
      </c>
    </row>
    <row r="1125" spans="1:4" x14ac:dyDescent="0.3">
      <c r="A1125">
        <v>530000</v>
      </c>
      <c r="B1125" s="29">
        <f t="shared" si="56"/>
        <v>3417886552.4488063</v>
      </c>
      <c r="C1125" s="39">
        <f t="shared" si="57"/>
        <v>4081000000</v>
      </c>
      <c r="D1125" s="76">
        <f t="shared" si="58"/>
        <v>663113447.55119371</v>
      </c>
    </row>
    <row r="1126" spans="1:4" x14ac:dyDescent="0.3">
      <c r="A1126">
        <v>530500</v>
      </c>
      <c r="B1126" s="29">
        <f t="shared" si="56"/>
        <v>3421081060.1394663</v>
      </c>
      <c r="C1126" s="39">
        <f t="shared" si="57"/>
        <v>4084850000</v>
      </c>
      <c r="D1126" s="76">
        <f t="shared" si="58"/>
        <v>663768939.86053371</v>
      </c>
    </row>
    <row r="1127" spans="1:4" x14ac:dyDescent="0.3">
      <c r="A1127">
        <v>531000</v>
      </c>
      <c r="B1127" s="29">
        <f t="shared" si="56"/>
        <v>3424275567.8301263</v>
      </c>
      <c r="C1127" s="39">
        <f t="shared" si="57"/>
        <v>4088700000</v>
      </c>
      <c r="D1127" s="76">
        <f t="shared" si="58"/>
        <v>664424432.16987371</v>
      </c>
    </row>
    <row r="1128" spans="1:4" x14ac:dyDescent="0.3">
      <c r="A1128">
        <v>531500</v>
      </c>
      <c r="B1128" s="29">
        <f t="shared" si="56"/>
        <v>3427470075.5207863</v>
      </c>
      <c r="C1128" s="39">
        <f t="shared" si="57"/>
        <v>4092550000</v>
      </c>
      <c r="D1128" s="76">
        <f t="shared" si="58"/>
        <v>665079924.47921371</v>
      </c>
    </row>
    <row r="1129" spans="1:4" x14ac:dyDescent="0.3">
      <c r="A1129">
        <v>532000</v>
      </c>
      <c r="B1129" s="29">
        <f t="shared" si="56"/>
        <v>3430664583.2114463</v>
      </c>
      <c r="C1129" s="39">
        <f t="shared" si="57"/>
        <v>4096400000</v>
      </c>
      <c r="D1129" s="76">
        <f t="shared" si="58"/>
        <v>665735416.78855371</v>
      </c>
    </row>
    <row r="1130" spans="1:4" x14ac:dyDescent="0.3">
      <c r="A1130">
        <v>532500</v>
      </c>
      <c r="B1130" s="29">
        <f t="shared" si="56"/>
        <v>3433859090.9021063</v>
      </c>
      <c r="C1130" s="39">
        <f t="shared" si="57"/>
        <v>4100250000</v>
      </c>
      <c r="D1130" s="76">
        <f t="shared" si="58"/>
        <v>666390909.09789371</v>
      </c>
    </row>
    <row r="1131" spans="1:4" x14ac:dyDescent="0.3">
      <c r="A1131">
        <v>533000</v>
      </c>
      <c r="B1131" s="29">
        <f t="shared" si="56"/>
        <v>3437053598.5927663</v>
      </c>
      <c r="C1131" s="39">
        <f t="shared" si="57"/>
        <v>4104100000</v>
      </c>
      <c r="D1131" s="76">
        <f t="shared" si="58"/>
        <v>667046401.40723372</v>
      </c>
    </row>
    <row r="1132" spans="1:4" x14ac:dyDescent="0.3">
      <c r="A1132">
        <v>533500</v>
      </c>
      <c r="B1132" s="29">
        <f t="shared" si="56"/>
        <v>3440248106.2834263</v>
      </c>
      <c r="C1132" s="39">
        <f t="shared" si="57"/>
        <v>4107950000</v>
      </c>
      <c r="D1132" s="76">
        <f t="shared" si="58"/>
        <v>667701893.71657372</v>
      </c>
    </row>
    <row r="1133" spans="1:4" x14ac:dyDescent="0.3">
      <c r="A1133">
        <v>534000</v>
      </c>
      <c r="B1133" s="29">
        <f t="shared" si="56"/>
        <v>3443442613.9740863</v>
      </c>
      <c r="C1133" s="39">
        <f t="shared" si="57"/>
        <v>4111800000</v>
      </c>
      <c r="D1133" s="76">
        <f t="shared" si="58"/>
        <v>668357386.02591372</v>
      </c>
    </row>
    <row r="1134" spans="1:4" x14ac:dyDescent="0.3">
      <c r="A1134">
        <v>534500</v>
      </c>
      <c r="B1134" s="29">
        <f t="shared" si="56"/>
        <v>3446637121.6647463</v>
      </c>
      <c r="C1134" s="39">
        <f t="shared" si="57"/>
        <v>4115650000</v>
      </c>
      <c r="D1134" s="76">
        <f t="shared" si="58"/>
        <v>669012878.33525372</v>
      </c>
    </row>
    <row r="1135" spans="1:4" x14ac:dyDescent="0.3">
      <c r="A1135">
        <v>535000</v>
      </c>
      <c r="B1135" s="29">
        <f t="shared" si="56"/>
        <v>3449831629.3554063</v>
      </c>
      <c r="C1135" s="39">
        <f t="shared" si="57"/>
        <v>4119500000</v>
      </c>
      <c r="D1135" s="76">
        <f t="shared" si="58"/>
        <v>669668370.64459372</v>
      </c>
    </row>
    <row r="1136" spans="1:4" x14ac:dyDescent="0.3">
      <c r="A1136">
        <v>535500</v>
      </c>
      <c r="B1136" s="29">
        <f t="shared" si="56"/>
        <v>3453026137.0460663</v>
      </c>
      <c r="C1136" s="39">
        <f t="shared" si="57"/>
        <v>4123350000</v>
      </c>
      <c r="D1136" s="76">
        <f t="shared" si="58"/>
        <v>670323862.95393372</v>
      </c>
    </row>
    <row r="1137" spans="1:4" x14ac:dyDescent="0.3">
      <c r="A1137">
        <v>536000</v>
      </c>
      <c r="B1137" s="29">
        <f t="shared" si="56"/>
        <v>3456220644.7367263</v>
      </c>
      <c r="C1137" s="39">
        <f t="shared" si="57"/>
        <v>4127200000</v>
      </c>
      <c r="D1137" s="76">
        <f t="shared" si="58"/>
        <v>670979355.26327372</v>
      </c>
    </row>
    <row r="1138" spans="1:4" x14ac:dyDescent="0.3">
      <c r="A1138">
        <v>536500</v>
      </c>
      <c r="B1138" s="29">
        <f t="shared" si="56"/>
        <v>3459415152.4273863</v>
      </c>
      <c r="C1138" s="39">
        <f t="shared" si="57"/>
        <v>4131050000</v>
      </c>
      <c r="D1138" s="76">
        <f t="shared" si="58"/>
        <v>671634847.57261372</v>
      </c>
    </row>
    <row r="1139" spans="1:4" x14ac:dyDescent="0.3">
      <c r="A1139">
        <v>537000</v>
      </c>
      <c r="B1139" s="29">
        <f t="shared" si="56"/>
        <v>3462609660.1180463</v>
      </c>
      <c r="C1139" s="39">
        <f t="shared" si="57"/>
        <v>4134900000</v>
      </c>
      <c r="D1139" s="76">
        <f t="shared" si="58"/>
        <v>672290339.88195372</v>
      </c>
    </row>
    <row r="1140" spans="1:4" x14ac:dyDescent="0.3">
      <c r="A1140">
        <v>537500</v>
      </c>
      <c r="B1140" s="29">
        <f t="shared" si="56"/>
        <v>3465804167.8087063</v>
      </c>
      <c r="C1140" s="39">
        <f t="shared" si="57"/>
        <v>4138750000</v>
      </c>
      <c r="D1140" s="76">
        <f t="shared" si="58"/>
        <v>672945832.19129372</v>
      </c>
    </row>
    <row r="1141" spans="1:4" x14ac:dyDescent="0.3">
      <c r="A1141">
        <v>538000</v>
      </c>
      <c r="B1141" s="29">
        <f t="shared" si="56"/>
        <v>3468998675.4993663</v>
      </c>
      <c r="C1141" s="39">
        <f t="shared" si="57"/>
        <v>4142600000</v>
      </c>
      <c r="D1141" s="76">
        <f t="shared" si="58"/>
        <v>673601324.50063372</v>
      </c>
    </row>
    <row r="1142" spans="1:4" x14ac:dyDescent="0.3">
      <c r="A1142">
        <v>538500</v>
      </c>
      <c r="B1142" s="29">
        <f t="shared" si="56"/>
        <v>3472193183.1900263</v>
      </c>
      <c r="C1142" s="39">
        <f t="shared" si="57"/>
        <v>4146450000</v>
      </c>
      <c r="D1142" s="76">
        <f t="shared" si="58"/>
        <v>674256816.80997372</v>
      </c>
    </row>
    <row r="1143" spans="1:4" x14ac:dyDescent="0.3">
      <c r="A1143">
        <v>539000</v>
      </c>
      <c r="B1143" s="29">
        <f t="shared" si="56"/>
        <v>3475387690.8806863</v>
      </c>
      <c r="C1143" s="39">
        <f t="shared" si="57"/>
        <v>4150300000</v>
      </c>
      <c r="D1143" s="76">
        <f t="shared" si="58"/>
        <v>674912309.11931372</v>
      </c>
    </row>
    <row r="1144" spans="1:4" x14ac:dyDescent="0.3">
      <c r="A1144">
        <v>539500</v>
      </c>
      <c r="B1144" s="29">
        <f t="shared" si="56"/>
        <v>3478582198.5713463</v>
      </c>
      <c r="C1144" s="39">
        <f t="shared" si="57"/>
        <v>4154150000</v>
      </c>
      <c r="D1144" s="76">
        <f t="shared" si="58"/>
        <v>675567801.42865372</v>
      </c>
    </row>
    <row r="1145" spans="1:4" x14ac:dyDescent="0.3">
      <c r="A1145">
        <v>540000</v>
      </c>
      <c r="B1145" s="29">
        <f t="shared" si="56"/>
        <v>3481776706.2620063</v>
      </c>
      <c r="C1145" s="39">
        <f t="shared" si="57"/>
        <v>4158000000</v>
      </c>
      <c r="D1145" s="76">
        <f t="shared" si="58"/>
        <v>676223293.73799372</v>
      </c>
    </row>
    <row r="1146" spans="1:4" x14ac:dyDescent="0.3">
      <c r="A1146">
        <v>540500</v>
      </c>
      <c r="B1146" s="29">
        <f t="shared" si="56"/>
        <v>3484971213.9526663</v>
      </c>
      <c r="C1146" s="39">
        <f t="shared" si="57"/>
        <v>4161850000</v>
      </c>
      <c r="D1146" s="76">
        <f t="shared" si="58"/>
        <v>676878786.04733372</v>
      </c>
    </row>
    <row r="1147" spans="1:4" x14ac:dyDescent="0.3">
      <c r="A1147">
        <v>541000</v>
      </c>
      <c r="B1147" s="29">
        <f t="shared" si="56"/>
        <v>3488165721.6433263</v>
      </c>
      <c r="C1147" s="39">
        <f t="shared" si="57"/>
        <v>4165700000</v>
      </c>
      <c r="D1147" s="76">
        <f t="shared" si="58"/>
        <v>677534278.35667372</v>
      </c>
    </row>
    <row r="1148" spans="1:4" x14ac:dyDescent="0.3">
      <c r="A1148">
        <v>541500</v>
      </c>
      <c r="B1148" s="29">
        <f t="shared" si="56"/>
        <v>3491360229.3339863</v>
      </c>
      <c r="C1148" s="39">
        <f t="shared" si="57"/>
        <v>4169550000</v>
      </c>
      <c r="D1148" s="76">
        <f t="shared" si="58"/>
        <v>678189770.66601372</v>
      </c>
    </row>
    <row r="1149" spans="1:4" x14ac:dyDescent="0.3">
      <c r="A1149">
        <v>542000</v>
      </c>
      <c r="B1149" s="29">
        <f t="shared" si="56"/>
        <v>3494554737.0246463</v>
      </c>
      <c r="C1149" s="39">
        <f t="shared" si="57"/>
        <v>4173400000</v>
      </c>
      <c r="D1149" s="76">
        <f t="shared" si="58"/>
        <v>678845262.97535372</v>
      </c>
    </row>
    <row r="1150" spans="1:4" x14ac:dyDescent="0.3">
      <c r="A1150">
        <v>542500</v>
      </c>
      <c r="B1150" s="29">
        <f t="shared" si="56"/>
        <v>3497749244.7153063</v>
      </c>
      <c r="C1150" s="39">
        <f t="shared" si="57"/>
        <v>4177250000</v>
      </c>
      <c r="D1150" s="76">
        <f t="shared" si="58"/>
        <v>679500755.28469372</v>
      </c>
    </row>
    <row r="1151" spans="1:4" x14ac:dyDescent="0.3">
      <c r="A1151">
        <v>543000</v>
      </c>
      <c r="B1151" s="29">
        <f t="shared" si="56"/>
        <v>3500943752.4059663</v>
      </c>
      <c r="C1151" s="39">
        <f t="shared" si="57"/>
        <v>4181100000</v>
      </c>
      <c r="D1151" s="76">
        <f t="shared" si="58"/>
        <v>680156247.59403372</v>
      </c>
    </row>
    <row r="1152" spans="1:4" x14ac:dyDescent="0.3">
      <c r="A1152">
        <v>543500</v>
      </c>
      <c r="B1152" s="29">
        <f t="shared" si="56"/>
        <v>3504138260.0966263</v>
      </c>
      <c r="C1152" s="39">
        <f t="shared" si="57"/>
        <v>4184950000</v>
      </c>
      <c r="D1152" s="76">
        <f t="shared" si="58"/>
        <v>680811739.90337372</v>
      </c>
    </row>
    <row r="1153" spans="1:4" x14ac:dyDescent="0.3">
      <c r="A1153">
        <v>544000</v>
      </c>
      <c r="B1153" s="29">
        <f t="shared" si="56"/>
        <v>3507332767.7872863</v>
      </c>
      <c r="C1153" s="39">
        <f t="shared" si="57"/>
        <v>4188800000</v>
      </c>
      <c r="D1153" s="76">
        <f t="shared" si="58"/>
        <v>681467232.21271372</v>
      </c>
    </row>
    <row r="1154" spans="1:4" x14ac:dyDescent="0.3">
      <c r="A1154">
        <v>544500</v>
      </c>
      <c r="B1154" s="29">
        <f t="shared" ref="B1154:B1217" si="59">$B$54+($B$60*A1154)</f>
        <v>3510527275.4779463</v>
      </c>
      <c r="C1154" s="39">
        <f t="shared" ref="C1154:C1217" si="60">$E$50*A1154</f>
        <v>4192650000</v>
      </c>
      <c r="D1154" s="76">
        <f t="shared" ref="D1154:D1217" si="61">C1154-B1154</f>
        <v>682122724.52205372</v>
      </c>
    </row>
    <row r="1155" spans="1:4" x14ac:dyDescent="0.3">
      <c r="A1155">
        <v>545000</v>
      </c>
      <c r="B1155" s="29">
        <f t="shared" si="59"/>
        <v>3513721783.1686063</v>
      </c>
      <c r="C1155" s="39">
        <f t="shared" si="60"/>
        <v>4196500000</v>
      </c>
      <c r="D1155" s="76">
        <f t="shared" si="61"/>
        <v>682778216.83139372</v>
      </c>
    </row>
    <row r="1156" spans="1:4" x14ac:dyDescent="0.3">
      <c r="A1156">
        <v>545500</v>
      </c>
      <c r="B1156" s="29">
        <f t="shared" si="59"/>
        <v>3516916290.8592663</v>
      </c>
      <c r="C1156" s="39">
        <f t="shared" si="60"/>
        <v>4200350000</v>
      </c>
      <c r="D1156" s="76">
        <f t="shared" si="61"/>
        <v>683433709.14073372</v>
      </c>
    </row>
    <row r="1157" spans="1:4" x14ac:dyDescent="0.3">
      <c r="A1157">
        <v>546000</v>
      </c>
      <c r="B1157" s="29">
        <f t="shared" si="59"/>
        <v>3520110798.5499263</v>
      </c>
      <c r="C1157" s="39">
        <f t="shared" si="60"/>
        <v>4204200000</v>
      </c>
      <c r="D1157" s="76">
        <f t="shared" si="61"/>
        <v>684089201.45007372</v>
      </c>
    </row>
    <row r="1158" spans="1:4" x14ac:dyDescent="0.3">
      <c r="A1158">
        <v>546500</v>
      </c>
      <c r="B1158" s="29">
        <f t="shared" si="59"/>
        <v>3523305306.2405863</v>
      </c>
      <c r="C1158" s="39">
        <f t="shared" si="60"/>
        <v>4208050000</v>
      </c>
      <c r="D1158" s="76">
        <f t="shared" si="61"/>
        <v>684744693.75941372</v>
      </c>
    </row>
    <row r="1159" spans="1:4" x14ac:dyDescent="0.3">
      <c r="A1159">
        <v>547000</v>
      </c>
      <c r="B1159" s="29">
        <f t="shared" si="59"/>
        <v>3526499813.9312463</v>
      </c>
      <c r="C1159" s="39">
        <f t="shared" si="60"/>
        <v>4211900000</v>
      </c>
      <c r="D1159" s="76">
        <f t="shared" si="61"/>
        <v>685400186.06875372</v>
      </c>
    </row>
    <row r="1160" spans="1:4" x14ac:dyDescent="0.3">
      <c r="A1160">
        <v>547500</v>
      </c>
      <c r="B1160" s="29">
        <f t="shared" si="59"/>
        <v>3529694321.6219063</v>
      </c>
      <c r="C1160" s="39">
        <f t="shared" si="60"/>
        <v>4215750000</v>
      </c>
      <c r="D1160" s="76">
        <f t="shared" si="61"/>
        <v>686055678.37809372</v>
      </c>
    </row>
    <row r="1161" spans="1:4" x14ac:dyDescent="0.3">
      <c r="A1161">
        <v>548000</v>
      </c>
      <c r="B1161" s="29">
        <f t="shared" si="59"/>
        <v>3532888829.3125663</v>
      </c>
      <c r="C1161" s="39">
        <f t="shared" si="60"/>
        <v>4219600000</v>
      </c>
      <c r="D1161" s="76">
        <f t="shared" si="61"/>
        <v>686711170.68743372</v>
      </c>
    </row>
    <row r="1162" spans="1:4" x14ac:dyDescent="0.3">
      <c r="A1162">
        <v>548500</v>
      </c>
      <c r="B1162" s="29">
        <f t="shared" si="59"/>
        <v>3536083337.0032263</v>
      </c>
      <c r="C1162" s="39">
        <f t="shared" si="60"/>
        <v>4223450000</v>
      </c>
      <c r="D1162" s="76">
        <f t="shared" si="61"/>
        <v>687366662.99677372</v>
      </c>
    </row>
    <row r="1163" spans="1:4" x14ac:dyDescent="0.3">
      <c r="A1163">
        <v>549000</v>
      </c>
      <c r="B1163" s="29">
        <f t="shared" si="59"/>
        <v>3539277844.6938863</v>
      </c>
      <c r="C1163" s="39">
        <f t="shared" si="60"/>
        <v>4227300000</v>
      </c>
      <c r="D1163" s="76">
        <f t="shared" si="61"/>
        <v>688022155.30611372</v>
      </c>
    </row>
    <row r="1164" spans="1:4" x14ac:dyDescent="0.3">
      <c r="A1164">
        <v>549500</v>
      </c>
      <c r="B1164" s="29">
        <f t="shared" si="59"/>
        <v>3542472352.3845463</v>
      </c>
      <c r="C1164" s="39">
        <f t="shared" si="60"/>
        <v>4231150000</v>
      </c>
      <c r="D1164" s="76">
        <f t="shared" si="61"/>
        <v>688677647.61545372</v>
      </c>
    </row>
    <row r="1165" spans="1:4" x14ac:dyDescent="0.3">
      <c r="A1165">
        <v>550000</v>
      </c>
      <c r="B1165" s="29">
        <f t="shared" si="59"/>
        <v>3545666860.0752063</v>
      </c>
      <c r="C1165" s="39">
        <f t="shared" si="60"/>
        <v>4235000000</v>
      </c>
      <c r="D1165" s="76">
        <f t="shared" si="61"/>
        <v>689333139.92479372</v>
      </c>
    </row>
    <row r="1166" spans="1:4" x14ac:dyDescent="0.3">
      <c r="A1166">
        <v>550500</v>
      </c>
      <c r="B1166" s="29">
        <f t="shared" si="59"/>
        <v>3548861367.7658663</v>
      </c>
      <c r="C1166" s="39">
        <f t="shared" si="60"/>
        <v>4238850000</v>
      </c>
      <c r="D1166" s="76">
        <f t="shared" si="61"/>
        <v>689988632.23413372</v>
      </c>
    </row>
    <row r="1167" spans="1:4" x14ac:dyDescent="0.3">
      <c r="A1167">
        <v>551000</v>
      </c>
      <c r="B1167" s="29">
        <f t="shared" si="59"/>
        <v>3552055875.4565263</v>
      </c>
      <c r="C1167" s="39">
        <f t="shared" si="60"/>
        <v>4242700000</v>
      </c>
      <c r="D1167" s="76">
        <f t="shared" si="61"/>
        <v>690644124.54347372</v>
      </c>
    </row>
    <row r="1168" spans="1:4" x14ac:dyDescent="0.3">
      <c r="A1168">
        <v>551500</v>
      </c>
      <c r="B1168" s="29">
        <f t="shared" si="59"/>
        <v>3555250383.1471863</v>
      </c>
      <c r="C1168" s="39">
        <f t="shared" si="60"/>
        <v>4246550000</v>
      </c>
      <c r="D1168" s="76">
        <f t="shared" si="61"/>
        <v>691299616.85281372</v>
      </c>
    </row>
    <row r="1169" spans="1:4" x14ac:dyDescent="0.3">
      <c r="A1169">
        <v>552000</v>
      </c>
      <c r="B1169" s="29">
        <f t="shared" si="59"/>
        <v>3558444890.8378463</v>
      </c>
      <c r="C1169" s="39">
        <f t="shared" si="60"/>
        <v>4250400000</v>
      </c>
      <c r="D1169" s="76">
        <f t="shared" si="61"/>
        <v>691955109.16215372</v>
      </c>
    </row>
    <row r="1170" spans="1:4" x14ac:dyDescent="0.3">
      <c r="A1170">
        <v>552500</v>
      </c>
      <c r="B1170" s="29">
        <f t="shared" si="59"/>
        <v>3561639398.5285063</v>
      </c>
      <c r="C1170" s="39">
        <f t="shared" si="60"/>
        <v>4254250000</v>
      </c>
      <c r="D1170" s="76">
        <f t="shared" si="61"/>
        <v>692610601.47149372</v>
      </c>
    </row>
    <row r="1171" spans="1:4" x14ac:dyDescent="0.3">
      <c r="A1171">
        <v>553000</v>
      </c>
      <c r="B1171" s="29">
        <f t="shared" si="59"/>
        <v>3564833906.2191663</v>
      </c>
      <c r="C1171" s="39">
        <f t="shared" si="60"/>
        <v>4258100000</v>
      </c>
      <c r="D1171" s="76">
        <f t="shared" si="61"/>
        <v>693266093.78083372</v>
      </c>
    </row>
    <row r="1172" spans="1:4" x14ac:dyDescent="0.3">
      <c r="A1172">
        <v>553500</v>
      </c>
      <c r="B1172" s="29">
        <f t="shared" si="59"/>
        <v>3568028413.9098263</v>
      </c>
      <c r="C1172" s="39">
        <f t="shared" si="60"/>
        <v>4261950000</v>
      </c>
      <c r="D1172" s="76">
        <f t="shared" si="61"/>
        <v>693921586.09017372</v>
      </c>
    </row>
    <row r="1173" spans="1:4" x14ac:dyDescent="0.3">
      <c r="A1173">
        <v>554000</v>
      </c>
      <c r="B1173" s="29">
        <f t="shared" si="59"/>
        <v>3571222921.6004863</v>
      </c>
      <c r="C1173" s="39">
        <f t="shared" si="60"/>
        <v>4265800000</v>
      </c>
      <c r="D1173" s="76">
        <f t="shared" si="61"/>
        <v>694577078.39951372</v>
      </c>
    </row>
    <row r="1174" spans="1:4" x14ac:dyDescent="0.3">
      <c r="A1174">
        <v>554500</v>
      </c>
      <c r="B1174" s="29">
        <f t="shared" si="59"/>
        <v>3574417429.2911463</v>
      </c>
      <c r="C1174" s="39">
        <f t="shared" si="60"/>
        <v>4269650000</v>
      </c>
      <c r="D1174" s="76">
        <f t="shared" si="61"/>
        <v>695232570.70885372</v>
      </c>
    </row>
    <row r="1175" spans="1:4" x14ac:dyDescent="0.3">
      <c r="A1175">
        <v>555000</v>
      </c>
      <c r="B1175" s="29">
        <f t="shared" si="59"/>
        <v>3577611936.9818063</v>
      </c>
      <c r="C1175" s="39">
        <f t="shared" si="60"/>
        <v>4273500000</v>
      </c>
      <c r="D1175" s="76">
        <f t="shared" si="61"/>
        <v>695888063.01819372</v>
      </c>
    </row>
    <row r="1176" spans="1:4" x14ac:dyDescent="0.3">
      <c r="A1176">
        <v>555500</v>
      </c>
      <c r="B1176" s="29">
        <f t="shared" si="59"/>
        <v>3580806444.6724663</v>
      </c>
      <c r="C1176" s="39">
        <f t="shared" si="60"/>
        <v>4277350000</v>
      </c>
      <c r="D1176" s="76">
        <f t="shared" si="61"/>
        <v>696543555.32753372</v>
      </c>
    </row>
    <row r="1177" spans="1:4" x14ac:dyDescent="0.3">
      <c r="A1177">
        <v>556000</v>
      </c>
      <c r="B1177" s="29">
        <f t="shared" si="59"/>
        <v>3584000952.3631263</v>
      </c>
      <c r="C1177" s="39">
        <f t="shared" si="60"/>
        <v>4281200000</v>
      </c>
      <c r="D1177" s="76">
        <f t="shared" si="61"/>
        <v>697199047.63687372</v>
      </c>
    </row>
    <row r="1178" spans="1:4" x14ac:dyDescent="0.3">
      <c r="A1178">
        <v>556500</v>
      </c>
      <c r="B1178" s="29">
        <f t="shared" si="59"/>
        <v>3587195460.0537863</v>
      </c>
      <c r="C1178" s="39">
        <f t="shared" si="60"/>
        <v>4285050000</v>
      </c>
      <c r="D1178" s="76">
        <f t="shared" si="61"/>
        <v>697854539.94621372</v>
      </c>
    </row>
    <row r="1179" spans="1:4" x14ac:dyDescent="0.3">
      <c r="A1179">
        <v>557000</v>
      </c>
      <c r="B1179" s="29">
        <f t="shared" si="59"/>
        <v>3590389967.7444463</v>
      </c>
      <c r="C1179" s="39">
        <f t="shared" si="60"/>
        <v>4288900000</v>
      </c>
      <c r="D1179" s="76">
        <f t="shared" si="61"/>
        <v>698510032.25555372</v>
      </c>
    </row>
    <row r="1180" spans="1:4" x14ac:dyDescent="0.3">
      <c r="A1180">
        <v>557500</v>
      </c>
      <c r="B1180" s="29">
        <f t="shared" si="59"/>
        <v>3593584475.4351063</v>
      </c>
      <c r="C1180" s="39">
        <f t="shared" si="60"/>
        <v>4292750000</v>
      </c>
      <c r="D1180" s="76">
        <f t="shared" si="61"/>
        <v>699165524.56489372</v>
      </c>
    </row>
    <row r="1181" spans="1:4" x14ac:dyDescent="0.3">
      <c r="A1181">
        <v>558000</v>
      </c>
      <c r="B1181" s="29">
        <f t="shared" si="59"/>
        <v>3596778983.1257663</v>
      </c>
      <c r="C1181" s="39">
        <f t="shared" si="60"/>
        <v>4296600000</v>
      </c>
      <c r="D1181" s="76">
        <f t="shared" si="61"/>
        <v>699821016.87423372</v>
      </c>
    </row>
    <row r="1182" spans="1:4" x14ac:dyDescent="0.3">
      <c r="A1182">
        <v>558500</v>
      </c>
      <c r="B1182" s="29">
        <f t="shared" si="59"/>
        <v>3599973490.8164263</v>
      </c>
      <c r="C1182" s="39">
        <f t="shared" si="60"/>
        <v>4300450000</v>
      </c>
      <c r="D1182" s="76">
        <f t="shared" si="61"/>
        <v>700476509.18357372</v>
      </c>
    </row>
    <row r="1183" spans="1:4" x14ac:dyDescent="0.3">
      <c r="A1183">
        <v>559000</v>
      </c>
      <c r="B1183" s="29">
        <f t="shared" si="59"/>
        <v>3603167998.5070863</v>
      </c>
      <c r="C1183" s="39">
        <f t="shared" si="60"/>
        <v>4304300000</v>
      </c>
      <c r="D1183" s="76">
        <f t="shared" si="61"/>
        <v>701132001.49291372</v>
      </c>
    </row>
    <row r="1184" spans="1:4" x14ac:dyDescent="0.3">
      <c r="A1184">
        <v>559500</v>
      </c>
      <c r="B1184" s="29">
        <f t="shared" si="59"/>
        <v>3606362506.1977463</v>
      </c>
      <c r="C1184" s="39">
        <f t="shared" si="60"/>
        <v>4308150000</v>
      </c>
      <c r="D1184" s="76">
        <f t="shared" si="61"/>
        <v>701787493.80225372</v>
      </c>
    </row>
    <row r="1185" spans="1:4" x14ac:dyDescent="0.3">
      <c r="A1185">
        <v>560000</v>
      </c>
      <c r="B1185" s="29">
        <f t="shared" si="59"/>
        <v>3609557013.8884063</v>
      </c>
      <c r="C1185" s="39">
        <f t="shared" si="60"/>
        <v>4312000000</v>
      </c>
      <c r="D1185" s="76">
        <f t="shared" si="61"/>
        <v>702442986.11159372</v>
      </c>
    </row>
    <row r="1186" spans="1:4" x14ac:dyDescent="0.3">
      <c r="A1186">
        <v>560500</v>
      </c>
      <c r="B1186" s="29">
        <f t="shared" si="59"/>
        <v>3612751521.5790663</v>
      </c>
      <c r="C1186" s="39">
        <f t="shared" si="60"/>
        <v>4315850000</v>
      </c>
      <c r="D1186" s="76">
        <f t="shared" si="61"/>
        <v>703098478.42093372</v>
      </c>
    </row>
    <row r="1187" spans="1:4" x14ac:dyDescent="0.3">
      <c r="A1187">
        <v>561000</v>
      </c>
      <c r="B1187" s="29">
        <f t="shared" si="59"/>
        <v>3615946029.2697263</v>
      </c>
      <c r="C1187" s="39">
        <f t="shared" si="60"/>
        <v>4319700000</v>
      </c>
      <c r="D1187" s="76">
        <f t="shared" si="61"/>
        <v>703753970.73027372</v>
      </c>
    </row>
    <row r="1188" spans="1:4" x14ac:dyDescent="0.3">
      <c r="A1188">
        <v>561500</v>
      </c>
      <c r="B1188" s="29">
        <f t="shared" si="59"/>
        <v>3619140536.9603863</v>
      </c>
      <c r="C1188" s="39">
        <f t="shared" si="60"/>
        <v>4323550000</v>
      </c>
      <c r="D1188" s="76">
        <f t="shared" si="61"/>
        <v>704409463.03961372</v>
      </c>
    </row>
    <row r="1189" spans="1:4" x14ac:dyDescent="0.3">
      <c r="A1189">
        <v>562000</v>
      </c>
      <c r="B1189" s="29">
        <f t="shared" si="59"/>
        <v>3622335044.6510463</v>
      </c>
      <c r="C1189" s="39">
        <f t="shared" si="60"/>
        <v>4327400000</v>
      </c>
      <c r="D1189" s="76">
        <f t="shared" si="61"/>
        <v>705064955.34895372</v>
      </c>
    </row>
    <row r="1190" spans="1:4" x14ac:dyDescent="0.3">
      <c r="A1190">
        <v>562500</v>
      </c>
      <c r="B1190" s="29">
        <f t="shared" si="59"/>
        <v>3625529552.3417063</v>
      </c>
      <c r="C1190" s="39">
        <f t="shared" si="60"/>
        <v>4331250000</v>
      </c>
      <c r="D1190" s="76">
        <f t="shared" si="61"/>
        <v>705720447.65829372</v>
      </c>
    </row>
    <row r="1191" spans="1:4" x14ac:dyDescent="0.3">
      <c r="A1191">
        <v>563000</v>
      </c>
      <c r="B1191" s="29">
        <f t="shared" si="59"/>
        <v>3628724060.0323663</v>
      </c>
      <c r="C1191" s="39">
        <f t="shared" si="60"/>
        <v>4335100000</v>
      </c>
      <c r="D1191" s="76">
        <f t="shared" si="61"/>
        <v>706375939.96763372</v>
      </c>
    </row>
    <row r="1192" spans="1:4" x14ac:dyDescent="0.3">
      <c r="A1192">
        <v>563500</v>
      </c>
      <c r="B1192" s="29">
        <f t="shared" si="59"/>
        <v>3631918567.7230263</v>
      </c>
      <c r="C1192" s="39">
        <f t="shared" si="60"/>
        <v>4338950000</v>
      </c>
      <c r="D1192" s="76">
        <f t="shared" si="61"/>
        <v>707031432.27697372</v>
      </c>
    </row>
    <row r="1193" spans="1:4" x14ac:dyDescent="0.3">
      <c r="A1193">
        <v>564000</v>
      </c>
      <c r="B1193" s="29">
        <f t="shared" si="59"/>
        <v>3635113075.4136863</v>
      </c>
      <c r="C1193" s="39">
        <f t="shared" si="60"/>
        <v>4342800000</v>
      </c>
      <c r="D1193" s="76">
        <f t="shared" si="61"/>
        <v>707686924.58631372</v>
      </c>
    </row>
    <row r="1194" spans="1:4" x14ac:dyDescent="0.3">
      <c r="A1194">
        <v>564500</v>
      </c>
      <c r="B1194" s="29">
        <f t="shared" si="59"/>
        <v>3638307583.1043463</v>
      </c>
      <c r="C1194" s="39">
        <f t="shared" si="60"/>
        <v>4346650000</v>
      </c>
      <c r="D1194" s="76">
        <f t="shared" si="61"/>
        <v>708342416.89565372</v>
      </c>
    </row>
    <row r="1195" spans="1:4" x14ac:dyDescent="0.3">
      <c r="A1195">
        <v>565000</v>
      </c>
      <c r="B1195" s="29">
        <f t="shared" si="59"/>
        <v>3641502090.7950063</v>
      </c>
      <c r="C1195" s="39">
        <f t="shared" si="60"/>
        <v>4350500000</v>
      </c>
      <c r="D1195" s="76">
        <f t="shared" si="61"/>
        <v>708997909.20499372</v>
      </c>
    </row>
    <row r="1196" spans="1:4" x14ac:dyDescent="0.3">
      <c r="A1196">
        <v>565500</v>
      </c>
      <c r="B1196" s="29">
        <f t="shared" si="59"/>
        <v>3644696598.4856663</v>
      </c>
      <c r="C1196" s="39">
        <f t="shared" si="60"/>
        <v>4354350000</v>
      </c>
      <c r="D1196" s="76">
        <f t="shared" si="61"/>
        <v>709653401.51433372</v>
      </c>
    </row>
    <row r="1197" spans="1:4" x14ac:dyDescent="0.3">
      <c r="A1197">
        <v>566000</v>
      </c>
      <c r="B1197" s="29">
        <f t="shared" si="59"/>
        <v>3647891106.1763263</v>
      </c>
      <c r="C1197" s="39">
        <f t="shared" si="60"/>
        <v>4358200000</v>
      </c>
      <c r="D1197" s="76">
        <f t="shared" si="61"/>
        <v>710308893.82367373</v>
      </c>
    </row>
    <row r="1198" spans="1:4" x14ac:dyDescent="0.3">
      <c r="A1198">
        <v>566500</v>
      </c>
      <c r="B1198" s="29">
        <f t="shared" si="59"/>
        <v>3651085613.8669863</v>
      </c>
      <c r="C1198" s="39">
        <f t="shared" si="60"/>
        <v>4362050000</v>
      </c>
      <c r="D1198" s="76">
        <f t="shared" si="61"/>
        <v>710964386.13301373</v>
      </c>
    </row>
    <row r="1199" spans="1:4" x14ac:dyDescent="0.3">
      <c r="A1199">
        <v>567000</v>
      </c>
      <c r="B1199" s="29">
        <f t="shared" si="59"/>
        <v>3654280121.5576463</v>
      </c>
      <c r="C1199" s="39">
        <f t="shared" si="60"/>
        <v>4365900000</v>
      </c>
      <c r="D1199" s="76">
        <f t="shared" si="61"/>
        <v>711619878.44235373</v>
      </c>
    </row>
    <row r="1200" spans="1:4" x14ac:dyDescent="0.3">
      <c r="A1200">
        <v>567500</v>
      </c>
      <c r="B1200" s="29">
        <f t="shared" si="59"/>
        <v>3657474629.2483063</v>
      </c>
      <c r="C1200" s="39">
        <f t="shared" si="60"/>
        <v>4369750000</v>
      </c>
      <c r="D1200" s="76">
        <f t="shared" si="61"/>
        <v>712275370.75169373</v>
      </c>
    </row>
    <row r="1201" spans="1:4" x14ac:dyDescent="0.3">
      <c r="A1201">
        <v>568000</v>
      </c>
      <c r="B1201" s="29">
        <f t="shared" si="59"/>
        <v>3660669136.9389663</v>
      </c>
      <c r="C1201" s="39">
        <f t="shared" si="60"/>
        <v>4373600000</v>
      </c>
      <c r="D1201" s="76">
        <f t="shared" si="61"/>
        <v>712930863.06103373</v>
      </c>
    </row>
    <row r="1202" spans="1:4" x14ac:dyDescent="0.3">
      <c r="A1202">
        <v>568500</v>
      </c>
      <c r="B1202" s="29">
        <f t="shared" si="59"/>
        <v>3663863644.6296263</v>
      </c>
      <c r="C1202" s="39">
        <f t="shared" si="60"/>
        <v>4377450000</v>
      </c>
      <c r="D1202" s="76">
        <f t="shared" si="61"/>
        <v>713586355.37037373</v>
      </c>
    </row>
    <row r="1203" spans="1:4" x14ac:dyDescent="0.3">
      <c r="A1203">
        <v>569000</v>
      </c>
      <c r="B1203" s="29">
        <f t="shared" si="59"/>
        <v>3667058152.3202863</v>
      </c>
      <c r="C1203" s="39">
        <f t="shared" si="60"/>
        <v>4381300000</v>
      </c>
      <c r="D1203" s="76">
        <f t="shared" si="61"/>
        <v>714241847.67971373</v>
      </c>
    </row>
    <row r="1204" spans="1:4" x14ac:dyDescent="0.3">
      <c r="A1204">
        <v>569500</v>
      </c>
      <c r="B1204" s="29">
        <f t="shared" si="59"/>
        <v>3670252660.0109463</v>
      </c>
      <c r="C1204" s="39">
        <f t="shared" si="60"/>
        <v>4385150000</v>
      </c>
      <c r="D1204" s="76">
        <f t="shared" si="61"/>
        <v>714897339.98905373</v>
      </c>
    </row>
    <row r="1205" spans="1:4" x14ac:dyDescent="0.3">
      <c r="A1205">
        <v>570000</v>
      </c>
      <c r="B1205" s="29">
        <f t="shared" si="59"/>
        <v>3673447167.7016063</v>
      </c>
      <c r="C1205" s="39">
        <f t="shared" si="60"/>
        <v>4389000000</v>
      </c>
      <c r="D1205" s="76">
        <f t="shared" si="61"/>
        <v>715552832.29839373</v>
      </c>
    </row>
    <row r="1206" spans="1:4" x14ac:dyDescent="0.3">
      <c r="A1206">
        <v>570500</v>
      </c>
      <c r="B1206" s="29">
        <f t="shared" si="59"/>
        <v>3676641675.3922663</v>
      </c>
      <c r="C1206" s="39">
        <f t="shared" si="60"/>
        <v>4392850000</v>
      </c>
      <c r="D1206" s="76">
        <f t="shared" si="61"/>
        <v>716208324.60773373</v>
      </c>
    </row>
    <row r="1207" spans="1:4" x14ac:dyDescent="0.3">
      <c r="A1207">
        <v>571000</v>
      </c>
      <c r="B1207" s="29">
        <f t="shared" si="59"/>
        <v>3679836183.0829263</v>
      </c>
      <c r="C1207" s="39">
        <f t="shared" si="60"/>
        <v>4396700000</v>
      </c>
      <c r="D1207" s="76">
        <f t="shared" si="61"/>
        <v>716863816.91707373</v>
      </c>
    </row>
    <row r="1208" spans="1:4" x14ac:dyDescent="0.3">
      <c r="A1208">
        <v>571500</v>
      </c>
      <c r="B1208" s="29">
        <f t="shared" si="59"/>
        <v>3683030690.7735863</v>
      </c>
      <c r="C1208" s="39">
        <f t="shared" si="60"/>
        <v>4400550000</v>
      </c>
      <c r="D1208" s="76">
        <f t="shared" si="61"/>
        <v>717519309.22641373</v>
      </c>
    </row>
    <row r="1209" spans="1:4" x14ac:dyDescent="0.3">
      <c r="A1209">
        <v>572000</v>
      </c>
      <c r="B1209" s="29">
        <f t="shared" si="59"/>
        <v>3686225198.4642463</v>
      </c>
      <c r="C1209" s="39">
        <f t="shared" si="60"/>
        <v>4404400000</v>
      </c>
      <c r="D1209" s="76">
        <f t="shared" si="61"/>
        <v>718174801.53575373</v>
      </c>
    </row>
    <row r="1210" spans="1:4" x14ac:dyDescent="0.3">
      <c r="A1210">
        <v>572500</v>
      </c>
      <c r="B1210" s="29">
        <f t="shared" si="59"/>
        <v>3689419706.1549063</v>
      </c>
      <c r="C1210" s="39">
        <f t="shared" si="60"/>
        <v>4408250000</v>
      </c>
      <c r="D1210" s="76">
        <f t="shared" si="61"/>
        <v>718830293.84509373</v>
      </c>
    </row>
    <row r="1211" spans="1:4" x14ac:dyDescent="0.3">
      <c r="A1211">
        <v>573000</v>
      </c>
      <c r="B1211" s="29">
        <f t="shared" si="59"/>
        <v>3692614213.8455663</v>
      </c>
      <c r="C1211" s="39">
        <f t="shared" si="60"/>
        <v>4412100000</v>
      </c>
      <c r="D1211" s="76">
        <f t="shared" si="61"/>
        <v>719485786.15443373</v>
      </c>
    </row>
    <row r="1212" spans="1:4" x14ac:dyDescent="0.3">
      <c r="A1212">
        <v>573500</v>
      </c>
      <c r="B1212" s="29">
        <f t="shared" si="59"/>
        <v>3695808721.5362263</v>
      </c>
      <c r="C1212" s="39">
        <f t="shared" si="60"/>
        <v>4415950000</v>
      </c>
      <c r="D1212" s="76">
        <f t="shared" si="61"/>
        <v>720141278.46377373</v>
      </c>
    </row>
    <row r="1213" spans="1:4" x14ac:dyDescent="0.3">
      <c r="A1213">
        <v>574000</v>
      </c>
      <c r="B1213" s="29">
        <f t="shared" si="59"/>
        <v>3699003229.2268863</v>
      </c>
      <c r="C1213" s="39">
        <f t="shared" si="60"/>
        <v>4419800000</v>
      </c>
      <c r="D1213" s="76">
        <f t="shared" si="61"/>
        <v>720796770.77311373</v>
      </c>
    </row>
    <row r="1214" spans="1:4" x14ac:dyDescent="0.3">
      <c r="A1214">
        <v>574500</v>
      </c>
      <c r="B1214" s="29">
        <f t="shared" si="59"/>
        <v>3702197736.9175463</v>
      </c>
      <c r="C1214" s="39">
        <f t="shared" si="60"/>
        <v>4423650000</v>
      </c>
      <c r="D1214" s="76">
        <f t="shared" si="61"/>
        <v>721452263.08245373</v>
      </c>
    </row>
    <row r="1215" spans="1:4" x14ac:dyDescent="0.3">
      <c r="A1215">
        <v>575000</v>
      </c>
      <c r="B1215" s="29">
        <f t="shared" si="59"/>
        <v>3705392244.6082063</v>
      </c>
      <c r="C1215" s="39">
        <f t="shared" si="60"/>
        <v>4427500000</v>
      </c>
      <c r="D1215" s="76">
        <f t="shared" si="61"/>
        <v>722107755.39179373</v>
      </c>
    </row>
    <row r="1216" spans="1:4" x14ac:dyDescent="0.3">
      <c r="A1216">
        <v>575500</v>
      </c>
      <c r="B1216" s="29">
        <f t="shared" si="59"/>
        <v>3708586752.2988663</v>
      </c>
      <c r="C1216" s="39">
        <f t="shared" si="60"/>
        <v>4431350000</v>
      </c>
      <c r="D1216" s="76">
        <f t="shared" si="61"/>
        <v>722763247.70113373</v>
      </c>
    </row>
    <row r="1217" spans="1:4" x14ac:dyDescent="0.3">
      <c r="A1217">
        <v>576000</v>
      </c>
      <c r="B1217" s="29">
        <f t="shared" si="59"/>
        <v>3711781259.9895263</v>
      </c>
      <c r="C1217" s="39">
        <f t="shared" si="60"/>
        <v>4435200000</v>
      </c>
      <c r="D1217" s="76">
        <f t="shared" si="61"/>
        <v>723418740.01047373</v>
      </c>
    </row>
    <row r="1218" spans="1:4" x14ac:dyDescent="0.3">
      <c r="A1218">
        <v>576500</v>
      </c>
      <c r="B1218" s="29">
        <f t="shared" ref="B1218:B1281" si="62">$B$54+($B$60*A1218)</f>
        <v>3714975767.6801863</v>
      </c>
      <c r="C1218" s="39">
        <f t="shared" ref="C1218:C1281" si="63">$E$50*A1218</f>
        <v>4439050000</v>
      </c>
      <c r="D1218" s="76">
        <f t="shared" ref="D1218:D1281" si="64">C1218-B1218</f>
        <v>724074232.31981373</v>
      </c>
    </row>
    <row r="1219" spans="1:4" x14ac:dyDescent="0.3">
      <c r="A1219">
        <v>577000</v>
      </c>
      <c r="B1219" s="29">
        <f t="shared" si="62"/>
        <v>3718170275.3708463</v>
      </c>
      <c r="C1219" s="39">
        <f t="shared" si="63"/>
        <v>4442900000</v>
      </c>
      <c r="D1219" s="76">
        <f t="shared" si="64"/>
        <v>724729724.62915373</v>
      </c>
    </row>
    <row r="1220" spans="1:4" x14ac:dyDescent="0.3">
      <c r="A1220">
        <v>577500</v>
      </c>
      <c r="B1220" s="29">
        <f t="shared" si="62"/>
        <v>3721364783.0615063</v>
      </c>
      <c r="C1220" s="39">
        <f t="shared" si="63"/>
        <v>4446750000</v>
      </c>
      <c r="D1220" s="76">
        <f t="shared" si="64"/>
        <v>725385216.93849373</v>
      </c>
    </row>
    <row r="1221" spans="1:4" x14ac:dyDescent="0.3">
      <c r="A1221">
        <v>578000</v>
      </c>
      <c r="B1221" s="29">
        <f t="shared" si="62"/>
        <v>3724559290.7521663</v>
      </c>
      <c r="C1221" s="39">
        <f t="shared" si="63"/>
        <v>4450600000</v>
      </c>
      <c r="D1221" s="76">
        <f t="shared" si="64"/>
        <v>726040709.24783373</v>
      </c>
    </row>
    <row r="1222" spans="1:4" x14ac:dyDescent="0.3">
      <c r="A1222">
        <v>578500</v>
      </c>
      <c r="B1222" s="29">
        <f t="shared" si="62"/>
        <v>3727753798.4428263</v>
      </c>
      <c r="C1222" s="39">
        <f t="shared" si="63"/>
        <v>4454450000</v>
      </c>
      <c r="D1222" s="76">
        <f t="shared" si="64"/>
        <v>726696201.55717373</v>
      </c>
    </row>
    <row r="1223" spans="1:4" x14ac:dyDescent="0.3">
      <c r="A1223">
        <v>579000</v>
      </c>
      <c r="B1223" s="29">
        <f t="shared" si="62"/>
        <v>3730948306.1334863</v>
      </c>
      <c r="C1223" s="39">
        <f t="shared" si="63"/>
        <v>4458300000</v>
      </c>
      <c r="D1223" s="76">
        <f t="shared" si="64"/>
        <v>727351693.86651373</v>
      </c>
    </row>
    <row r="1224" spans="1:4" x14ac:dyDescent="0.3">
      <c r="A1224">
        <v>579500</v>
      </c>
      <c r="B1224" s="29">
        <f t="shared" si="62"/>
        <v>3734142813.8241463</v>
      </c>
      <c r="C1224" s="39">
        <f t="shared" si="63"/>
        <v>4462150000</v>
      </c>
      <c r="D1224" s="76">
        <f t="shared" si="64"/>
        <v>728007186.17585373</v>
      </c>
    </row>
    <row r="1225" spans="1:4" x14ac:dyDescent="0.3">
      <c r="A1225">
        <v>580000</v>
      </c>
      <c r="B1225" s="29">
        <f t="shared" si="62"/>
        <v>3737337321.5148063</v>
      </c>
      <c r="C1225" s="39">
        <f t="shared" si="63"/>
        <v>4466000000</v>
      </c>
      <c r="D1225" s="76">
        <f t="shared" si="64"/>
        <v>728662678.48519373</v>
      </c>
    </row>
    <row r="1226" spans="1:4" x14ac:dyDescent="0.3">
      <c r="A1226">
        <v>580500</v>
      </c>
      <c r="B1226" s="29">
        <f t="shared" si="62"/>
        <v>3740531829.2054663</v>
      </c>
      <c r="C1226" s="39">
        <f t="shared" si="63"/>
        <v>4469850000</v>
      </c>
      <c r="D1226" s="76">
        <f t="shared" si="64"/>
        <v>729318170.79453373</v>
      </c>
    </row>
    <row r="1227" spans="1:4" x14ac:dyDescent="0.3">
      <c r="A1227">
        <v>581000</v>
      </c>
      <c r="B1227" s="29">
        <f t="shared" si="62"/>
        <v>3743726336.8961263</v>
      </c>
      <c r="C1227" s="39">
        <f t="shared" si="63"/>
        <v>4473700000</v>
      </c>
      <c r="D1227" s="76">
        <f t="shared" si="64"/>
        <v>729973663.10387373</v>
      </c>
    </row>
    <row r="1228" spans="1:4" x14ac:dyDescent="0.3">
      <c r="A1228">
        <v>581500</v>
      </c>
      <c r="B1228" s="29">
        <f t="shared" si="62"/>
        <v>3746920844.5867863</v>
      </c>
      <c r="C1228" s="39">
        <f t="shared" si="63"/>
        <v>4477550000</v>
      </c>
      <c r="D1228" s="76">
        <f t="shared" si="64"/>
        <v>730629155.41321373</v>
      </c>
    </row>
    <row r="1229" spans="1:4" x14ac:dyDescent="0.3">
      <c r="A1229">
        <v>582000</v>
      </c>
      <c r="B1229" s="29">
        <f t="shared" si="62"/>
        <v>3750115352.2774463</v>
      </c>
      <c r="C1229" s="39">
        <f t="shared" si="63"/>
        <v>4481400000</v>
      </c>
      <c r="D1229" s="76">
        <f t="shared" si="64"/>
        <v>731284647.72255373</v>
      </c>
    </row>
    <row r="1230" spans="1:4" x14ac:dyDescent="0.3">
      <c r="A1230">
        <v>582500</v>
      </c>
      <c r="B1230" s="29">
        <f t="shared" si="62"/>
        <v>3753309859.9681063</v>
      </c>
      <c r="C1230" s="39">
        <f t="shared" si="63"/>
        <v>4485250000</v>
      </c>
      <c r="D1230" s="76">
        <f t="shared" si="64"/>
        <v>731940140.03189373</v>
      </c>
    </row>
    <row r="1231" spans="1:4" x14ac:dyDescent="0.3">
      <c r="A1231">
        <v>583000</v>
      </c>
      <c r="B1231" s="29">
        <f t="shared" si="62"/>
        <v>3756504367.6587663</v>
      </c>
      <c r="C1231" s="39">
        <f t="shared" si="63"/>
        <v>4489100000</v>
      </c>
      <c r="D1231" s="76">
        <f t="shared" si="64"/>
        <v>732595632.34123373</v>
      </c>
    </row>
    <row r="1232" spans="1:4" x14ac:dyDescent="0.3">
      <c r="A1232">
        <v>583500</v>
      </c>
      <c r="B1232" s="29">
        <f t="shared" si="62"/>
        <v>3759698875.3494263</v>
      </c>
      <c r="C1232" s="39">
        <f t="shared" si="63"/>
        <v>4492950000</v>
      </c>
      <c r="D1232" s="76">
        <f t="shared" si="64"/>
        <v>733251124.65057373</v>
      </c>
    </row>
    <row r="1233" spans="1:4" x14ac:dyDescent="0.3">
      <c r="A1233">
        <v>584000</v>
      </c>
      <c r="B1233" s="29">
        <f t="shared" si="62"/>
        <v>3762893383.0400863</v>
      </c>
      <c r="C1233" s="39">
        <f t="shared" si="63"/>
        <v>4496800000</v>
      </c>
      <c r="D1233" s="76">
        <f t="shared" si="64"/>
        <v>733906616.95991373</v>
      </c>
    </row>
    <row r="1234" spans="1:4" x14ac:dyDescent="0.3">
      <c r="A1234">
        <v>584500</v>
      </c>
      <c r="B1234" s="29">
        <f t="shared" si="62"/>
        <v>3766087890.7307463</v>
      </c>
      <c r="C1234" s="39">
        <f t="shared" si="63"/>
        <v>4500650000</v>
      </c>
      <c r="D1234" s="76">
        <f t="shared" si="64"/>
        <v>734562109.26925373</v>
      </c>
    </row>
    <row r="1235" spans="1:4" x14ac:dyDescent="0.3">
      <c r="A1235">
        <v>585000</v>
      </c>
      <c r="B1235" s="29">
        <f t="shared" si="62"/>
        <v>3769282398.4214063</v>
      </c>
      <c r="C1235" s="39">
        <f t="shared" si="63"/>
        <v>4504500000</v>
      </c>
      <c r="D1235" s="76">
        <f t="shared" si="64"/>
        <v>735217601.57859373</v>
      </c>
    </row>
    <row r="1236" spans="1:4" x14ac:dyDescent="0.3">
      <c r="A1236">
        <v>585500</v>
      </c>
      <c r="B1236" s="29">
        <f t="shared" si="62"/>
        <v>3772476906.1120663</v>
      </c>
      <c r="C1236" s="39">
        <f t="shared" si="63"/>
        <v>4508350000</v>
      </c>
      <c r="D1236" s="76">
        <f t="shared" si="64"/>
        <v>735873093.88793373</v>
      </c>
    </row>
    <row r="1237" spans="1:4" x14ac:dyDescent="0.3">
      <c r="A1237">
        <v>586000</v>
      </c>
      <c r="B1237" s="29">
        <f t="shared" si="62"/>
        <v>3775671413.8027263</v>
      </c>
      <c r="C1237" s="39">
        <f t="shared" si="63"/>
        <v>4512200000</v>
      </c>
      <c r="D1237" s="76">
        <f t="shared" si="64"/>
        <v>736528586.19727373</v>
      </c>
    </row>
    <row r="1238" spans="1:4" x14ac:dyDescent="0.3">
      <c r="A1238">
        <v>586500</v>
      </c>
      <c r="B1238" s="29">
        <f t="shared" si="62"/>
        <v>3778865921.4933863</v>
      </c>
      <c r="C1238" s="39">
        <f t="shared" si="63"/>
        <v>4516050000</v>
      </c>
      <c r="D1238" s="76">
        <f t="shared" si="64"/>
        <v>737184078.50661373</v>
      </c>
    </row>
    <row r="1239" spans="1:4" x14ac:dyDescent="0.3">
      <c r="A1239">
        <v>587000</v>
      </c>
      <c r="B1239" s="29">
        <f t="shared" si="62"/>
        <v>3782060429.1840463</v>
      </c>
      <c r="C1239" s="39">
        <f t="shared" si="63"/>
        <v>4519900000</v>
      </c>
      <c r="D1239" s="76">
        <f t="shared" si="64"/>
        <v>737839570.81595373</v>
      </c>
    </row>
    <row r="1240" spans="1:4" x14ac:dyDescent="0.3">
      <c r="A1240">
        <v>587500</v>
      </c>
      <c r="B1240" s="29">
        <f t="shared" si="62"/>
        <v>3785254936.8747063</v>
      </c>
      <c r="C1240" s="39">
        <f t="shared" si="63"/>
        <v>4523750000</v>
      </c>
      <c r="D1240" s="76">
        <f t="shared" si="64"/>
        <v>738495063.12529373</v>
      </c>
    </row>
    <row r="1241" spans="1:4" x14ac:dyDescent="0.3">
      <c r="A1241">
        <v>588000</v>
      </c>
      <c r="B1241" s="29">
        <f t="shared" si="62"/>
        <v>3788449444.5653663</v>
      </c>
      <c r="C1241" s="39">
        <f t="shared" si="63"/>
        <v>4527600000</v>
      </c>
      <c r="D1241" s="76">
        <f t="shared" si="64"/>
        <v>739150555.43463373</v>
      </c>
    </row>
    <row r="1242" spans="1:4" x14ac:dyDescent="0.3">
      <c r="A1242">
        <v>588500</v>
      </c>
      <c r="B1242" s="29">
        <f t="shared" si="62"/>
        <v>3791643952.2560263</v>
      </c>
      <c r="C1242" s="39">
        <f t="shared" si="63"/>
        <v>4531450000</v>
      </c>
      <c r="D1242" s="76">
        <f t="shared" si="64"/>
        <v>739806047.74397373</v>
      </c>
    </row>
    <row r="1243" spans="1:4" x14ac:dyDescent="0.3">
      <c r="A1243">
        <v>589000</v>
      </c>
      <c r="B1243" s="29">
        <f t="shared" si="62"/>
        <v>3794838459.9466863</v>
      </c>
      <c r="C1243" s="39">
        <f t="shared" si="63"/>
        <v>4535300000</v>
      </c>
      <c r="D1243" s="76">
        <f t="shared" si="64"/>
        <v>740461540.05331373</v>
      </c>
    </row>
    <row r="1244" spans="1:4" x14ac:dyDescent="0.3">
      <c r="A1244">
        <v>589500</v>
      </c>
      <c r="B1244" s="29">
        <f t="shared" si="62"/>
        <v>3798032967.6373463</v>
      </c>
      <c r="C1244" s="39">
        <f t="shared" si="63"/>
        <v>4539150000</v>
      </c>
      <c r="D1244" s="76">
        <f t="shared" si="64"/>
        <v>741117032.36265373</v>
      </c>
    </row>
    <row r="1245" spans="1:4" x14ac:dyDescent="0.3">
      <c r="A1245">
        <v>590000</v>
      </c>
      <c r="B1245" s="29">
        <f t="shared" si="62"/>
        <v>3801227475.3280063</v>
      </c>
      <c r="C1245" s="39">
        <f t="shared" si="63"/>
        <v>4543000000</v>
      </c>
      <c r="D1245" s="76">
        <f t="shared" si="64"/>
        <v>741772524.67199373</v>
      </c>
    </row>
    <row r="1246" spans="1:4" x14ac:dyDescent="0.3">
      <c r="A1246">
        <v>590500</v>
      </c>
      <c r="B1246" s="29">
        <f t="shared" si="62"/>
        <v>3804421983.0186663</v>
      </c>
      <c r="C1246" s="39">
        <f t="shared" si="63"/>
        <v>4546850000</v>
      </c>
      <c r="D1246" s="76">
        <f t="shared" si="64"/>
        <v>742428016.98133373</v>
      </c>
    </row>
    <row r="1247" spans="1:4" x14ac:dyDescent="0.3">
      <c r="A1247">
        <v>591000</v>
      </c>
      <c r="B1247" s="29">
        <f t="shared" si="62"/>
        <v>3807616490.7093263</v>
      </c>
      <c r="C1247" s="39">
        <f t="shared" si="63"/>
        <v>4550700000</v>
      </c>
      <c r="D1247" s="76">
        <f t="shared" si="64"/>
        <v>743083509.29067373</v>
      </c>
    </row>
    <row r="1248" spans="1:4" x14ac:dyDescent="0.3">
      <c r="A1248">
        <v>591500</v>
      </c>
      <c r="B1248" s="29">
        <f t="shared" si="62"/>
        <v>3810810998.3999863</v>
      </c>
      <c r="C1248" s="39">
        <f t="shared" si="63"/>
        <v>4554550000</v>
      </c>
      <c r="D1248" s="76">
        <f t="shared" si="64"/>
        <v>743739001.60001373</v>
      </c>
    </row>
    <row r="1249" spans="1:4" x14ac:dyDescent="0.3">
      <c r="A1249">
        <v>592000</v>
      </c>
      <c r="B1249" s="29">
        <f t="shared" si="62"/>
        <v>3814005506.0906463</v>
      </c>
      <c r="C1249" s="39">
        <f t="shared" si="63"/>
        <v>4558400000</v>
      </c>
      <c r="D1249" s="76">
        <f t="shared" si="64"/>
        <v>744394493.90935373</v>
      </c>
    </row>
    <row r="1250" spans="1:4" x14ac:dyDescent="0.3">
      <c r="A1250">
        <v>592500</v>
      </c>
      <c r="B1250" s="29">
        <f t="shared" si="62"/>
        <v>3817200013.7813063</v>
      </c>
      <c r="C1250" s="39">
        <f t="shared" si="63"/>
        <v>4562250000</v>
      </c>
      <c r="D1250" s="76">
        <f t="shared" si="64"/>
        <v>745049986.21869373</v>
      </c>
    </row>
    <row r="1251" spans="1:4" x14ac:dyDescent="0.3">
      <c r="A1251">
        <v>593000</v>
      </c>
      <c r="B1251" s="29">
        <f t="shared" si="62"/>
        <v>3820394521.4719663</v>
      </c>
      <c r="C1251" s="39">
        <f t="shared" si="63"/>
        <v>4566100000</v>
      </c>
      <c r="D1251" s="76">
        <f t="shared" si="64"/>
        <v>745705478.52803373</v>
      </c>
    </row>
    <row r="1252" spans="1:4" x14ac:dyDescent="0.3">
      <c r="A1252">
        <v>593500</v>
      </c>
      <c r="B1252" s="29">
        <f t="shared" si="62"/>
        <v>3823589029.1626263</v>
      </c>
      <c r="C1252" s="39">
        <f t="shared" si="63"/>
        <v>4569950000</v>
      </c>
      <c r="D1252" s="76">
        <f t="shared" si="64"/>
        <v>746360970.83737373</v>
      </c>
    </row>
    <row r="1253" spans="1:4" x14ac:dyDescent="0.3">
      <c r="A1253">
        <v>594000</v>
      </c>
      <c r="B1253" s="29">
        <f t="shared" si="62"/>
        <v>3826783536.8532863</v>
      </c>
      <c r="C1253" s="39">
        <f t="shared" si="63"/>
        <v>4573800000</v>
      </c>
      <c r="D1253" s="76">
        <f t="shared" si="64"/>
        <v>747016463.14671373</v>
      </c>
    </row>
    <row r="1254" spans="1:4" x14ac:dyDescent="0.3">
      <c r="A1254">
        <v>594500</v>
      </c>
      <c r="B1254" s="29">
        <f t="shared" si="62"/>
        <v>3829978044.5439463</v>
      </c>
      <c r="C1254" s="39">
        <f t="shared" si="63"/>
        <v>4577650000</v>
      </c>
      <c r="D1254" s="76">
        <f t="shared" si="64"/>
        <v>747671955.45605373</v>
      </c>
    </row>
    <row r="1255" spans="1:4" x14ac:dyDescent="0.3">
      <c r="A1255">
        <v>595000</v>
      </c>
      <c r="B1255" s="29">
        <f t="shared" si="62"/>
        <v>3833172552.2346063</v>
      </c>
      <c r="C1255" s="39">
        <f t="shared" si="63"/>
        <v>4581500000</v>
      </c>
      <c r="D1255" s="76">
        <f t="shared" si="64"/>
        <v>748327447.76539373</v>
      </c>
    </row>
    <row r="1256" spans="1:4" x14ac:dyDescent="0.3">
      <c r="A1256">
        <v>595500</v>
      </c>
      <c r="B1256" s="29">
        <f t="shared" si="62"/>
        <v>3836367059.9252663</v>
      </c>
      <c r="C1256" s="39">
        <f t="shared" si="63"/>
        <v>4585350000</v>
      </c>
      <c r="D1256" s="76">
        <f t="shared" si="64"/>
        <v>748982940.07473373</v>
      </c>
    </row>
    <row r="1257" spans="1:4" x14ac:dyDescent="0.3">
      <c r="A1257">
        <v>596000</v>
      </c>
      <c r="B1257" s="29">
        <f t="shared" si="62"/>
        <v>3839561567.6159263</v>
      </c>
      <c r="C1257" s="39">
        <f t="shared" si="63"/>
        <v>4589200000</v>
      </c>
      <c r="D1257" s="76">
        <f t="shared" si="64"/>
        <v>749638432.38407373</v>
      </c>
    </row>
    <row r="1258" spans="1:4" x14ac:dyDescent="0.3">
      <c r="A1258">
        <v>596500</v>
      </c>
      <c r="B1258" s="29">
        <f t="shared" si="62"/>
        <v>3842756075.3065863</v>
      </c>
      <c r="C1258" s="39">
        <f t="shared" si="63"/>
        <v>4593050000</v>
      </c>
      <c r="D1258" s="76">
        <f t="shared" si="64"/>
        <v>750293924.69341373</v>
      </c>
    </row>
    <row r="1259" spans="1:4" x14ac:dyDescent="0.3">
      <c r="A1259">
        <v>597000</v>
      </c>
      <c r="B1259" s="29">
        <f t="shared" si="62"/>
        <v>3845950582.9972463</v>
      </c>
      <c r="C1259" s="39">
        <f t="shared" si="63"/>
        <v>4596900000</v>
      </c>
      <c r="D1259" s="76">
        <f t="shared" si="64"/>
        <v>750949417.00275373</v>
      </c>
    </row>
    <row r="1260" spans="1:4" x14ac:dyDescent="0.3">
      <c r="A1260">
        <v>597500</v>
      </c>
      <c r="B1260" s="29">
        <f t="shared" si="62"/>
        <v>3849145090.6879063</v>
      </c>
      <c r="C1260" s="39">
        <f t="shared" si="63"/>
        <v>4600750000</v>
      </c>
      <c r="D1260" s="76">
        <f t="shared" si="64"/>
        <v>751604909.31209373</v>
      </c>
    </row>
    <row r="1261" spans="1:4" x14ac:dyDescent="0.3">
      <c r="A1261">
        <v>598000</v>
      </c>
      <c r="B1261" s="29">
        <f t="shared" si="62"/>
        <v>3852339598.3785663</v>
      </c>
      <c r="C1261" s="39">
        <f t="shared" si="63"/>
        <v>4604600000</v>
      </c>
      <c r="D1261" s="76">
        <f t="shared" si="64"/>
        <v>752260401.62143373</v>
      </c>
    </row>
    <row r="1262" spans="1:4" x14ac:dyDescent="0.3">
      <c r="A1262">
        <v>598500</v>
      </c>
      <c r="B1262" s="29">
        <f t="shared" si="62"/>
        <v>3855534106.0692263</v>
      </c>
      <c r="C1262" s="39">
        <f t="shared" si="63"/>
        <v>4608450000</v>
      </c>
      <c r="D1262" s="76">
        <f t="shared" si="64"/>
        <v>752915893.93077374</v>
      </c>
    </row>
    <row r="1263" spans="1:4" x14ac:dyDescent="0.3">
      <c r="A1263">
        <v>599000</v>
      </c>
      <c r="B1263" s="29">
        <f t="shared" si="62"/>
        <v>3858728613.7598863</v>
      </c>
      <c r="C1263" s="39">
        <f t="shared" si="63"/>
        <v>4612300000</v>
      </c>
      <c r="D1263" s="76">
        <f t="shared" si="64"/>
        <v>753571386.24011374</v>
      </c>
    </row>
    <row r="1264" spans="1:4" x14ac:dyDescent="0.3">
      <c r="A1264">
        <v>599500</v>
      </c>
      <c r="B1264" s="29">
        <f t="shared" si="62"/>
        <v>3861923121.4505463</v>
      </c>
      <c r="C1264" s="39">
        <f t="shared" si="63"/>
        <v>4616150000</v>
      </c>
      <c r="D1264" s="76">
        <f t="shared" si="64"/>
        <v>754226878.54945374</v>
      </c>
    </row>
    <row r="1265" spans="1:4" x14ac:dyDescent="0.3">
      <c r="A1265">
        <v>600000</v>
      </c>
      <c r="B1265" s="29">
        <f t="shared" si="62"/>
        <v>3865117629.1412063</v>
      </c>
      <c r="C1265" s="39">
        <f t="shared" si="63"/>
        <v>4620000000</v>
      </c>
      <c r="D1265" s="76">
        <f t="shared" si="64"/>
        <v>754882370.85879374</v>
      </c>
    </row>
    <row r="1266" spans="1:4" x14ac:dyDescent="0.3">
      <c r="A1266">
        <v>600500</v>
      </c>
      <c r="B1266" s="29">
        <f t="shared" si="62"/>
        <v>3868312136.8318663</v>
      </c>
      <c r="C1266" s="39">
        <f t="shared" si="63"/>
        <v>4623850000</v>
      </c>
      <c r="D1266" s="76">
        <f t="shared" si="64"/>
        <v>755537863.16813374</v>
      </c>
    </row>
    <row r="1267" spans="1:4" x14ac:dyDescent="0.3">
      <c r="A1267">
        <v>601000</v>
      </c>
      <c r="B1267" s="29">
        <f t="shared" si="62"/>
        <v>3871506644.5225263</v>
      </c>
      <c r="C1267" s="39">
        <f t="shared" si="63"/>
        <v>4627700000</v>
      </c>
      <c r="D1267" s="76">
        <f t="shared" si="64"/>
        <v>756193355.47747374</v>
      </c>
    </row>
    <row r="1268" spans="1:4" x14ac:dyDescent="0.3">
      <c r="A1268">
        <v>601500</v>
      </c>
      <c r="B1268" s="29">
        <f t="shared" si="62"/>
        <v>3874701152.2131863</v>
      </c>
      <c r="C1268" s="39">
        <f t="shared" si="63"/>
        <v>4631550000</v>
      </c>
      <c r="D1268" s="76">
        <f t="shared" si="64"/>
        <v>756848847.78681374</v>
      </c>
    </row>
    <row r="1269" spans="1:4" x14ac:dyDescent="0.3">
      <c r="A1269">
        <v>602000</v>
      </c>
      <c r="B1269" s="29">
        <f t="shared" si="62"/>
        <v>3877895659.9038463</v>
      </c>
      <c r="C1269" s="39">
        <f t="shared" si="63"/>
        <v>4635400000</v>
      </c>
      <c r="D1269" s="76">
        <f t="shared" si="64"/>
        <v>757504340.09615374</v>
      </c>
    </row>
    <row r="1270" spans="1:4" x14ac:dyDescent="0.3">
      <c r="A1270">
        <v>602500</v>
      </c>
      <c r="B1270" s="29">
        <f t="shared" si="62"/>
        <v>3881090167.5945063</v>
      </c>
      <c r="C1270" s="39">
        <f t="shared" si="63"/>
        <v>4639250000</v>
      </c>
      <c r="D1270" s="76">
        <f t="shared" si="64"/>
        <v>758159832.40549374</v>
      </c>
    </row>
    <row r="1271" spans="1:4" x14ac:dyDescent="0.3">
      <c r="A1271">
        <v>603000</v>
      </c>
      <c r="B1271" s="29">
        <f t="shared" si="62"/>
        <v>3884284675.2851663</v>
      </c>
      <c r="C1271" s="39">
        <f t="shared" si="63"/>
        <v>4643100000</v>
      </c>
      <c r="D1271" s="76">
        <f t="shared" si="64"/>
        <v>758815324.71483374</v>
      </c>
    </row>
    <row r="1272" spans="1:4" x14ac:dyDescent="0.3">
      <c r="A1272">
        <v>603500</v>
      </c>
      <c r="B1272" s="29">
        <f t="shared" si="62"/>
        <v>3887479182.9758263</v>
      </c>
      <c r="C1272" s="39">
        <f t="shared" si="63"/>
        <v>4646950000</v>
      </c>
      <c r="D1272" s="76">
        <f t="shared" si="64"/>
        <v>759470817.02417374</v>
      </c>
    </row>
    <row r="1273" spans="1:4" x14ac:dyDescent="0.3">
      <c r="A1273">
        <v>604000</v>
      </c>
      <c r="B1273" s="29">
        <f t="shared" si="62"/>
        <v>3890673690.6664863</v>
      </c>
      <c r="C1273" s="39">
        <f t="shared" si="63"/>
        <v>4650800000</v>
      </c>
      <c r="D1273" s="76">
        <f t="shared" si="64"/>
        <v>760126309.33351374</v>
      </c>
    </row>
    <row r="1274" spans="1:4" x14ac:dyDescent="0.3">
      <c r="A1274">
        <v>604500</v>
      </c>
      <c r="B1274" s="29">
        <f t="shared" si="62"/>
        <v>3893868198.3571463</v>
      </c>
      <c r="C1274" s="39">
        <f t="shared" si="63"/>
        <v>4654650000</v>
      </c>
      <c r="D1274" s="76">
        <f t="shared" si="64"/>
        <v>760781801.64285374</v>
      </c>
    </row>
    <row r="1275" spans="1:4" x14ac:dyDescent="0.3">
      <c r="A1275">
        <v>605000</v>
      </c>
      <c r="B1275" s="29">
        <f t="shared" si="62"/>
        <v>3897062706.0478063</v>
      </c>
      <c r="C1275" s="39">
        <f t="shared" si="63"/>
        <v>4658500000</v>
      </c>
      <c r="D1275" s="76">
        <f t="shared" si="64"/>
        <v>761437293.95219374</v>
      </c>
    </row>
    <row r="1276" spans="1:4" x14ac:dyDescent="0.3">
      <c r="A1276">
        <v>605500</v>
      </c>
      <c r="B1276" s="29">
        <f t="shared" si="62"/>
        <v>3900257213.7384663</v>
      </c>
      <c r="C1276" s="39">
        <f t="shared" si="63"/>
        <v>4662350000</v>
      </c>
      <c r="D1276" s="76">
        <f t="shared" si="64"/>
        <v>762092786.26153374</v>
      </c>
    </row>
    <row r="1277" spans="1:4" x14ac:dyDescent="0.3">
      <c r="A1277">
        <v>606000</v>
      </c>
      <c r="B1277" s="29">
        <f t="shared" si="62"/>
        <v>3903451721.4291263</v>
      </c>
      <c r="C1277" s="39">
        <f t="shared" si="63"/>
        <v>4666200000</v>
      </c>
      <c r="D1277" s="76">
        <f t="shared" si="64"/>
        <v>762748278.57087374</v>
      </c>
    </row>
    <row r="1278" spans="1:4" x14ac:dyDescent="0.3">
      <c r="A1278">
        <v>606500</v>
      </c>
      <c r="B1278" s="29">
        <f t="shared" si="62"/>
        <v>3906646229.1197863</v>
      </c>
      <c r="C1278" s="39">
        <f t="shared" si="63"/>
        <v>4670050000</v>
      </c>
      <c r="D1278" s="76">
        <f t="shared" si="64"/>
        <v>763403770.88021374</v>
      </c>
    </row>
    <row r="1279" spans="1:4" x14ac:dyDescent="0.3">
      <c r="A1279">
        <v>607000</v>
      </c>
      <c r="B1279" s="29">
        <f t="shared" si="62"/>
        <v>3909840736.8104463</v>
      </c>
      <c r="C1279" s="39">
        <f t="shared" si="63"/>
        <v>4673900000</v>
      </c>
      <c r="D1279" s="76">
        <f t="shared" si="64"/>
        <v>764059263.18955374</v>
      </c>
    </row>
    <row r="1280" spans="1:4" x14ac:dyDescent="0.3">
      <c r="A1280">
        <v>607500</v>
      </c>
      <c r="B1280" s="29">
        <f t="shared" si="62"/>
        <v>3913035244.5011063</v>
      </c>
      <c r="C1280" s="39">
        <f t="shared" si="63"/>
        <v>4677750000</v>
      </c>
      <c r="D1280" s="76">
        <f t="shared" si="64"/>
        <v>764714755.49889374</v>
      </c>
    </row>
    <row r="1281" spans="1:4" x14ac:dyDescent="0.3">
      <c r="A1281">
        <v>608000</v>
      </c>
      <c r="B1281" s="29">
        <f t="shared" si="62"/>
        <v>3916229752.1917663</v>
      </c>
      <c r="C1281" s="39">
        <f t="shared" si="63"/>
        <v>4681600000</v>
      </c>
      <c r="D1281" s="76">
        <f t="shared" si="64"/>
        <v>765370247.80823374</v>
      </c>
    </row>
    <row r="1282" spans="1:4" x14ac:dyDescent="0.3">
      <c r="A1282">
        <v>608500</v>
      </c>
      <c r="B1282" s="29">
        <f t="shared" ref="B1282:B1345" si="65">$B$54+($B$60*A1282)</f>
        <v>3919424259.8824263</v>
      </c>
      <c r="C1282" s="39">
        <f t="shared" ref="C1282:C1345" si="66">$E$50*A1282</f>
        <v>4685450000</v>
      </c>
      <c r="D1282" s="76">
        <f t="shared" ref="D1282:D1345" si="67">C1282-B1282</f>
        <v>766025740.11757374</v>
      </c>
    </row>
    <row r="1283" spans="1:4" x14ac:dyDescent="0.3">
      <c r="A1283">
        <v>609000</v>
      </c>
      <c r="B1283" s="29">
        <f t="shared" si="65"/>
        <v>3922618767.5730863</v>
      </c>
      <c r="C1283" s="39">
        <f t="shared" si="66"/>
        <v>4689300000</v>
      </c>
      <c r="D1283" s="76">
        <f t="shared" si="67"/>
        <v>766681232.42691374</v>
      </c>
    </row>
    <row r="1284" spans="1:4" x14ac:dyDescent="0.3">
      <c r="A1284">
        <v>609500</v>
      </c>
      <c r="B1284" s="29">
        <f t="shared" si="65"/>
        <v>3925813275.2637463</v>
      </c>
      <c r="C1284" s="39">
        <f t="shared" si="66"/>
        <v>4693150000</v>
      </c>
      <c r="D1284" s="76">
        <f t="shared" si="67"/>
        <v>767336724.73625374</v>
      </c>
    </row>
    <row r="1285" spans="1:4" x14ac:dyDescent="0.3">
      <c r="A1285">
        <v>610000</v>
      </c>
      <c r="B1285" s="29">
        <f t="shared" si="65"/>
        <v>3929007782.9544063</v>
      </c>
      <c r="C1285" s="39">
        <f t="shared" si="66"/>
        <v>4697000000</v>
      </c>
      <c r="D1285" s="76">
        <f t="shared" si="67"/>
        <v>767992217.04559374</v>
      </c>
    </row>
    <row r="1286" spans="1:4" x14ac:dyDescent="0.3">
      <c r="A1286">
        <v>610500</v>
      </c>
      <c r="B1286" s="29">
        <f t="shared" si="65"/>
        <v>3932202290.6450663</v>
      </c>
      <c r="C1286" s="39">
        <f t="shared" si="66"/>
        <v>4700850000</v>
      </c>
      <c r="D1286" s="76">
        <f t="shared" si="67"/>
        <v>768647709.35493374</v>
      </c>
    </row>
    <row r="1287" spans="1:4" x14ac:dyDescent="0.3">
      <c r="A1287">
        <v>611000</v>
      </c>
      <c r="B1287" s="29">
        <f t="shared" si="65"/>
        <v>3935396798.3357263</v>
      </c>
      <c r="C1287" s="39">
        <f t="shared" si="66"/>
        <v>4704700000</v>
      </c>
      <c r="D1287" s="76">
        <f t="shared" si="67"/>
        <v>769303201.66427374</v>
      </c>
    </row>
    <row r="1288" spans="1:4" x14ac:dyDescent="0.3">
      <c r="A1288">
        <v>611500</v>
      </c>
      <c r="B1288" s="29">
        <f t="shared" si="65"/>
        <v>3938591306.0263863</v>
      </c>
      <c r="C1288" s="39">
        <f t="shared" si="66"/>
        <v>4708550000</v>
      </c>
      <c r="D1288" s="76">
        <f t="shared" si="67"/>
        <v>769958693.97361374</v>
      </c>
    </row>
    <row r="1289" spans="1:4" x14ac:dyDescent="0.3">
      <c r="A1289">
        <v>612000</v>
      </c>
      <c r="B1289" s="29">
        <f t="shared" si="65"/>
        <v>3941785813.7170463</v>
      </c>
      <c r="C1289" s="39">
        <f t="shared" si="66"/>
        <v>4712400000</v>
      </c>
      <c r="D1289" s="76">
        <f t="shared" si="67"/>
        <v>770614186.28295374</v>
      </c>
    </row>
    <row r="1290" spans="1:4" x14ac:dyDescent="0.3">
      <c r="A1290">
        <v>612500</v>
      </c>
      <c r="B1290" s="29">
        <f t="shared" si="65"/>
        <v>3944980321.4077063</v>
      </c>
      <c r="C1290" s="39">
        <f t="shared" si="66"/>
        <v>4716250000</v>
      </c>
      <c r="D1290" s="76">
        <f t="shared" si="67"/>
        <v>771269678.59229374</v>
      </c>
    </row>
    <row r="1291" spans="1:4" x14ac:dyDescent="0.3">
      <c r="A1291">
        <v>613000</v>
      </c>
      <c r="B1291" s="29">
        <f t="shared" si="65"/>
        <v>3948174829.0983663</v>
      </c>
      <c r="C1291" s="39">
        <f t="shared" si="66"/>
        <v>4720100000</v>
      </c>
      <c r="D1291" s="76">
        <f t="shared" si="67"/>
        <v>771925170.90163374</v>
      </c>
    </row>
    <row r="1292" spans="1:4" x14ac:dyDescent="0.3">
      <c r="A1292">
        <v>613500</v>
      </c>
      <c r="B1292" s="29">
        <f t="shared" si="65"/>
        <v>3951369336.7890263</v>
      </c>
      <c r="C1292" s="39">
        <f t="shared" si="66"/>
        <v>4723950000</v>
      </c>
      <c r="D1292" s="76">
        <f t="shared" si="67"/>
        <v>772580663.21097374</v>
      </c>
    </row>
    <row r="1293" spans="1:4" x14ac:dyDescent="0.3">
      <c r="A1293">
        <v>614000</v>
      </c>
      <c r="B1293" s="29">
        <f t="shared" si="65"/>
        <v>3954563844.4796863</v>
      </c>
      <c r="C1293" s="39">
        <f t="shared" si="66"/>
        <v>4727800000</v>
      </c>
      <c r="D1293" s="76">
        <f t="shared" si="67"/>
        <v>773236155.52031374</v>
      </c>
    </row>
    <row r="1294" spans="1:4" x14ac:dyDescent="0.3">
      <c r="A1294">
        <v>614500</v>
      </c>
      <c r="B1294" s="29">
        <f t="shared" si="65"/>
        <v>3957758352.1703463</v>
      </c>
      <c r="C1294" s="39">
        <f t="shared" si="66"/>
        <v>4731650000</v>
      </c>
      <c r="D1294" s="76">
        <f t="shared" si="67"/>
        <v>773891647.82965374</v>
      </c>
    </row>
    <row r="1295" spans="1:4" x14ac:dyDescent="0.3">
      <c r="A1295">
        <v>615000</v>
      </c>
      <c r="B1295" s="29">
        <f t="shared" si="65"/>
        <v>3960952859.8610063</v>
      </c>
      <c r="C1295" s="39">
        <f t="shared" si="66"/>
        <v>4735500000</v>
      </c>
      <c r="D1295" s="76">
        <f t="shared" si="67"/>
        <v>774547140.13899374</v>
      </c>
    </row>
    <row r="1296" spans="1:4" x14ac:dyDescent="0.3">
      <c r="A1296">
        <v>615500</v>
      </c>
      <c r="B1296" s="29">
        <f t="shared" si="65"/>
        <v>3964147367.5516663</v>
      </c>
      <c r="C1296" s="39">
        <f t="shared" si="66"/>
        <v>4739350000</v>
      </c>
      <c r="D1296" s="76">
        <f t="shared" si="67"/>
        <v>775202632.44833374</v>
      </c>
    </row>
    <row r="1297" spans="1:4" x14ac:dyDescent="0.3">
      <c r="A1297">
        <v>616000</v>
      </c>
      <c r="B1297" s="29">
        <f t="shared" si="65"/>
        <v>3967341875.2423263</v>
      </c>
      <c r="C1297" s="39">
        <f t="shared" si="66"/>
        <v>4743200000</v>
      </c>
      <c r="D1297" s="76">
        <f t="shared" si="67"/>
        <v>775858124.75767374</v>
      </c>
    </row>
    <row r="1298" spans="1:4" x14ac:dyDescent="0.3">
      <c r="A1298">
        <v>616500</v>
      </c>
      <c r="B1298" s="29">
        <f t="shared" si="65"/>
        <v>3970536382.9329863</v>
      </c>
      <c r="C1298" s="39">
        <f t="shared" si="66"/>
        <v>4747050000</v>
      </c>
      <c r="D1298" s="76">
        <f t="shared" si="67"/>
        <v>776513617.06701374</v>
      </c>
    </row>
    <row r="1299" spans="1:4" x14ac:dyDescent="0.3">
      <c r="A1299">
        <v>617000</v>
      </c>
      <c r="B1299" s="29">
        <f t="shared" si="65"/>
        <v>3973730890.6236463</v>
      </c>
      <c r="C1299" s="39">
        <f t="shared" si="66"/>
        <v>4750900000</v>
      </c>
      <c r="D1299" s="76">
        <f t="shared" si="67"/>
        <v>777169109.37635374</v>
      </c>
    </row>
    <row r="1300" spans="1:4" x14ac:dyDescent="0.3">
      <c r="A1300">
        <v>617500</v>
      </c>
      <c r="B1300" s="29">
        <f t="shared" si="65"/>
        <v>3976925398.3143063</v>
      </c>
      <c r="C1300" s="39">
        <f t="shared" si="66"/>
        <v>4754750000</v>
      </c>
      <c r="D1300" s="76">
        <f t="shared" si="67"/>
        <v>777824601.68569374</v>
      </c>
    </row>
    <row r="1301" spans="1:4" x14ac:dyDescent="0.3">
      <c r="A1301">
        <v>618000</v>
      </c>
      <c r="B1301" s="29">
        <f t="shared" si="65"/>
        <v>3980119906.0049663</v>
      </c>
      <c r="C1301" s="39">
        <f t="shared" si="66"/>
        <v>4758600000</v>
      </c>
      <c r="D1301" s="76">
        <f t="shared" si="67"/>
        <v>778480093.99503374</v>
      </c>
    </row>
    <row r="1302" spans="1:4" x14ac:dyDescent="0.3">
      <c r="A1302">
        <v>618500</v>
      </c>
      <c r="B1302" s="29">
        <f t="shared" si="65"/>
        <v>3983314413.6956263</v>
      </c>
      <c r="C1302" s="39">
        <f t="shared" si="66"/>
        <v>4762450000</v>
      </c>
      <c r="D1302" s="76">
        <f t="shared" si="67"/>
        <v>779135586.30437374</v>
      </c>
    </row>
    <row r="1303" spans="1:4" x14ac:dyDescent="0.3">
      <c r="A1303">
        <v>619000</v>
      </c>
      <c r="B1303" s="29">
        <f t="shared" si="65"/>
        <v>3986508921.3862863</v>
      </c>
      <c r="C1303" s="39">
        <f t="shared" si="66"/>
        <v>4766300000</v>
      </c>
      <c r="D1303" s="76">
        <f t="shared" si="67"/>
        <v>779791078.61371374</v>
      </c>
    </row>
    <row r="1304" spans="1:4" x14ac:dyDescent="0.3">
      <c r="A1304">
        <v>619500</v>
      </c>
      <c r="B1304" s="29">
        <f t="shared" si="65"/>
        <v>3989703429.0769463</v>
      </c>
      <c r="C1304" s="39">
        <f t="shared" si="66"/>
        <v>4770150000</v>
      </c>
      <c r="D1304" s="76">
        <f t="shared" si="67"/>
        <v>780446570.92305374</v>
      </c>
    </row>
    <row r="1305" spans="1:4" x14ac:dyDescent="0.3">
      <c r="A1305">
        <v>620000</v>
      </c>
      <c r="B1305" s="29">
        <f t="shared" si="65"/>
        <v>3992897936.7676063</v>
      </c>
      <c r="C1305" s="39">
        <f t="shared" si="66"/>
        <v>4774000000</v>
      </c>
      <c r="D1305" s="76">
        <f t="shared" si="67"/>
        <v>781102063.23239374</v>
      </c>
    </row>
    <row r="1306" spans="1:4" x14ac:dyDescent="0.3">
      <c r="A1306">
        <v>620500</v>
      </c>
      <c r="B1306" s="29">
        <f t="shared" si="65"/>
        <v>3996092444.4582663</v>
      </c>
      <c r="C1306" s="39">
        <f t="shared" si="66"/>
        <v>4777850000</v>
      </c>
      <c r="D1306" s="76">
        <f t="shared" si="67"/>
        <v>781757555.54173374</v>
      </c>
    </row>
    <row r="1307" spans="1:4" x14ac:dyDescent="0.3">
      <c r="A1307">
        <v>621000</v>
      </c>
      <c r="B1307" s="29">
        <f t="shared" si="65"/>
        <v>3999286952.1489263</v>
      </c>
      <c r="C1307" s="39">
        <f t="shared" si="66"/>
        <v>4781700000</v>
      </c>
      <c r="D1307" s="76">
        <f t="shared" si="67"/>
        <v>782413047.85107374</v>
      </c>
    </row>
    <row r="1308" spans="1:4" x14ac:dyDescent="0.3">
      <c r="A1308">
        <v>621500</v>
      </c>
      <c r="B1308" s="29">
        <f t="shared" si="65"/>
        <v>4002481459.8395863</v>
      </c>
      <c r="C1308" s="39">
        <f t="shared" si="66"/>
        <v>4785550000</v>
      </c>
      <c r="D1308" s="76">
        <f t="shared" si="67"/>
        <v>783068540.16041374</v>
      </c>
    </row>
    <row r="1309" spans="1:4" x14ac:dyDescent="0.3">
      <c r="A1309">
        <v>622000</v>
      </c>
      <c r="B1309" s="29">
        <f t="shared" si="65"/>
        <v>4005675967.5302463</v>
      </c>
      <c r="C1309" s="39">
        <f t="shared" si="66"/>
        <v>4789400000</v>
      </c>
      <c r="D1309" s="76">
        <f t="shared" si="67"/>
        <v>783724032.46975374</v>
      </c>
    </row>
    <row r="1310" spans="1:4" x14ac:dyDescent="0.3">
      <c r="A1310">
        <v>622500</v>
      </c>
      <c r="B1310" s="29">
        <f t="shared" si="65"/>
        <v>4008870475.2209063</v>
      </c>
      <c r="C1310" s="39">
        <f t="shared" si="66"/>
        <v>4793250000</v>
      </c>
      <c r="D1310" s="76">
        <f t="shared" si="67"/>
        <v>784379524.77909374</v>
      </c>
    </row>
    <row r="1311" spans="1:4" x14ac:dyDescent="0.3">
      <c r="A1311">
        <v>623000</v>
      </c>
      <c r="B1311" s="29">
        <f t="shared" si="65"/>
        <v>4012064982.9115663</v>
      </c>
      <c r="C1311" s="39">
        <f t="shared" si="66"/>
        <v>4797100000</v>
      </c>
      <c r="D1311" s="76">
        <f t="shared" si="67"/>
        <v>785035017.08843374</v>
      </c>
    </row>
    <row r="1312" spans="1:4" x14ac:dyDescent="0.3">
      <c r="A1312">
        <v>623500</v>
      </c>
      <c r="B1312" s="29">
        <f t="shared" si="65"/>
        <v>4015259490.6022263</v>
      </c>
      <c r="C1312" s="39">
        <f t="shared" si="66"/>
        <v>4800950000</v>
      </c>
      <c r="D1312" s="76">
        <f t="shared" si="67"/>
        <v>785690509.39777374</v>
      </c>
    </row>
    <row r="1313" spans="1:4" x14ac:dyDescent="0.3">
      <c r="A1313">
        <v>624000</v>
      </c>
      <c r="B1313" s="29">
        <f t="shared" si="65"/>
        <v>4018453998.2928863</v>
      </c>
      <c r="C1313" s="39">
        <f t="shared" si="66"/>
        <v>4804800000</v>
      </c>
      <c r="D1313" s="76">
        <f t="shared" si="67"/>
        <v>786346001.70711374</v>
      </c>
    </row>
    <row r="1314" spans="1:4" x14ac:dyDescent="0.3">
      <c r="A1314">
        <v>624500</v>
      </c>
      <c r="B1314" s="29">
        <f t="shared" si="65"/>
        <v>4021648505.9835463</v>
      </c>
      <c r="C1314" s="39">
        <f t="shared" si="66"/>
        <v>4808650000</v>
      </c>
      <c r="D1314" s="76">
        <f t="shared" si="67"/>
        <v>787001494.01645374</v>
      </c>
    </row>
    <row r="1315" spans="1:4" x14ac:dyDescent="0.3">
      <c r="A1315">
        <v>625000</v>
      </c>
      <c r="B1315" s="29">
        <f t="shared" si="65"/>
        <v>4024843013.6742063</v>
      </c>
      <c r="C1315" s="39">
        <f t="shared" si="66"/>
        <v>4812500000</v>
      </c>
      <c r="D1315" s="76">
        <f t="shared" si="67"/>
        <v>787656986.32579374</v>
      </c>
    </row>
    <row r="1316" spans="1:4" x14ac:dyDescent="0.3">
      <c r="A1316">
        <v>625500</v>
      </c>
      <c r="B1316" s="29">
        <f t="shared" si="65"/>
        <v>4028037521.3648663</v>
      </c>
      <c r="C1316" s="39">
        <f t="shared" si="66"/>
        <v>4816350000</v>
      </c>
      <c r="D1316" s="76">
        <f t="shared" si="67"/>
        <v>788312478.63513374</v>
      </c>
    </row>
    <row r="1317" spans="1:4" x14ac:dyDescent="0.3">
      <c r="A1317">
        <v>626000</v>
      </c>
      <c r="B1317" s="29">
        <f t="shared" si="65"/>
        <v>4031232029.0555263</v>
      </c>
      <c r="C1317" s="39">
        <f t="shared" si="66"/>
        <v>4820200000</v>
      </c>
      <c r="D1317" s="76">
        <f t="shared" si="67"/>
        <v>788967970.94447374</v>
      </c>
    </row>
    <row r="1318" spans="1:4" x14ac:dyDescent="0.3">
      <c r="A1318">
        <v>626500</v>
      </c>
      <c r="B1318" s="29">
        <f t="shared" si="65"/>
        <v>4034426536.7461863</v>
      </c>
      <c r="C1318" s="39">
        <f t="shared" si="66"/>
        <v>4824050000</v>
      </c>
      <c r="D1318" s="76">
        <f t="shared" si="67"/>
        <v>789623463.25381374</v>
      </c>
    </row>
    <row r="1319" spans="1:4" x14ac:dyDescent="0.3">
      <c r="A1319">
        <v>627000</v>
      </c>
      <c r="B1319" s="29">
        <f t="shared" si="65"/>
        <v>4037621044.4368463</v>
      </c>
      <c r="C1319" s="39">
        <f t="shared" si="66"/>
        <v>4827900000</v>
      </c>
      <c r="D1319" s="76">
        <f t="shared" si="67"/>
        <v>790278955.56315374</v>
      </c>
    </row>
    <row r="1320" spans="1:4" x14ac:dyDescent="0.3">
      <c r="A1320">
        <v>627500</v>
      </c>
      <c r="B1320" s="29">
        <f t="shared" si="65"/>
        <v>4040815552.1275063</v>
      </c>
      <c r="C1320" s="39">
        <f t="shared" si="66"/>
        <v>4831750000</v>
      </c>
      <c r="D1320" s="76">
        <f t="shared" si="67"/>
        <v>790934447.87249374</v>
      </c>
    </row>
    <row r="1321" spans="1:4" x14ac:dyDescent="0.3">
      <c r="A1321">
        <v>628000</v>
      </c>
      <c r="B1321" s="29">
        <f t="shared" si="65"/>
        <v>4044010059.8181663</v>
      </c>
      <c r="C1321" s="39">
        <f t="shared" si="66"/>
        <v>4835600000</v>
      </c>
      <c r="D1321" s="76">
        <f t="shared" si="67"/>
        <v>791589940.18183374</v>
      </c>
    </row>
    <row r="1322" spans="1:4" x14ac:dyDescent="0.3">
      <c r="A1322">
        <v>628500</v>
      </c>
      <c r="B1322" s="29">
        <f t="shared" si="65"/>
        <v>4047204567.5088263</v>
      </c>
      <c r="C1322" s="39">
        <f t="shared" si="66"/>
        <v>4839450000</v>
      </c>
      <c r="D1322" s="76">
        <f t="shared" si="67"/>
        <v>792245432.49117374</v>
      </c>
    </row>
    <row r="1323" spans="1:4" x14ac:dyDescent="0.3">
      <c r="A1323">
        <v>629000</v>
      </c>
      <c r="B1323" s="29">
        <f t="shared" si="65"/>
        <v>4050399075.1994863</v>
      </c>
      <c r="C1323" s="39">
        <f t="shared" si="66"/>
        <v>4843300000</v>
      </c>
      <c r="D1323" s="76">
        <f t="shared" si="67"/>
        <v>792900924.80051374</v>
      </c>
    </row>
    <row r="1324" spans="1:4" x14ac:dyDescent="0.3">
      <c r="A1324">
        <v>629500</v>
      </c>
      <c r="B1324" s="29">
        <f t="shared" si="65"/>
        <v>4053593582.8901463</v>
      </c>
      <c r="C1324" s="39">
        <f t="shared" si="66"/>
        <v>4847150000</v>
      </c>
      <c r="D1324" s="76">
        <f t="shared" si="67"/>
        <v>793556417.10985374</v>
      </c>
    </row>
    <row r="1325" spans="1:4" x14ac:dyDescent="0.3">
      <c r="A1325">
        <v>630000</v>
      </c>
      <c r="B1325" s="29">
        <f t="shared" si="65"/>
        <v>4056788090.5808063</v>
      </c>
      <c r="C1325" s="39">
        <f t="shared" si="66"/>
        <v>4851000000</v>
      </c>
      <c r="D1325" s="76">
        <f t="shared" si="67"/>
        <v>794211909.41919374</v>
      </c>
    </row>
    <row r="1326" spans="1:4" x14ac:dyDescent="0.3">
      <c r="A1326">
        <v>630500</v>
      </c>
      <c r="B1326" s="29">
        <f t="shared" si="65"/>
        <v>4059982598.2714663</v>
      </c>
      <c r="C1326" s="39">
        <f t="shared" si="66"/>
        <v>4854850000</v>
      </c>
      <c r="D1326" s="76">
        <f t="shared" si="67"/>
        <v>794867401.72853374</v>
      </c>
    </row>
    <row r="1327" spans="1:4" x14ac:dyDescent="0.3">
      <c r="A1327">
        <v>631000</v>
      </c>
      <c r="B1327" s="29">
        <f t="shared" si="65"/>
        <v>4063177105.9621263</v>
      </c>
      <c r="C1327" s="39">
        <f t="shared" si="66"/>
        <v>4858700000</v>
      </c>
      <c r="D1327" s="76">
        <f t="shared" si="67"/>
        <v>795522894.03787374</v>
      </c>
    </row>
    <row r="1328" spans="1:4" x14ac:dyDescent="0.3">
      <c r="A1328">
        <v>631500</v>
      </c>
      <c r="B1328" s="29">
        <f t="shared" si="65"/>
        <v>4066371613.6527863</v>
      </c>
      <c r="C1328" s="39">
        <f t="shared" si="66"/>
        <v>4862550000</v>
      </c>
      <c r="D1328" s="76">
        <f t="shared" si="67"/>
        <v>796178386.34721375</v>
      </c>
    </row>
    <row r="1329" spans="1:4" x14ac:dyDescent="0.3">
      <c r="A1329">
        <v>632000</v>
      </c>
      <c r="B1329" s="29">
        <f t="shared" si="65"/>
        <v>4069566121.3434463</v>
      </c>
      <c r="C1329" s="39">
        <f t="shared" si="66"/>
        <v>4866400000</v>
      </c>
      <c r="D1329" s="76">
        <f t="shared" si="67"/>
        <v>796833878.65655375</v>
      </c>
    </row>
    <row r="1330" spans="1:4" x14ac:dyDescent="0.3">
      <c r="A1330">
        <v>632500</v>
      </c>
      <c r="B1330" s="29">
        <f t="shared" si="65"/>
        <v>4072760629.0341063</v>
      </c>
      <c r="C1330" s="39">
        <f t="shared" si="66"/>
        <v>4870250000</v>
      </c>
      <c r="D1330" s="76">
        <f t="shared" si="67"/>
        <v>797489370.96589375</v>
      </c>
    </row>
    <row r="1331" spans="1:4" x14ac:dyDescent="0.3">
      <c r="A1331">
        <v>633000</v>
      </c>
      <c r="B1331" s="29">
        <f t="shared" si="65"/>
        <v>4075955136.7247663</v>
      </c>
      <c r="C1331" s="39">
        <f t="shared" si="66"/>
        <v>4874100000</v>
      </c>
      <c r="D1331" s="76">
        <f t="shared" si="67"/>
        <v>798144863.27523375</v>
      </c>
    </row>
    <row r="1332" spans="1:4" x14ac:dyDescent="0.3">
      <c r="A1332">
        <v>633500</v>
      </c>
      <c r="B1332" s="29">
        <f t="shared" si="65"/>
        <v>4079149644.4154263</v>
      </c>
      <c r="C1332" s="39">
        <f t="shared" si="66"/>
        <v>4877950000</v>
      </c>
      <c r="D1332" s="76">
        <f t="shared" si="67"/>
        <v>798800355.58457375</v>
      </c>
    </row>
    <row r="1333" spans="1:4" x14ac:dyDescent="0.3">
      <c r="A1333">
        <v>634000</v>
      </c>
      <c r="B1333" s="29">
        <f t="shared" si="65"/>
        <v>4082344152.1060863</v>
      </c>
      <c r="C1333" s="39">
        <f t="shared" si="66"/>
        <v>4881800000</v>
      </c>
      <c r="D1333" s="76">
        <f t="shared" si="67"/>
        <v>799455847.89391375</v>
      </c>
    </row>
    <row r="1334" spans="1:4" x14ac:dyDescent="0.3">
      <c r="A1334">
        <v>634500</v>
      </c>
      <c r="B1334" s="29">
        <f t="shared" si="65"/>
        <v>4085538659.7967463</v>
      </c>
      <c r="C1334" s="39">
        <f t="shared" si="66"/>
        <v>4885650000</v>
      </c>
      <c r="D1334" s="76">
        <f t="shared" si="67"/>
        <v>800111340.20325375</v>
      </c>
    </row>
    <row r="1335" spans="1:4" x14ac:dyDescent="0.3">
      <c r="A1335">
        <v>635000</v>
      </c>
      <c r="B1335" s="29">
        <f t="shared" si="65"/>
        <v>4088733167.4874063</v>
      </c>
      <c r="C1335" s="39">
        <f t="shared" si="66"/>
        <v>4889500000</v>
      </c>
      <c r="D1335" s="76">
        <f t="shared" si="67"/>
        <v>800766832.51259375</v>
      </c>
    </row>
    <row r="1336" spans="1:4" x14ac:dyDescent="0.3">
      <c r="A1336">
        <v>635500</v>
      </c>
      <c r="B1336" s="29">
        <f t="shared" si="65"/>
        <v>4091927675.1780663</v>
      </c>
      <c r="C1336" s="39">
        <f t="shared" si="66"/>
        <v>4893350000</v>
      </c>
      <c r="D1336" s="76">
        <f t="shared" si="67"/>
        <v>801422324.82193375</v>
      </c>
    </row>
    <row r="1337" spans="1:4" x14ac:dyDescent="0.3">
      <c r="A1337">
        <v>636000</v>
      </c>
      <c r="B1337" s="29">
        <f t="shared" si="65"/>
        <v>4095122182.8687263</v>
      </c>
      <c r="C1337" s="39">
        <f t="shared" si="66"/>
        <v>4897200000</v>
      </c>
      <c r="D1337" s="76">
        <f t="shared" si="67"/>
        <v>802077817.13127375</v>
      </c>
    </row>
    <row r="1338" spans="1:4" x14ac:dyDescent="0.3">
      <c r="A1338">
        <v>636500</v>
      </c>
      <c r="B1338" s="29">
        <f t="shared" si="65"/>
        <v>4098316690.5593863</v>
      </c>
      <c r="C1338" s="39">
        <f t="shared" si="66"/>
        <v>4901050000</v>
      </c>
      <c r="D1338" s="76">
        <f t="shared" si="67"/>
        <v>802733309.44061375</v>
      </c>
    </row>
    <row r="1339" spans="1:4" x14ac:dyDescent="0.3">
      <c r="A1339">
        <v>637000</v>
      </c>
      <c r="B1339" s="29">
        <f t="shared" si="65"/>
        <v>4101511198.2500463</v>
      </c>
      <c r="C1339" s="39">
        <f t="shared" si="66"/>
        <v>4904900000</v>
      </c>
      <c r="D1339" s="76">
        <f t="shared" si="67"/>
        <v>803388801.74995375</v>
      </c>
    </row>
    <row r="1340" spans="1:4" x14ac:dyDescent="0.3">
      <c r="A1340">
        <v>637500</v>
      </c>
      <c r="B1340" s="29">
        <f t="shared" si="65"/>
        <v>4104705705.9407063</v>
      </c>
      <c r="C1340" s="39">
        <f t="shared" si="66"/>
        <v>4908750000</v>
      </c>
      <c r="D1340" s="76">
        <f t="shared" si="67"/>
        <v>804044294.05929375</v>
      </c>
    </row>
    <row r="1341" spans="1:4" x14ac:dyDescent="0.3">
      <c r="A1341">
        <v>638000</v>
      </c>
      <c r="B1341" s="29">
        <f t="shared" si="65"/>
        <v>4107900213.6313663</v>
      </c>
      <c r="C1341" s="39">
        <f t="shared" si="66"/>
        <v>4912600000</v>
      </c>
      <c r="D1341" s="76">
        <f t="shared" si="67"/>
        <v>804699786.36863375</v>
      </c>
    </row>
    <row r="1342" spans="1:4" x14ac:dyDescent="0.3">
      <c r="A1342">
        <v>638500</v>
      </c>
      <c r="B1342" s="29">
        <f t="shared" si="65"/>
        <v>4111094721.3220263</v>
      </c>
      <c r="C1342" s="39">
        <f t="shared" si="66"/>
        <v>4916450000</v>
      </c>
      <c r="D1342" s="76">
        <f t="shared" si="67"/>
        <v>805355278.67797375</v>
      </c>
    </row>
    <row r="1343" spans="1:4" x14ac:dyDescent="0.3">
      <c r="A1343">
        <v>639000</v>
      </c>
      <c r="B1343" s="29">
        <f t="shared" si="65"/>
        <v>4114289229.0126863</v>
      </c>
      <c r="C1343" s="39">
        <f t="shared" si="66"/>
        <v>4920300000</v>
      </c>
      <c r="D1343" s="76">
        <f t="shared" si="67"/>
        <v>806010770.98731375</v>
      </c>
    </row>
    <row r="1344" spans="1:4" x14ac:dyDescent="0.3">
      <c r="A1344">
        <v>639500</v>
      </c>
      <c r="B1344" s="29">
        <f t="shared" si="65"/>
        <v>4117483736.7033463</v>
      </c>
      <c r="C1344" s="39">
        <f t="shared" si="66"/>
        <v>4924150000</v>
      </c>
      <c r="D1344" s="76">
        <f t="shared" si="67"/>
        <v>806666263.29665375</v>
      </c>
    </row>
    <row r="1345" spans="1:4" x14ac:dyDescent="0.3">
      <c r="A1345">
        <v>640000</v>
      </c>
      <c r="B1345" s="29">
        <f t="shared" si="65"/>
        <v>4120678244.3940063</v>
      </c>
      <c r="C1345" s="39">
        <f t="shared" si="66"/>
        <v>4928000000</v>
      </c>
      <c r="D1345" s="76">
        <f t="shared" si="67"/>
        <v>807321755.60599375</v>
      </c>
    </row>
    <row r="1346" spans="1:4" x14ac:dyDescent="0.3">
      <c r="A1346">
        <v>640500</v>
      </c>
      <c r="B1346" s="29">
        <f t="shared" ref="B1346:B1409" si="68">$B$54+($B$60*A1346)</f>
        <v>4123872752.0846663</v>
      </c>
      <c r="C1346" s="39">
        <f t="shared" ref="C1346:C1409" si="69">$E$50*A1346</f>
        <v>4931850000</v>
      </c>
      <c r="D1346" s="76">
        <f t="shared" ref="D1346:D1409" si="70">C1346-B1346</f>
        <v>807977247.91533375</v>
      </c>
    </row>
    <row r="1347" spans="1:4" x14ac:dyDescent="0.3">
      <c r="A1347">
        <v>641000</v>
      </c>
      <c r="B1347" s="29">
        <f t="shared" si="68"/>
        <v>4127067259.7753263</v>
      </c>
      <c r="C1347" s="39">
        <f t="shared" si="69"/>
        <v>4935700000</v>
      </c>
      <c r="D1347" s="76">
        <f t="shared" si="70"/>
        <v>808632740.22467375</v>
      </c>
    </row>
    <row r="1348" spans="1:4" x14ac:dyDescent="0.3">
      <c r="A1348">
        <v>641500</v>
      </c>
      <c r="B1348" s="29">
        <f t="shared" si="68"/>
        <v>4130261767.4659863</v>
      </c>
      <c r="C1348" s="39">
        <f t="shared" si="69"/>
        <v>4939550000</v>
      </c>
      <c r="D1348" s="76">
        <f t="shared" si="70"/>
        <v>809288232.53401375</v>
      </c>
    </row>
    <row r="1349" spans="1:4" x14ac:dyDescent="0.3">
      <c r="A1349">
        <v>642000</v>
      </c>
      <c r="B1349" s="29">
        <f t="shared" si="68"/>
        <v>4133456275.1566463</v>
      </c>
      <c r="C1349" s="39">
        <f t="shared" si="69"/>
        <v>4943400000</v>
      </c>
      <c r="D1349" s="76">
        <f t="shared" si="70"/>
        <v>809943724.84335375</v>
      </c>
    </row>
    <row r="1350" spans="1:4" x14ac:dyDescent="0.3">
      <c r="A1350">
        <v>642500</v>
      </c>
      <c r="B1350" s="29">
        <f t="shared" si="68"/>
        <v>4136650782.8473063</v>
      </c>
      <c r="C1350" s="39">
        <f t="shared" si="69"/>
        <v>4947250000</v>
      </c>
      <c r="D1350" s="76">
        <f t="shared" si="70"/>
        <v>810599217.15269375</v>
      </c>
    </row>
    <row r="1351" spans="1:4" x14ac:dyDescent="0.3">
      <c r="A1351">
        <v>643000</v>
      </c>
      <c r="B1351" s="29">
        <f t="shared" si="68"/>
        <v>4139845290.5379663</v>
      </c>
      <c r="C1351" s="39">
        <f t="shared" si="69"/>
        <v>4951100000</v>
      </c>
      <c r="D1351" s="76">
        <f t="shared" si="70"/>
        <v>811254709.46203375</v>
      </c>
    </row>
    <row r="1352" spans="1:4" x14ac:dyDescent="0.3">
      <c r="A1352">
        <v>643500</v>
      </c>
      <c r="B1352" s="29">
        <f t="shared" si="68"/>
        <v>4143039798.2286263</v>
      </c>
      <c r="C1352" s="39">
        <f t="shared" si="69"/>
        <v>4954950000</v>
      </c>
      <c r="D1352" s="76">
        <f t="shared" si="70"/>
        <v>811910201.77137375</v>
      </c>
    </row>
    <row r="1353" spans="1:4" x14ac:dyDescent="0.3">
      <c r="A1353">
        <v>644000</v>
      </c>
      <c r="B1353" s="29">
        <f t="shared" si="68"/>
        <v>4146234305.9192863</v>
      </c>
      <c r="C1353" s="39">
        <f t="shared" si="69"/>
        <v>4958800000</v>
      </c>
      <c r="D1353" s="76">
        <f t="shared" si="70"/>
        <v>812565694.08071375</v>
      </c>
    </row>
    <row r="1354" spans="1:4" x14ac:dyDescent="0.3">
      <c r="A1354">
        <v>644500</v>
      </c>
      <c r="B1354" s="29">
        <f t="shared" si="68"/>
        <v>4149428813.6099463</v>
      </c>
      <c r="C1354" s="39">
        <f t="shared" si="69"/>
        <v>4962650000</v>
      </c>
      <c r="D1354" s="76">
        <f t="shared" si="70"/>
        <v>813221186.39005375</v>
      </c>
    </row>
    <row r="1355" spans="1:4" x14ac:dyDescent="0.3">
      <c r="A1355">
        <v>645000</v>
      </c>
      <c r="B1355" s="29">
        <f t="shared" si="68"/>
        <v>4152623321.3006063</v>
      </c>
      <c r="C1355" s="39">
        <f t="shared" si="69"/>
        <v>4966500000</v>
      </c>
      <c r="D1355" s="76">
        <f t="shared" si="70"/>
        <v>813876678.69939375</v>
      </c>
    </row>
    <row r="1356" spans="1:4" x14ac:dyDescent="0.3">
      <c r="A1356">
        <v>645500</v>
      </c>
      <c r="B1356" s="29">
        <f t="shared" si="68"/>
        <v>4155817828.9912663</v>
      </c>
      <c r="C1356" s="39">
        <f t="shared" si="69"/>
        <v>4970350000</v>
      </c>
      <c r="D1356" s="76">
        <f t="shared" si="70"/>
        <v>814532171.00873375</v>
      </c>
    </row>
    <row r="1357" spans="1:4" x14ac:dyDescent="0.3">
      <c r="A1357">
        <v>646000</v>
      </c>
      <c r="B1357" s="29">
        <f t="shared" si="68"/>
        <v>4159012336.6819263</v>
      </c>
      <c r="C1357" s="39">
        <f t="shared" si="69"/>
        <v>4974200000</v>
      </c>
      <c r="D1357" s="76">
        <f t="shared" si="70"/>
        <v>815187663.31807375</v>
      </c>
    </row>
    <row r="1358" spans="1:4" x14ac:dyDescent="0.3">
      <c r="A1358">
        <v>646500</v>
      </c>
      <c r="B1358" s="29">
        <f t="shared" si="68"/>
        <v>4162206844.3725863</v>
      </c>
      <c r="C1358" s="39">
        <f t="shared" si="69"/>
        <v>4978050000</v>
      </c>
      <c r="D1358" s="76">
        <f t="shared" si="70"/>
        <v>815843155.62741375</v>
      </c>
    </row>
    <row r="1359" spans="1:4" x14ac:dyDescent="0.3">
      <c r="A1359">
        <v>647000</v>
      </c>
      <c r="B1359" s="29">
        <f t="shared" si="68"/>
        <v>4165401352.0632463</v>
      </c>
      <c r="C1359" s="39">
        <f t="shared" si="69"/>
        <v>4981900000</v>
      </c>
      <c r="D1359" s="76">
        <f t="shared" si="70"/>
        <v>816498647.93675375</v>
      </c>
    </row>
    <row r="1360" spans="1:4" x14ac:dyDescent="0.3">
      <c r="A1360">
        <v>647500</v>
      </c>
      <c r="B1360" s="29">
        <f t="shared" si="68"/>
        <v>4168595859.7539063</v>
      </c>
      <c r="C1360" s="39">
        <f t="shared" si="69"/>
        <v>4985750000</v>
      </c>
      <c r="D1360" s="76">
        <f t="shared" si="70"/>
        <v>817154140.24609375</v>
      </c>
    </row>
    <row r="1361" spans="1:4" x14ac:dyDescent="0.3">
      <c r="A1361">
        <v>648000</v>
      </c>
      <c r="B1361" s="29">
        <f t="shared" si="68"/>
        <v>4171790367.4445662</v>
      </c>
      <c r="C1361" s="39">
        <f t="shared" si="69"/>
        <v>4989600000</v>
      </c>
      <c r="D1361" s="76">
        <f t="shared" si="70"/>
        <v>817809632.55543375</v>
      </c>
    </row>
    <row r="1362" spans="1:4" x14ac:dyDescent="0.3">
      <c r="A1362">
        <v>648500</v>
      </c>
      <c r="B1362" s="29">
        <f t="shared" si="68"/>
        <v>4174984875.1352262</v>
      </c>
      <c r="C1362" s="39">
        <f t="shared" si="69"/>
        <v>4993450000</v>
      </c>
      <c r="D1362" s="76">
        <f t="shared" si="70"/>
        <v>818465124.86477375</v>
      </c>
    </row>
    <row r="1363" spans="1:4" x14ac:dyDescent="0.3">
      <c r="A1363">
        <v>649000</v>
      </c>
      <c r="B1363" s="29">
        <f t="shared" si="68"/>
        <v>4178179382.8258862</v>
      </c>
      <c r="C1363" s="39">
        <f t="shared" si="69"/>
        <v>4997300000</v>
      </c>
      <c r="D1363" s="76">
        <f t="shared" si="70"/>
        <v>819120617.17411375</v>
      </c>
    </row>
    <row r="1364" spans="1:4" x14ac:dyDescent="0.3">
      <c r="A1364">
        <v>649500</v>
      </c>
      <c r="B1364" s="29">
        <f t="shared" si="68"/>
        <v>4181373890.5165462</v>
      </c>
      <c r="C1364" s="39">
        <f t="shared" si="69"/>
        <v>5001150000</v>
      </c>
      <c r="D1364" s="76">
        <f t="shared" si="70"/>
        <v>819776109.48345375</v>
      </c>
    </row>
    <row r="1365" spans="1:4" x14ac:dyDescent="0.3">
      <c r="A1365">
        <v>650000</v>
      </c>
      <c r="B1365" s="29">
        <f t="shared" si="68"/>
        <v>4184568398.2072062</v>
      </c>
      <c r="C1365" s="39">
        <f t="shared" si="69"/>
        <v>5005000000</v>
      </c>
      <c r="D1365" s="76">
        <f t="shared" si="70"/>
        <v>820431601.79279375</v>
      </c>
    </row>
    <row r="1366" spans="1:4" x14ac:dyDescent="0.3">
      <c r="A1366">
        <v>650500</v>
      </c>
      <c r="B1366" s="29">
        <f t="shared" si="68"/>
        <v>4187762905.8978662</v>
      </c>
      <c r="C1366" s="39">
        <f t="shared" si="69"/>
        <v>5008850000</v>
      </c>
      <c r="D1366" s="76">
        <f t="shared" si="70"/>
        <v>821087094.10213375</v>
      </c>
    </row>
    <row r="1367" spans="1:4" x14ac:dyDescent="0.3">
      <c r="A1367">
        <v>651000</v>
      </c>
      <c r="B1367" s="29">
        <f t="shared" si="68"/>
        <v>4190957413.5885262</v>
      </c>
      <c r="C1367" s="39">
        <f t="shared" si="69"/>
        <v>5012700000</v>
      </c>
      <c r="D1367" s="76">
        <f t="shared" si="70"/>
        <v>821742586.41147375</v>
      </c>
    </row>
    <row r="1368" spans="1:4" x14ac:dyDescent="0.3">
      <c r="A1368">
        <v>651500</v>
      </c>
      <c r="B1368" s="29">
        <f t="shared" si="68"/>
        <v>4194151921.2791862</v>
      </c>
      <c r="C1368" s="39">
        <f t="shared" si="69"/>
        <v>5016550000</v>
      </c>
      <c r="D1368" s="76">
        <f t="shared" si="70"/>
        <v>822398078.72081375</v>
      </c>
    </row>
    <row r="1369" spans="1:4" x14ac:dyDescent="0.3">
      <c r="A1369">
        <v>652000</v>
      </c>
      <c r="B1369" s="29">
        <f t="shared" si="68"/>
        <v>4197346428.9698462</v>
      </c>
      <c r="C1369" s="39">
        <f t="shared" si="69"/>
        <v>5020400000</v>
      </c>
      <c r="D1369" s="76">
        <f t="shared" si="70"/>
        <v>823053571.03015375</v>
      </c>
    </row>
    <row r="1370" spans="1:4" x14ac:dyDescent="0.3">
      <c r="A1370">
        <v>652500</v>
      </c>
      <c r="B1370" s="29">
        <f t="shared" si="68"/>
        <v>4200540936.6605062</v>
      </c>
      <c r="C1370" s="39">
        <f t="shared" si="69"/>
        <v>5024250000</v>
      </c>
      <c r="D1370" s="76">
        <f t="shared" si="70"/>
        <v>823709063.33949375</v>
      </c>
    </row>
    <row r="1371" spans="1:4" x14ac:dyDescent="0.3">
      <c r="A1371">
        <v>653000</v>
      </c>
      <c r="B1371" s="29">
        <f t="shared" si="68"/>
        <v>4203735444.3511662</v>
      </c>
      <c r="C1371" s="39">
        <f t="shared" si="69"/>
        <v>5028100000</v>
      </c>
      <c r="D1371" s="76">
        <f t="shared" si="70"/>
        <v>824364555.64883375</v>
      </c>
    </row>
    <row r="1372" spans="1:4" x14ac:dyDescent="0.3">
      <c r="A1372">
        <v>653500</v>
      </c>
      <c r="B1372" s="29">
        <f t="shared" si="68"/>
        <v>4206929952.0418262</v>
      </c>
      <c r="C1372" s="39">
        <f t="shared" si="69"/>
        <v>5031950000</v>
      </c>
      <c r="D1372" s="76">
        <f t="shared" si="70"/>
        <v>825020047.95817375</v>
      </c>
    </row>
    <row r="1373" spans="1:4" x14ac:dyDescent="0.3">
      <c r="A1373">
        <v>654000</v>
      </c>
      <c r="B1373" s="29">
        <f t="shared" si="68"/>
        <v>4210124459.7324862</v>
      </c>
      <c r="C1373" s="39">
        <f t="shared" si="69"/>
        <v>5035800000</v>
      </c>
      <c r="D1373" s="76">
        <f t="shared" si="70"/>
        <v>825675540.26751375</v>
      </c>
    </row>
    <row r="1374" spans="1:4" x14ac:dyDescent="0.3">
      <c r="A1374">
        <v>654500</v>
      </c>
      <c r="B1374" s="29">
        <f t="shared" si="68"/>
        <v>4213318967.4231462</v>
      </c>
      <c r="C1374" s="39">
        <f t="shared" si="69"/>
        <v>5039650000</v>
      </c>
      <c r="D1374" s="76">
        <f t="shared" si="70"/>
        <v>826331032.57685375</v>
      </c>
    </row>
    <row r="1375" spans="1:4" x14ac:dyDescent="0.3">
      <c r="A1375">
        <v>655000</v>
      </c>
      <c r="B1375" s="29">
        <f t="shared" si="68"/>
        <v>4216513475.1138062</v>
      </c>
      <c r="C1375" s="39">
        <f t="shared" si="69"/>
        <v>5043500000</v>
      </c>
      <c r="D1375" s="76">
        <f t="shared" si="70"/>
        <v>826986524.88619375</v>
      </c>
    </row>
    <row r="1376" spans="1:4" x14ac:dyDescent="0.3">
      <c r="A1376">
        <v>655500</v>
      </c>
      <c r="B1376" s="29">
        <f t="shared" si="68"/>
        <v>4219707982.8044662</v>
      </c>
      <c r="C1376" s="39">
        <f t="shared" si="69"/>
        <v>5047350000</v>
      </c>
      <c r="D1376" s="76">
        <f t="shared" si="70"/>
        <v>827642017.19553375</v>
      </c>
    </row>
    <row r="1377" spans="1:4" x14ac:dyDescent="0.3">
      <c r="A1377">
        <v>656000</v>
      </c>
      <c r="B1377" s="29">
        <f t="shared" si="68"/>
        <v>4222902490.4951262</v>
      </c>
      <c r="C1377" s="39">
        <f t="shared" si="69"/>
        <v>5051200000</v>
      </c>
      <c r="D1377" s="76">
        <f t="shared" si="70"/>
        <v>828297509.50487375</v>
      </c>
    </row>
    <row r="1378" spans="1:4" x14ac:dyDescent="0.3">
      <c r="A1378">
        <v>656500</v>
      </c>
      <c r="B1378" s="29">
        <f t="shared" si="68"/>
        <v>4226096998.1857862</v>
      </c>
      <c r="C1378" s="39">
        <f t="shared" si="69"/>
        <v>5055050000</v>
      </c>
      <c r="D1378" s="76">
        <f t="shared" si="70"/>
        <v>828953001.81421375</v>
      </c>
    </row>
    <row r="1379" spans="1:4" x14ac:dyDescent="0.3">
      <c r="A1379">
        <v>657000</v>
      </c>
      <c r="B1379" s="29">
        <f t="shared" si="68"/>
        <v>4229291505.8764462</v>
      </c>
      <c r="C1379" s="39">
        <f t="shared" si="69"/>
        <v>5058900000</v>
      </c>
      <c r="D1379" s="76">
        <f t="shared" si="70"/>
        <v>829608494.12355375</v>
      </c>
    </row>
    <row r="1380" spans="1:4" x14ac:dyDescent="0.3">
      <c r="A1380">
        <v>657500</v>
      </c>
      <c r="B1380" s="29">
        <f t="shared" si="68"/>
        <v>4232486013.5671062</v>
      </c>
      <c r="C1380" s="39">
        <f t="shared" si="69"/>
        <v>5062750000</v>
      </c>
      <c r="D1380" s="76">
        <f t="shared" si="70"/>
        <v>830263986.43289375</v>
      </c>
    </row>
    <row r="1381" spans="1:4" x14ac:dyDescent="0.3">
      <c r="A1381">
        <v>658000</v>
      </c>
      <c r="B1381" s="29">
        <f t="shared" si="68"/>
        <v>4235680521.2577662</v>
      </c>
      <c r="C1381" s="39">
        <f t="shared" si="69"/>
        <v>5066600000</v>
      </c>
      <c r="D1381" s="76">
        <f t="shared" si="70"/>
        <v>830919478.74223375</v>
      </c>
    </row>
    <row r="1382" spans="1:4" x14ac:dyDescent="0.3">
      <c r="A1382">
        <v>658500</v>
      </c>
      <c r="B1382" s="29">
        <f t="shared" si="68"/>
        <v>4238875028.9484262</v>
      </c>
      <c r="C1382" s="39">
        <f t="shared" si="69"/>
        <v>5070450000</v>
      </c>
      <c r="D1382" s="76">
        <f t="shared" si="70"/>
        <v>831574971.05157375</v>
      </c>
    </row>
    <row r="1383" spans="1:4" x14ac:dyDescent="0.3">
      <c r="A1383">
        <v>659000</v>
      </c>
      <c r="B1383" s="29">
        <f t="shared" si="68"/>
        <v>4242069536.6390862</v>
      </c>
      <c r="C1383" s="39">
        <f t="shared" si="69"/>
        <v>5074300000</v>
      </c>
      <c r="D1383" s="76">
        <f t="shared" si="70"/>
        <v>832230463.36091375</v>
      </c>
    </row>
    <row r="1384" spans="1:4" x14ac:dyDescent="0.3">
      <c r="A1384">
        <v>659500</v>
      </c>
      <c r="B1384" s="29">
        <f t="shared" si="68"/>
        <v>4245264044.3297462</v>
      </c>
      <c r="C1384" s="39">
        <f t="shared" si="69"/>
        <v>5078150000</v>
      </c>
      <c r="D1384" s="76">
        <f t="shared" si="70"/>
        <v>832885955.67025375</v>
      </c>
    </row>
    <row r="1385" spans="1:4" x14ac:dyDescent="0.3">
      <c r="A1385">
        <v>660000</v>
      </c>
      <c r="B1385" s="29">
        <f t="shared" si="68"/>
        <v>4248458552.0204062</v>
      </c>
      <c r="C1385" s="39">
        <f t="shared" si="69"/>
        <v>5082000000</v>
      </c>
      <c r="D1385" s="76">
        <f t="shared" si="70"/>
        <v>833541447.97959375</v>
      </c>
    </row>
    <row r="1386" spans="1:4" x14ac:dyDescent="0.3">
      <c r="A1386">
        <v>660500</v>
      </c>
      <c r="B1386" s="29">
        <f t="shared" si="68"/>
        <v>4251653059.7110662</v>
      </c>
      <c r="C1386" s="39">
        <f t="shared" si="69"/>
        <v>5085850000</v>
      </c>
      <c r="D1386" s="76">
        <f t="shared" si="70"/>
        <v>834196940.28893375</v>
      </c>
    </row>
    <row r="1387" spans="1:4" x14ac:dyDescent="0.3">
      <c r="A1387">
        <v>661000</v>
      </c>
      <c r="B1387" s="29">
        <f t="shared" si="68"/>
        <v>4254847567.4017262</v>
      </c>
      <c r="C1387" s="39">
        <f t="shared" si="69"/>
        <v>5089700000</v>
      </c>
      <c r="D1387" s="76">
        <f t="shared" si="70"/>
        <v>834852432.59827375</v>
      </c>
    </row>
    <row r="1388" spans="1:4" x14ac:dyDescent="0.3">
      <c r="A1388">
        <v>661500</v>
      </c>
      <c r="B1388" s="29">
        <f t="shared" si="68"/>
        <v>4258042075.0923862</v>
      </c>
      <c r="C1388" s="39">
        <f t="shared" si="69"/>
        <v>5093550000</v>
      </c>
      <c r="D1388" s="76">
        <f t="shared" si="70"/>
        <v>835507924.90761375</v>
      </c>
    </row>
    <row r="1389" spans="1:4" x14ac:dyDescent="0.3">
      <c r="A1389">
        <v>662000</v>
      </c>
      <c r="B1389" s="29">
        <f t="shared" si="68"/>
        <v>4261236582.7830462</v>
      </c>
      <c r="C1389" s="39">
        <f t="shared" si="69"/>
        <v>5097400000</v>
      </c>
      <c r="D1389" s="76">
        <f t="shared" si="70"/>
        <v>836163417.21695375</v>
      </c>
    </row>
    <row r="1390" spans="1:4" x14ac:dyDescent="0.3">
      <c r="A1390">
        <v>662500</v>
      </c>
      <c r="B1390" s="29">
        <f t="shared" si="68"/>
        <v>4264431090.4737062</v>
      </c>
      <c r="C1390" s="39">
        <f t="shared" si="69"/>
        <v>5101250000</v>
      </c>
      <c r="D1390" s="76">
        <f t="shared" si="70"/>
        <v>836818909.52629375</v>
      </c>
    </row>
    <row r="1391" spans="1:4" x14ac:dyDescent="0.3">
      <c r="A1391">
        <v>663000</v>
      </c>
      <c r="B1391" s="29">
        <f t="shared" si="68"/>
        <v>4267625598.1643662</v>
      </c>
      <c r="C1391" s="39">
        <f t="shared" si="69"/>
        <v>5105100000</v>
      </c>
      <c r="D1391" s="76">
        <f t="shared" si="70"/>
        <v>837474401.83563375</v>
      </c>
    </row>
    <row r="1392" spans="1:4" x14ac:dyDescent="0.3">
      <c r="A1392">
        <v>663500</v>
      </c>
      <c r="B1392" s="29">
        <f t="shared" si="68"/>
        <v>4270820105.8550262</v>
      </c>
      <c r="C1392" s="39">
        <f t="shared" si="69"/>
        <v>5108950000</v>
      </c>
      <c r="D1392" s="76">
        <f t="shared" si="70"/>
        <v>838129894.14497375</v>
      </c>
    </row>
    <row r="1393" spans="1:4" x14ac:dyDescent="0.3">
      <c r="A1393">
        <v>664000</v>
      </c>
      <c r="B1393" s="29">
        <f t="shared" si="68"/>
        <v>4274014613.5456862</v>
      </c>
      <c r="C1393" s="39">
        <f t="shared" si="69"/>
        <v>5112800000</v>
      </c>
      <c r="D1393" s="76">
        <f t="shared" si="70"/>
        <v>838785386.45431376</v>
      </c>
    </row>
    <row r="1394" spans="1:4" x14ac:dyDescent="0.3">
      <c r="A1394">
        <v>664500</v>
      </c>
      <c r="B1394" s="29">
        <f t="shared" si="68"/>
        <v>4277209121.2363462</v>
      </c>
      <c r="C1394" s="39">
        <f t="shared" si="69"/>
        <v>5116650000</v>
      </c>
      <c r="D1394" s="76">
        <f t="shared" si="70"/>
        <v>839440878.76365376</v>
      </c>
    </row>
    <row r="1395" spans="1:4" x14ac:dyDescent="0.3">
      <c r="A1395">
        <v>665000</v>
      </c>
      <c r="B1395" s="29">
        <f t="shared" si="68"/>
        <v>4280403628.9270062</v>
      </c>
      <c r="C1395" s="39">
        <f t="shared" si="69"/>
        <v>5120500000</v>
      </c>
      <c r="D1395" s="76">
        <f t="shared" si="70"/>
        <v>840096371.07299376</v>
      </c>
    </row>
    <row r="1396" spans="1:4" x14ac:dyDescent="0.3">
      <c r="A1396">
        <v>665500</v>
      </c>
      <c r="B1396" s="29">
        <f t="shared" si="68"/>
        <v>4283598136.6176662</v>
      </c>
      <c r="C1396" s="39">
        <f t="shared" si="69"/>
        <v>5124350000</v>
      </c>
      <c r="D1396" s="76">
        <f t="shared" si="70"/>
        <v>840751863.38233376</v>
      </c>
    </row>
    <row r="1397" spans="1:4" x14ac:dyDescent="0.3">
      <c r="A1397">
        <v>666000</v>
      </c>
      <c r="B1397" s="29">
        <f t="shared" si="68"/>
        <v>4286792644.3083262</v>
      </c>
      <c r="C1397" s="39">
        <f t="shared" si="69"/>
        <v>5128200000</v>
      </c>
      <c r="D1397" s="76">
        <f t="shared" si="70"/>
        <v>841407355.69167376</v>
      </c>
    </row>
    <row r="1398" spans="1:4" x14ac:dyDescent="0.3">
      <c r="A1398">
        <v>666500</v>
      </c>
      <c r="B1398" s="29">
        <f t="shared" si="68"/>
        <v>4289987151.9989862</v>
      </c>
      <c r="C1398" s="39">
        <f t="shared" si="69"/>
        <v>5132050000</v>
      </c>
      <c r="D1398" s="76">
        <f t="shared" si="70"/>
        <v>842062848.00101376</v>
      </c>
    </row>
    <row r="1399" spans="1:4" x14ac:dyDescent="0.3">
      <c r="A1399">
        <v>667000</v>
      </c>
      <c r="B1399" s="29">
        <f t="shared" si="68"/>
        <v>4293181659.6896462</v>
      </c>
      <c r="C1399" s="39">
        <f t="shared" si="69"/>
        <v>5135900000</v>
      </c>
      <c r="D1399" s="76">
        <f t="shared" si="70"/>
        <v>842718340.31035376</v>
      </c>
    </row>
    <row r="1400" spans="1:4" x14ac:dyDescent="0.3">
      <c r="A1400">
        <v>667500</v>
      </c>
      <c r="B1400" s="29">
        <f t="shared" si="68"/>
        <v>4296376167.3803062</v>
      </c>
      <c r="C1400" s="39">
        <f t="shared" si="69"/>
        <v>5139750000</v>
      </c>
      <c r="D1400" s="76">
        <f t="shared" si="70"/>
        <v>843373832.61969376</v>
      </c>
    </row>
    <row r="1401" spans="1:4" x14ac:dyDescent="0.3">
      <c r="A1401">
        <v>668000</v>
      </c>
      <c r="B1401" s="29">
        <f t="shared" si="68"/>
        <v>4299570675.0709658</v>
      </c>
      <c r="C1401" s="39">
        <f t="shared" si="69"/>
        <v>5143600000</v>
      </c>
      <c r="D1401" s="76">
        <f t="shared" si="70"/>
        <v>844029324.92903423</v>
      </c>
    </row>
    <row r="1402" spans="1:4" x14ac:dyDescent="0.3">
      <c r="A1402">
        <v>668500</v>
      </c>
      <c r="B1402" s="29">
        <f t="shared" si="68"/>
        <v>4302765182.7616262</v>
      </c>
      <c r="C1402" s="39">
        <f t="shared" si="69"/>
        <v>5147450000</v>
      </c>
      <c r="D1402" s="76">
        <f t="shared" si="70"/>
        <v>844684817.23837376</v>
      </c>
    </row>
    <row r="1403" spans="1:4" x14ac:dyDescent="0.3">
      <c r="A1403">
        <v>669000</v>
      </c>
      <c r="B1403" s="29">
        <f t="shared" si="68"/>
        <v>4305959690.4522858</v>
      </c>
      <c r="C1403" s="39">
        <f t="shared" si="69"/>
        <v>5151300000</v>
      </c>
      <c r="D1403" s="76">
        <f t="shared" si="70"/>
        <v>845340309.54771423</v>
      </c>
    </row>
    <row r="1404" spans="1:4" x14ac:dyDescent="0.3">
      <c r="A1404">
        <v>669500</v>
      </c>
      <c r="B1404" s="29">
        <f t="shared" si="68"/>
        <v>4309154198.1429462</v>
      </c>
      <c r="C1404" s="39">
        <f t="shared" si="69"/>
        <v>5155150000</v>
      </c>
      <c r="D1404" s="76">
        <f t="shared" si="70"/>
        <v>845995801.85705376</v>
      </c>
    </row>
    <row r="1405" spans="1:4" x14ac:dyDescent="0.3">
      <c r="A1405">
        <v>670000</v>
      </c>
      <c r="B1405" s="29">
        <f t="shared" si="68"/>
        <v>4312348705.8336058</v>
      </c>
      <c r="C1405" s="39">
        <f t="shared" si="69"/>
        <v>5159000000</v>
      </c>
      <c r="D1405" s="76">
        <f t="shared" si="70"/>
        <v>846651294.16639423</v>
      </c>
    </row>
    <row r="1406" spans="1:4" x14ac:dyDescent="0.3">
      <c r="A1406">
        <v>670500</v>
      </c>
      <c r="B1406" s="29">
        <f t="shared" si="68"/>
        <v>4315543213.5242662</v>
      </c>
      <c r="C1406" s="39">
        <f t="shared" si="69"/>
        <v>5162850000</v>
      </c>
      <c r="D1406" s="76">
        <f t="shared" si="70"/>
        <v>847306786.47573376</v>
      </c>
    </row>
    <row r="1407" spans="1:4" x14ac:dyDescent="0.3">
      <c r="A1407">
        <v>671000</v>
      </c>
      <c r="B1407" s="29">
        <f t="shared" si="68"/>
        <v>4318737721.2149258</v>
      </c>
      <c r="C1407" s="39">
        <f t="shared" si="69"/>
        <v>5166700000</v>
      </c>
      <c r="D1407" s="76">
        <f t="shared" si="70"/>
        <v>847962278.78507423</v>
      </c>
    </row>
    <row r="1408" spans="1:4" x14ac:dyDescent="0.3">
      <c r="A1408">
        <v>671500</v>
      </c>
      <c r="B1408" s="29">
        <f t="shared" si="68"/>
        <v>4321932228.9055862</v>
      </c>
      <c r="C1408" s="39">
        <f t="shared" si="69"/>
        <v>5170550000</v>
      </c>
      <c r="D1408" s="76">
        <f t="shared" si="70"/>
        <v>848617771.09441376</v>
      </c>
    </row>
    <row r="1409" spans="1:4" x14ac:dyDescent="0.3">
      <c r="A1409">
        <v>672000</v>
      </c>
      <c r="B1409" s="29">
        <f t="shared" si="68"/>
        <v>4325126736.5962458</v>
      </c>
      <c r="C1409" s="39">
        <f t="shared" si="69"/>
        <v>5174400000</v>
      </c>
      <c r="D1409" s="76">
        <f t="shared" si="70"/>
        <v>849273263.40375423</v>
      </c>
    </row>
    <row r="1410" spans="1:4" x14ac:dyDescent="0.3">
      <c r="A1410">
        <v>672500</v>
      </c>
      <c r="B1410" s="29">
        <f t="shared" ref="B1410:B1473" si="71">$B$54+($B$60*A1410)</f>
        <v>4328321244.2869053</v>
      </c>
      <c r="C1410" s="39">
        <f t="shared" ref="C1410:C1473" si="72">$E$50*A1410</f>
        <v>5178250000</v>
      </c>
      <c r="D1410" s="76">
        <f t="shared" ref="D1410:D1473" si="73">C1410-B1410</f>
        <v>849928755.71309471</v>
      </c>
    </row>
    <row r="1411" spans="1:4" x14ac:dyDescent="0.3">
      <c r="A1411">
        <v>673000</v>
      </c>
      <c r="B1411" s="29">
        <f t="shared" si="71"/>
        <v>4331515751.9775658</v>
      </c>
      <c r="C1411" s="39">
        <f t="shared" si="72"/>
        <v>5182100000</v>
      </c>
      <c r="D1411" s="76">
        <f t="shared" si="73"/>
        <v>850584248.02243423</v>
      </c>
    </row>
    <row r="1412" spans="1:4" x14ac:dyDescent="0.3">
      <c r="A1412">
        <v>673500</v>
      </c>
      <c r="B1412" s="29">
        <f t="shared" si="71"/>
        <v>4334710259.6682253</v>
      </c>
      <c r="C1412" s="39">
        <f t="shared" si="72"/>
        <v>5185950000</v>
      </c>
      <c r="D1412" s="76">
        <f t="shared" si="73"/>
        <v>851239740.33177471</v>
      </c>
    </row>
    <row r="1413" spans="1:4" x14ac:dyDescent="0.3">
      <c r="A1413">
        <v>674000</v>
      </c>
      <c r="B1413" s="29">
        <f t="shared" si="71"/>
        <v>4337904767.3588858</v>
      </c>
      <c r="C1413" s="39">
        <f t="shared" si="72"/>
        <v>5189800000</v>
      </c>
      <c r="D1413" s="76">
        <f t="shared" si="73"/>
        <v>851895232.64111423</v>
      </c>
    </row>
    <row r="1414" spans="1:4" x14ac:dyDescent="0.3">
      <c r="A1414">
        <v>674500</v>
      </c>
      <c r="B1414" s="29">
        <f t="shared" si="71"/>
        <v>4341099275.0495453</v>
      </c>
      <c r="C1414" s="39">
        <f t="shared" si="72"/>
        <v>5193650000</v>
      </c>
      <c r="D1414" s="76">
        <f t="shared" si="73"/>
        <v>852550724.95045471</v>
      </c>
    </row>
    <row r="1415" spans="1:4" x14ac:dyDescent="0.3">
      <c r="A1415">
        <v>675000</v>
      </c>
      <c r="B1415" s="29">
        <f t="shared" si="71"/>
        <v>4344293782.7402058</v>
      </c>
      <c r="C1415" s="39">
        <f t="shared" si="72"/>
        <v>5197500000</v>
      </c>
      <c r="D1415" s="76">
        <f t="shared" si="73"/>
        <v>853206217.25979424</v>
      </c>
    </row>
    <row r="1416" spans="1:4" x14ac:dyDescent="0.3">
      <c r="A1416">
        <v>675500</v>
      </c>
      <c r="B1416" s="29">
        <f t="shared" si="71"/>
        <v>4347488290.4308653</v>
      </c>
      <c r="C1416" s="39">
        <f t="shared" si="72"/>
        <v>5201350000</v>
      </c>
      <c r="D1416" s="76">
        <f t="shared" si="73"/>
        <v>853861709.56913471</v>
      </c>
    </row>
    <row r="1417" spans="1:4" x14ac:dyDescent="0.3">
      <c r="A1417">
        <v>676000</v>
      </c>
      <c r="B1417" s="29">
        <f t="shared" si="71"/>
        <v>4350682798.1215258</v>
      </c>
      <c r="C1417" s="39">
        <f t="shared" si="72"/>
        <v>5205200000</v>
      </c>
      <c r="D1417" s="76">
        <f t="shared" si="73"/>
        <v>854517201.87847424</v>
      </c>
    </row>
    <row r="1418" spans="1:4" x14ac:dyDescent="0.3">
      <c r="A1418">
        <v>676500</v>
      </c>
      <c r="B1418" s="29">
        <f t="shared" si="71"/>
        <v>4353877305.8121853</v>
      </c>
      <c r="C1418" s="39">
        <f t="shared" si="72"/>
        <v>5209050000</v>
      </c>
      <c r="D1418" s="76">
        <f t="shared" si="73"/>
        <v>855172694.18781471</v>
      </c>
    </row>
    <row r="1419" spans="1:4" x14ac:dyDescent="0.3">
      <c r="A1419">
        <v>677000</v>
      </c>
      <c r="B1419" s="29">
        <f t="shared" si="71"/>
        <v>4357071813.5028458</v>
      </c>
      <c r="C1419" s="39">
        <f t="shared" si="72"/>
        <v>5212900000</v>
      </c>
      <c r="D1419" s="76">
        <f t="shared" si="73"/>
        <v>855828186.49715424</v>
      </c>
    </row>
    <row r="1420" spans="1:4" x14ac:dyDescent="0.3">
      <c r="A1420">
        <v>677500</v>
      </c>
      <c r="B1420" s="29">
        <f t="shared" si="71"/>
        <v>4360266321.1935053</v>
      </c>
      <c r="C1420" s="39">
        <f t="shared" si="72"/>
        <v>5216750000</v>
      </c>
      <c r="D1420" s="76">
        <f t="shared" si="73"/>
        <v>856483678.80649471</v>
      </c>
    </row>
    <row r="1421" spans="1:4" x14ac:dyDescent="0.3">
      <c r="A1421">
        <v>678000</v>
      </c>
      <c r="B1421" s="29">
        <f t="shared" si="71"/>
        <v>4363460828.8841658</v>
      </c>
      <c r="C1421" s="39">
        <f t="shared" si="72"/>
        <v>5220600000</v>
      </c>
      <c r="D1421" s="76">
        <f t="shared" si="73"/>
        <v>857139171.11583424</v>
      </c>
    </row>
    <row r="1422" spans="1:4" x14ac:dyDescent="0.3">
      <c r="A1422">
        <v>678500</v>
      </c>
      <c r="B1422" s="29">
        <f t="shared" si="71"/>
        <v>4366655336.5748253</v>
      </c>
      <c r="C1422" s="39">
        <f t="shared" si="72"/>
        <v>5224450000</v>
      </c>
      <c r="D1422" s="76">
        <f t="shared" si="73"/>
        <v>857794663.42517471</v>
      </c>
    </row>
    <row r="1423" spans="1:4" x14ac:dyDescent="0.3">
      <c r="A1423">
        <v>679000</v>
      </c>
      <c r="B1423" s="29">
        <f t="shared" si="71"/>
        <v>4369849844.2654858</v>
      </c>
      <c r="C1423" s="39">
        <f t="shared" si="72"/>
        <v>5228300000</v>
      </c>
      <c r="D1423" s="76">
        <f t="shared" si="73"/>
        <v>858450155.73451424</v>
      </c>
    </row>
    <row r="1424" spans="1:4" x14ac:dyDescent="0.3">
      <c r="A1424">
        <v>679500</v>
      </c>
      <c r="B1424" s="29">
        <f t="shared" si="71"/>
        <v>4373044351.9561453</v>
      </c>
      <c r="C1424" s="39">
        <f t="shared" si="72"/>
        <v>5232150000</v>
      </c>
      <c r="D1424" s="76">
        <f t="shared" si="73"/>
        <v>859105648.04385471</v>
      </c>
    </row>
    <row r="1425" spans="1:4" x14ac:dyDescent="0.3">
      <c r="A1425">
        <v>680000</v>
      </c>
      <c r="B1425" s="29">
        <f t="shared" si="71"/>
        <v>4376238859.6468058</v>
      </c>
      <c r="C1425" s="39">
        <f t="shared" si="72"/>
        <v>5236000000</v>
      </c>
      <c r="D1425" s="76">
        <f t="shared" si="73"/>
        <v>859761140.35319424</v>
      </c>
    </row>
    <row r="1426" spans="1:4" x14ac:dyDescent="0.3">
      <c r="A1426">
        <v>680500</v>
      </c>
      <c r="B1426" s="29">
        <f t="shared" si="71"/>
        <v>4379433367.3374653</v>
      </c>
      <c r="C1426" s="39">
        <f t="shared" si="72"/>
        <v>5239850000</v>
      </c>
      <c r="D1426" s="76">
        <f t="shared" si="73"/>
        <v>860416632.66253471</v>
      </c>
    </row>
    <row r="1427" spans="1:4" x14ac:dyDescent="0.3">
      <c r="A1427">
        <v>681000</v>
      </c>
      <c r="B1427" s="29">
        <f t="shared" si="71"/>
        <v>4382627875.0281258</v>
      </c>
      <c r="C1427" s="39">
        <f t="shared" si="72"/>
        <v>5243700000</v>
      </c>
      <c r="D1427" s="76">
        <f t="shared" si="73"/>
        <v>861072124.97187424</v>
      </c>
    </row>
    <row r="1428" spans="1:4" x14ac:dyDescent="0.3">
      <c r="A1428">
        <v>681500</v>
      </c>
      <c r="B1428" s="29">
        <f t="shared" si="71"/>
        <v>4385822382.7187853</v>
      </c>
      <c r="C1428" s="39">
        <f t="shared" si="72"/>
        <v>5247550000</v>
      </c>
      <c r="D1428" s="76">
        <f t="shared" si="73"/>
        <v>861727617.28121471</v>
      </c>
    </row>
    <row r="1429" spans="1:4" x14ac:dyDescent="0.3">
      <c r="A1429">
        <v>682000</v>
      </c>
      <c r="B1429" s="29">
        <f t="shared" si="71"/>
        <v>4389016890.4094458</v>
      </c>
      <c r="C1429" s="39">
        <f t="shared" si="72"/>
        <v>5251400000</v>
      </c>
      <c r="D1429" s="76">
        <f t="shared" si="73"/>
        <v>862383109.59055424</v>
      </c>
    </row>
    <row r="1430" spans="1:4" x14ac:dyDescent="0.3">
      <c r="A1430">
        <v>682500</v>
      </c>
      <c r="B1430" s="29">
        <f t="shared" si="71"/>
        <v>4392211398.1001053</v>
      </c>
      <c r="C1430" s="39">
        <f t="shared" si="72"/>
        <v>5255250000</v>
      </c>
      <c r="D1430" s="76">
        <f t="shared" si="73"/>
        <v>863038601.89989471</v>
      </c>
    </row>
    <row r="1431" spans="1:4" x14ac:dyDescent="0.3">
      <c r="A1431">
        <v>683000</v>
      </c>
      <c r="B1431" s="29">
        <f t="shared" si="71"/>
        <v>4395405905.7907658</v>
      </c>
      <c r="C1431" s="39">
        <f t="shared" si="72"/>
        <v>5259100000</v>
      </c>
      <c r="D1431" s="76">
        <f t="shared" si="73"/>
        <v>863694094.20923424</v>
      </c>
    </row>
    <row r="1432" spans="1:4" x14ac:dyDescent="0.3">
      <c r="A1432">
        <v>683500</v>
      </c>
      <c r="B1432" s="29">
        <f t="shared" si="71"/>
        <v>4398600413.4814253</v>
      </c>
      <c r="C1432" s="39">
        <f t="shared" si="72"/>
        <v>5262950000</v>
      </c>
      <c r="D1432" s="76">
        <f t="shared" si="73"/>
        <v>864349586.51857471</v>
      </c>
    </row>
    <row r="1433" spans="1:4" x14ac:dyDescent="0.3">
      <c r="A1433">
        <v>684000</v>
      </c>
      <c r="B1433" s="29">
        <f t="shared" si="71"/>
        <v>4401794921.1720858</v>
      </c>
      <c r="C1433" s="39">
        <f t="shared" si="72"/>
        <v>5266800000</v>
      </c>
      <c r="D1433" s="76">
        <f t="shared" si="73"/>
        <v>865005078.82791424</v>
      </c>
    </row>
    <row r="1434" spans="1:4" x14ac:dyDescent="0.3">
      <c r="A1434">
        <v>684500</v>
      </c>
      <c r="B1434" s="29">
        <f t="shared" si="71"/>
        <v>4404989428.8627453</v>
      </c>
      <c r="C1434" s="39">
        <f t="shared" si="72"/>
        <v>5270650000</v>
      </c>
      <c r="D1434" s="76">
        <f t="shared" si="73"/>
        <v>865660571.13725471</v>
      </c>
    </row>
    <row r="1435" spans="1:4" x14ac:dyDescent="0.3">
      <c r="A1435">
        <v>685000</v>
      </c>
      <c r="B1435" s="29">
        <f t="shared" si="71"/>
        <v>4408183936.5534058</v>
      </c>
      <c r="C1435" s="39">
        <f t="shared" si="72"/>
        <v>5274500000</v>
      </c>
      <c r="D1435" s="76">
        <f t="shared" si="73"/>
        <v>866316063.44659424</v>
      </c>
    </row>
    <row r="1436" spans="1:4" x14ac:dyDescent="0.3">
      <c r="A1436">
        <v>685500</v>
      </c>
      <c r="B1436" s="29">
        <f t="shared" si="71"/>
        <v>4411378444.2440653</v>
      </c>
      <c r="C1436" s="39">
        <f t="shared" si="72"/>
        <v>5278350000</v>
      </c>
      <c r="D1436" s="76">
        <f t="shared" si="73"/>
        <v>866971555.75593472</v>
      </c>
    </row>
    <row r="1437" spans="1:4" x14ac:dyDescent="0.3">
      <c r="A1437">
        <v>686000</v>
      </c>
      <c r="B1437" s="29">
        <f t="shared" si="71"/>
        <v>4414572951.9347258</v>
      </c>
      <c r="C1437" s="39">
        <f t="shared" si="72"/>
        <v>5282200000</v>
      </c>
      <c r="D1437" s="76">
        <f t="shared" si="73"/>
        <v>867627048.06527424</v>
      </c>
    </row>
    <row r="1438" spans="1:4" x14ac:dyDescent="0.3">
      <c r="A1438">
        <v>686500</v>
      </c>
      <c r="B1438" s="29">
        <f t="shared" si="71"/>
        <v>4417767459.6253853</v>
      </c>
      <c r="C1438" s="39">
        <f t="shared" si="72"/>
        <v>5286050000</v>
      </c>
      <c r="D1438" s="76">
        <f t="shared" si="73"/>
        <v>868282540.37461472</v>
      </c>
    </row>
    <row r="1439" spans="1:4" x14ac:dyDescent="0.3">
      <c r="A1439">
        <v>687000</v>
      </c>
      <c r="B1439" s="29">
        <f t="shared" si="71"/>
        <v>4420961967.3160458</v>
      </c>
      <c r="C1439" s="39">
        <f t="shared" si="72"/>
        <v>5289900000</v>
      </c>
      <c r="D1439" s="76">
        <f t="shared" si="73"/>
        <v>868938032.68395424</v>
      </c>
    </row>
    <row r="1440" spans="1:4" x14ac:dyDescent="0.3">
      <c r="A1440">
        <v>687500</v>
      </c>
      <c r="B1440" s="29">
        <f t="shared" si="71"/>
        <v>4424156475.0067053</v>
      </c>
      <c r="C1440" s="39">
        <f t="shared" si="72"/>
        <v>5293750000</v>
      </c>
      <c r="D1440" s="76">
        <f t="shared" si="73"/>
        <v>869593524.99329472</v>
      </c>
    </row>
    <row r="1441" spans="1:4" x14ac:dyDescent="0.3">
      <c r="A1441">
        <v>688000</v>
      </c>
      <c r="B1441" s="29">
        <f t="shared" si="71"/>
        <v>4427350982.6973658</v>
      </c>
      <c r="C1441" s="39">
        <f t="shared" si="72"/>
        <v>5297600000</v>
      </c>
      <c r="D1441" s="76">
        <f t="shared" si="73"/>
        <v>870249017.30263424</v>
      </c>
    </row>
    <row r="1442" spans="1:4" x14ac:dyDescent="0.3">
      <c r="A1442">
        <v>688500</v>
      </c>
      <c r="B1442" s="29">
        <f t="shared" si="71"/>
        <v>4430545490.3880253</v>
      </c>
      <c r="C1442" s="39">
        <f t="shared" si="72"/>
        <v>5301450000</v>
      </c>
      <c r="D1442" s="76">
        <f t="shared" si="73"/>
        <v>870904509.61197472</v>
      </c>
    </row>
    <row r="1443" spans="1:4" x14ac:dyDescent="0.3">
      <c r="A1443">
        <v>689000</v>
      </c>
      <c r="B1443" s="29">
        <f t="shared" si="71"/>
        <v>4433739998.0786858</v>
      </c>
      <c r="C1443" s="39">
        <f t="shared" si="72"/>
        <v>5305300000</v>
      </c>
      <c r="D1443" s="76">
        <f t="shared" si="73"/>
        <v>871560001.92131424</v>
      </c>
    </row>
    <row r="1444" spans="1:4" x14ac:dyDescent="0.3">
      <c r="A1444">
        <v>689500</v>
      </c>
      <c r="B1444" s="29">
        <f t="shared" si="71"/>
        <v>4436934505.7693453</v>
      </c>
      <c r="C1444" s="39">
        <f t="shared" si="72"/>
        <v>5309150000</v>
      </c>
      <c r="D1444" s="76">
        <f t="shared" si="73"/>
        <v>872215494.23065472</v>
      </c>
    </row>
    <row r="1445" spans="1:4" x14ac:dyDescent="0.3">
      <c r="A1445">
        <v>690000</v>
      </c>
      <c r="B1445" s="29">
        <f t="shared" si="71"/>
        <v>4440129013.4600058</v>
      </c>
      <c r="C1445" s="39">
        <f t="shared" si="72"/>
        <v>5313000000</v>
      </c>
      <c r="D1445" s="76">
        <f t="shared" si="73"/>
        <v>872870986.53999424</v>
      </c>
    </row>
    <row r="1446" spans="1:4" x14ac:dyDescent="0.3">
      <c r="A1446">
        <v>690500</v>
      </c>
      <c r="B1446" s="29">
        <f t="shared" si="71"/>
        <v>4443323521.1506653</v>
      </c>
      <c r="C1446" s="39">
        <f t="shared" si="72"/>
        <v>5316850000</v>
      </c>
      <c r="D1446" s="76">
        <f t="shared" si="73"/>
        <v>873526478.84933472</v>
      </c>
    </row>
    <row r="1447" spans="1:4" x14ac:dyDescent="0.3">
      <c r="A1447">
        <v>691000</v>
      </c>
      <c r="B1447" s="29">
        <f t="shared" si="71"/>
        <v>4446518028.8413258</v>
      </c>
      <c r="C1447" s="39">
        <f t="shared" si="72"/>
        <v>5320700000</v>
      </c>
      <c r="D1447" s="76">
        <f t="shared" si="73"/>
        <v>874181971.15867424</v>
      </c>
    </row>
    <row r="1448" spans="1:4" x14ac:dyDescent="0.3">
      <c r="A1448">
        <v>691500</v>
      </c>
      <c r="B1448" s="29">
        <f t="shared" si="71"/>
        <v>4449712536.5319853</v>
      </c>
      <c r="C1448" s="39">
        <f t="shared" si="72"/>
        <v>5324550000</v>
      </c>
      <c r="D1448" s="76">
        <f t="shared" si="73"/>
        <v>874837463.46801472</v>
      </c>
    </row>
    <row r="1449" spans="1:4" x14ac:dyDescent="0.3">
      <c r="A1449">
        <v>692000</v>
      </c>
      <c r="B1449" s="29">
        <f t="shared" si="71"/>
        <v>4452907044.2226458</v>
      </c>
      <c r="C1449" s="39">
        <f t="shared" si="72"/>
        <v>5328400000</v>
      </c>
      <c r="D1449" s="76">
        <f t="shared" si="73"/>
        <v>875492955.77735424</v>
      </c>
    </row>
    <row r="1450" spans="1:4" x14ac:dyDescent="0.3">
      <c r="A1450">
        <v>692500</v>
      </c>
      <c r="B1450" s="29">
        <f t="shared" si="71"/>
        <v>4456101551.9133053</v>
      </c>
      <c r="C1450" s="39">
        <f t="shared" si="72"/>
        <v>5332250000</v>
      </c>
      <c r="D1450" s="76">
        <f t="shared" si="73"/>
        <v>876148448.08669472</v>
      </c>
    </row>
    <row r="1451" spans="1:4" x14ac:dyDescent="0.3">
      <c r="A1451">
        <v>693000</v>
      </c>
      <c r="B1451" s="29">
        <f t="shared" si="71"/>
        <v>4459296059.6039658</v>
      </c>
      <c r="C1451" s="39">
        <f t="shared" si="72"/>
        <v>5336100000</v>
      </c>
      <c r="D1451" s="76">
        <f t="shared" si="73"/>
        <v>876803940.39603424</v>
      </c>
    </row>
    <row r="1452" spans="1:4" x14ac:dyDescent="0.3">
      <c r="A1452">
        <v>693500</v>
      </c>
      <c r="B1452" s="29">
        <f t="shared" si="71"/>
        <v>4462490567.2946253</v>
      </c>
      <c r="C1452" s="39">
        <f t="shared" si="72"/>
        <v>5339950000</v>
      </c>
      <c r="D1452" s="76">
        <f t="shared" si="73"/>
        <v>877459432.70537472</v>
      </c>
    </row>
    <row r="1453" spans="1:4" x14ac:dyDescent="0.3">
      <c r="A1453">
        <v>694000</v>
      </c>
      <c r="B1453" s="29">
        <f t="shared" si="71"/>
        <v>4465685074.9852858</v>
      </c>
      <c r="C1453" s="39">
        <f t="shared" si="72"/>
        <v>5343800000</v>
      </c>
      <c r="D1453" s="76">
        <f t="shared" si="73"/>
        <v>878114925.01471424</v>
      </c>
    </row>
    <row r="1454" spans="1:4" x14ac:dyDescent="0.3">
      <c r="A1454">
        <v>694500</v>
      </c>
      <c r="B1454" s="29">
        <f t="shared" si="71"/>
        <v>4468879582.6759453</v>
      </c>
      <c r="C1454" s="39">
        <f t="shared" si="72"/>
        <v>5347650000</v>
      </c>
      <c r="D1454" s="76">
        <f t="shared" si="73"/>
        <v>878770417.32405472</v>
      </c>
    </row>
    <row r="1455" spans="1:4" x14ac:dyDescent="0.3">
      <c r="A1455">
        <v>695000</v>
      </c>
      <c r="B1455" s="29">
        <f t="shared" si="71"/>
        <v>4472074090.3666058</v>
      </c>
      <c r="C1455" s="39">
        <f t="shared" si="72"/>
        <v>5351500000</v>
      </c>
      <c r="D1455" s="76">
        <f t="shared" si="73"/>
        <v>879425909.63339424</v>
      </c>
    </row>
    <row r="1456" spans="1:4" x14ac:dyDescent="0.3">
      <c r="A1456">
        <v>695500</v>
      </c>
      <c r="B1456" s="29">
        <f t="shared" si="71"/>
        <v>4475268598.0572653</v>
      </c>
      <c r="C1456" s="39">
        <f t="shared" si="72"/>
        <v>5355350000</v>
      </c>
      <c r="D1456" s="76">
        <f t="shared" si="73"/>
        <v>880081401.94273472</v>
      </c>
    </row>
    <row r="1457" spans="1:4" x14ac:dyDescent="0.3">
      <c r="A1457">
        <v>696000</v>
      </c>
      <c r="B1457" s="29">
        <f t="shared" si="71"/>
        <v>4478463105.7479258</v>
      </c>
      <c r="C1457" s="39">
        <f t="shared" si="72"/>
        <v>5359200000</v>
      </c>
      <c r="D1457" s="76">
        <f t="shared" si="73"/>
        <v>880736894.25207424</v>
      </c>
    </row>
    <row r="1458" spans="1:4" x14ac:dyDescent="0.3">
      <c r="A1458">
        <v>696500</v>
      </c>
      <c r="B1458" s="29">
        <f t="shared" si="71"/>
        <v>4481657613.4385853</v>
      </c>
      <c r="C1458" s="39">
        <f t="shared" si="72"/>
        <v>5363050000</v>
      </c>
      <c r="D1458" s="76">
        <f t="shared" si="73"/>
        <v>881392386.56141472</v>
      </c>
    </row>
    <row r="1459" spans="1:4" x14ac:dyDescent="0.3">
      <c r="A1459">
        <v>697000</v>
      </c>
      <c r="B1459" s="29">
        <f t="shared" si="71"/>
        <v>4484852121.1292458</v>
      </c>
      <c r="C1459" s="39">
        <f t="shared" si="72"/>
        <v>5366900000</v>
      </c>
      <c r="D1459" s="76">
        <f t="shared" si="73"/>
        <v>882047878.87075424</v>
      </c>
    </row>
    <row r="1460" spans="1:4" x14ac:dyDescent="0.3">
      <c r="A1460">
        <v>697500</v>
      </c>
      <c r="B1460" s="29">
        <f t="shared" si="71"/>
        <v>4488046628.8199053</v>
      </c>
      <c r="C1460" s="39">
        <f t="shared" si="72"/>
        <v>5370750000</v>
      </c>
      <c r="D1460" s="76">
        <f t="shared" si="73"/>
        <v>882703371.18009472</v>
      </c>
    </row>
    <row r="1461" spans="1:4" x14ac:dyDescent="0.3">
      <c r="A1461">
        <v>698000</v>
      </c>
      <c r="B1461" s="29">
        <f t="shared" si="71"/>
        <v>4491241136.5105658</v>
      </c>
      <c r="C1461" s="39">
        <f t="shared" si="72"/>
        <v>5374600000</v>
      </c>
      <c r="D1461" s="76">
        <f t="shared" si="73"/>
        <v>883358863.48943424</v>
      </c>
    </row>
    <row r="1462" spans="1:4" x14ac:dyDescent="0.3">
      <c r="A1462">
        <v>698500</v>
      </c>
      <c r="B1462" s="29">
        <f t="shared" si="71"/>
        <v>4494435644.2012253</v>
      </c>
      <c r="C1462" s="39">
        <f t="shared" si="72"/>
        <v>5378450000</v>
      </c>
      <c r="D1462" s="76">
        <f t="shared" si="73"/>
        <v>884014355.79877472</v>
      </c>
    </row>
    <row r="1463" spans="1:4" x14ac:dyDescent="0.3">
      <c r="A1463">
        <v>699000</v>
      </c>
      <c r="B1463" s="29">
        <f t="shared" si="71"/>
        <v>4497630151.8918858</v>
      </c>
      <c r="C1463" s="39">
        <f t="shared" si="72"/>
        <v>5382300000</v>
      </c>
      <c r="D1463" s="76">
        <f t="shared" si="73"/>
        <v>884669848.10811424</v>
      </c>
    </row>
    <row r="1464" spans="1:4" x14ac:dyDescent="0.3">
      <c r="A1464">
        <v>699500</v>
      </c>
      <c r="B1464" s="29">
        <f t="shared" si="71"/>
        <v>4500824659.5825453</v>
      </c>
      <c r="C1464" s="39">
        <f t="shared" si="72"/>
        <v>5386150000</v>
      </c>
      <c r="D1464" s="76">
        <f t="shared" si="73"/>
        <v>885325340.41745472</v>
      </c>
    </row>
    <row r="1465" spans="1:4" x14ac:dyDescent="0.3">
      <c r="A1465">
        <v>700000</v>
      </c>
      <c r="B1465" s="29">
        <f t="shared" si="71"/>
        <v>4504019167.2732058</v>
      </c>
      <c r="C1465" s="39">
        <f t="shared" si="72"/>
        <v>5390000000</v>
      </c>
      <c r="D1465" s="76">
        <f t="shared" si="73"/>
        <v>885980832.72679424</v>
      </c>
    </row>
    <row r="1466" spans="1:4" x14ac:dyDescent="0.3">
      <c r="A1466">
        <v>700500</v>
      </c>
      <c r="B1466" s="29">
        <f t="shared" si="71"/>
        <v>4507213674.9638653</v>
      </c>
      <c r="C1466" s="39">
        <f t="shared" si="72"/>
        <v>5393850000</v>
      </c>
      <c r="D1466" s="76">
        <f t="shared" si="73"/>
        <v>886636325.03613472</v>
      </c>
    </row>
    <row r="1467" spans="1:4" x14ac:dyDescent="0.3">
      <c r="A1467">
        <v>701000</v>
      </c>
      <c r="B1467" s="29">
        <f t="shared" si="71"/>
        <v>4510408182.6545258</v>
      </c>
      <c r="C1467" s="39">
        <f t="shared" si="72"/>
        <v>5397700000</v>
      </c>
      <c r="D1467" s="76">
        <f t="shared" si="73"/>
        <v>887291817.34547424</v>
      </c>
    </row>
    <row r="1468" spans="1:4" x14ac:dyDescent="0.3">
      <c r="A1468">
        <v>701500</v>
      </c>
      <c r="B1468" s="29">
        <f t="shared" si="71"/>
        <v>4513602690.3451853</v>
      </c>
      <c r="C1468" s="39">
        <f t="shared" si="72"/>
        <v>5401550000</v>
      </c>
      <c r="D1468" s="76">
        <f t="shared" si="73"/>
        <v>887947309.65481472</v>
      </c>
    </row>
    <row r="1469" spans="1:4" x14ac:dyDescent="0.3">
      <c r="A1469">
        <v>702000</v>
      </c>
      <c r="B1469" s="29">
        <f t="shared" si="71"/>
        <v>4516797198.0358458</v>
      </c>
      <c r="C1469" s="39">
        <f t="shared" si="72"/>
        <v>5405400000</v>
      </c>
      <c r="D1469" s="76">
        <f t="shared" si="73"/>
        <v>888602801.96415424</v>
      </c>
    </row>
    <row r="1470" spans="1:4" x14ac:dyDescent="0.3">
      <c r="A1470">
        <v>702500</v>
      </c>
      <c r="B1470" s="29">
        <f t="shared" si="71"/>
        <v>4519991705.7265053</v>
      </c>
      <c r="C1470" s="39">
        <f t="shared" si="72"/>
        <v>5409250000</v>
      </c>
      <c r="D1470" s="76">
        <f t="shared" si="73"/>
        <v>889258294.27349472</v>
      </c>
    </row>
    <row r="1471" spans="1:4" x14ac:dyDescent="0.3">
      <c r="A1471">
        <v>703000</v>
      </c>
      <c r="B1471" s="29">
        <f t="shared" si="71"/>
        <v>4523186213.4171658</v>
      </c>
      <c r="C1471" s="39">
        <f t="shared" si="72"/>
        <v>5413100000</v>
      </c>
      <c r="D1471" s="76">
        <f t="shared" si="73"/>
        <v>889913786.58283424</v>
      </c>
    </row>
    <row r="1472" spans="1:4" x14ac:dyDescent="0.3">
      <c r="A1472">
        <v>703500</v>
      </c>
      <c r="B1472" s="29">
        <f t="shared" si="71"/>
        <v>4526380721.1078253</v>
      </c>
      <c r="C1472" s="39">
        <f t="shared" si="72"/>
        <v>5416950000</v>
      </c>
      <c r="D1472" s="76">
        <f t="shared" si="73"/>
        <v>890569278.89217472</v>
      </c>
    </row>
    <row r="1473" spans="1:4" x14ac:dyDescent="0.3">
      <c r="A1473">
        <v>704000</v>
      </c>
      <c r="B1473" s="29">
        <f t="shared" si="71"/>
        <v>4529575228.7984858</v>
      </c>
      <c r="C1473" s="39">
        <f t="shared" si="72"/>
        <v>5420800000</v>
      </c>
      <c r="D1473" s="76">
        <f t="shared" si="73"/>
        <v>891224771.20151424</v>
      </c>
    </row>
    <row r="1474" spans="1:4" x14ac:dyDescent="0.3">
      <c r="A1474">
        <v>704500</v>
      </c>
      <c r="B1474" s="29">
        <f t="shared" ref="B1474:B1537" si="74">$B$54+($B$60*A1474)</f>
        <v>4532769736.4891453</v>
      </c>
      <c r="C1474" s="39">
        <f t="shared" ref="C1474:C1537" si="75">$E$50*A1474</f>
        <v>5424650000</v>
      </c>
      <c r="D1474" s="76">
        <f t="shared" ref="D1474:D1537" si="76">C1474-B1474</f>
        <v>891880263.51085472</v>
      </c>
    </row>
    <row r="1475" spans="1:4" x14ac:dyDescent="0.3">
      <c r="A1475">
        <v>705000</v>
      </c>
      <c r="B1475" s="29">
        <f t="shared" si="74"/>
        <v>4535964244.1798058</v>
      </c>
      <c r="C1475" s="39">
        <f t="shared" si="75"/>
        <v>5428500000</v>
      </c>
      <c r="D1475" s="76">
        <f t="shared" si="76"/>
        <v>892535755.82019424</v>
      </c>
    </row>
    <row r="1476" spans="1:4" x14ac:dyDescent="0.3">
      <c r="A1476">
        <v>705500</v>
      </c>
      <c r="B1476" s="29">
        <f t="shared" si="74"/>
        <v>4539158751.8704653</v>
      </c>
      <c r="C1476" s="39">
        <f t="shared" si="75"/>
        <v>5432350000</v>
      </c>
      <c r="D1476" s="76">
        <f t="shared" si="76"/>
        <v>893191248.12953472</v>
      </c>
    </row>
    <row r="1477" spans="1:4" x14ac:dyDescent="0.3">
      <c r="A1477">
        <v>706000</v>
      </c>
      <c r="B1477" s="29">
        <f t="shared" si="74"/>
        <v>4542353259.5611258</v>
      </c>
      <c r="C1477" s="39">
        <f t="shared" si="75"/>
        <v>5436200000</v>
      </c>
      <c r="D1477" s="76">
        <f t="shared" si="76"/>
        <v>893846740.43887424</v>
      </c>
    </row>
    <row r="1478" spans="1:4" x14ac:dyDescent="0.3">
      <c r="A1478">
        <v>706500</v>
      </c>
      <c r="B1478" s="29">
        <f t="shared" si="74"/>
        <v>4545547767.2517853</v>
      </c>
      <c r="C1478" s="39">
        <f t="shared" si="75"/>
        <v>5440050000</v>
      </c>
      <c r="D1478" s="76">
        <f t="shared" si="76"/>
        <v>894502232.74821472</v>
      </c>
    </row>
    <row r="1479" spans="1:4" x14ac:dyDescent="0.3">
      <c r="A1479">
        <v>707000</v>
      </c>
      <c r="B1479" s="29">
        <f t="shared" si="74"/>
        <v>4548742274.9424458</v>
      </c>
      <c r="C1479" s="39">
        <f t="shared" si="75"/>
        <v>5443900000</v>
      </c>
      <c r="D1479" s="76">
        <f t="shared" si="76"/>
        <v>895157725.05755424</v>
      </c>
    </row>
    <row r="1480" spans="1:4" x14ac:dyDescent="0.3">
      <c r="A1480">
        <v>707500</v>
      </c>
      <c r="B1480" s="29">
        <f t="shared" si="74"/>
        <v>4551936782.6331053</v>
      </c>
      <c r="C1480" s="39">
        <f t="shared" si="75"/>
        <v>5447750000</v>
      </c>
      <c r="D1480" s="76">
        <f t="shared" si="76"/>
        <v>895813217.36689472</v>
      </c>
    </row>
    <row r="1481" spans="1:4" x14ac:dyDescent="0.3">
      <c r="A1481">
        <v>708000</v>
      </c>
      <c r="B1481" s="29">
        <f t="shared" si="74"/>
        <v>4555131290.3237658</v>
      </c>
      <c r="C1481" s="39">
        <f t="shared" si="75"/>
        <v>5451600000</v>
      </c>
      <c r="D1481" s="76">
        <f t="shared" si="76"/>
        <v>896468709.67623425</v>
      </c>
    </row>
    <row r="1482" spans="1:4" x14ac:dyDescent="0.3">
      <c r="A1482">
        <v>708500</v>
      </c>
      <c r="B1482" s="29">
        <f t="shared" si="74"/>
        <v>4558325798.0144253</v>
      </c>
      <c r="C1482" s="39">
        <f t="shared" si="75"/>
        <v>5455450000</v>
      </c>
      <c r="D1482" s="76">
        <f t="shared" si="76"/>
        <v>897124201.98557472</v>
      </c>
    </row>
    <row r="1483" spans="1:4" x14ac:dyDescent="0.3">
      <c r="A1483">
        <v>709000</v>
      </c>
      <c r="B1483" s="29">
        <f t="shared" si="74"/>
        <v>4561520305.7050858</v>
      </c>
      <c r="C1483" s="39">
        <f t="shared" si="75"/>
        <v>5459300000</v>
      </c>
      <c r="D1483" s="76">
        <f t="shared" si="76"/>
        <v>897779694.29491425</v>
      </c>
    </row>
    <row r="1484" spans="1:4" x14ac:dyDescent="0.3">
      <c r="A1484">
        <v>709500</v>
      </c>
      <c r="B1484" s="29">
        <f t="shared" si="74"/>
        <v>4564714813.3957453</v>
      </c>
      <c r="C1484" s="39">
        <f t="shared" si="75"/>
        <v>5463150000</v>
      </c>
      <c r="D1484" s="76">
        <f t="shared" si="76"/>
        <v>898435186.60425472</v>
      </c>
    </row>
    <row r="1485" spans="1:4" x14ac:dyDescent="0.3">
      <c r="A1485">
        <v>710000</v>
      </c>
      <c r="B1485" s="29">
        <f t="shared" si="74"/>
        <v>4567909321.0864058</v>
      </c>
      <c r="C1485" s="39">
        <f t="shared" si="75"/>
        <v>5467000000</v>
      </c>
      <c r="D1485" s="76">
        <f t="shared" si="76"/>
        <v>899090678.91359425</v>
      </c>
    </row>
    <row r="1486" spans="1:4" x14ac:dyDescent="0.3">
      <c r="A1486">
        <v>710500</v>
      </c>
      <c r="B1486" s="29">
        <f t="shared" si="74"/>
        <v>4571103828.7770653</v>
      </c>
      <c r="C1486" s="39">
        <f t="shared" si="75"/>
        <v>5470850000</v>
      </c>
      <c r="D1486" s="76">
        <f t="shared" si="76"/>
        <v>899746171.22293472</v>
      </c>
    </row>
    <row r="1487" spans="1:4" x14ac:dyDescent="0.3">
      <c r="A1487">
        <v>711000</v>
      </c>
      <c r="B1487" s="29">
        <f t="shared" si="74"/>
        <v>4574298336.4677258</v>
      </c>
      <c r="C1487" s="39">
        <f t="shared" si="75"/>
        <v>5474700000</v>
      </c>
      <c r="D1487" s="76">
        <f t="shared" si="76"/>
        <v>900401663.53227425</v>
      </c>
    </row>
    <row r="1488" spans="1:4" x14ac:dyDescent="0.3">
      <c r="A1488">
        <v>711500</v>
      </c>
      <c r="B1488" s="29">
        <f t="shared" si="74"/>
        <v>4577492844.1583853</v>
      </c>
      <c r="C1488" s="39">
        <f t="shared" si="75"/>
        <v>5478550000</v>
      </c>
      <c r="D1488" s="76">
        <f t="shared" si="76"/>
        <v>901057155.84161472</v>
      </c>
    </row>
    <row r="1489" spans="1:4" x14ac:dyDescent="0.3">
      <c r="A1489">
        <v>712000</v>
      </c>
      <c r="B1489" s="29">
        <f t="shared" si="74"/>
        <v>4580687351.8490458</v>
      </c>
      <c r="C1489" s="39">
        <f t="shared" si="75"/>
        <v>5482400000</v>
      </c>
      <c r="D1489" s="76">
        <f t="shared" si="76"/>
        <v>901712648.15095425</v>
      </c>
    </row>
    <row r="1490" spans="1:4" x14ac:dyDescent="0.3">
      <c r="A1490">
        <v>712500</v>
      </c>
      <c r="B1490" s="29">
        <f t="shared" si="74"/>
        <v>4583881859.5397053</v>
      </c>
      <c r="C1490" s="39">
        <f t="shared" si="75"/>
        <v>5486250000</v>
      </c>
      <c r="D1490" s="76">
        <f t="shared" si="76"/>
        <v>902368140.46029472</v>
      </c>
    </row>
    <row r="1491" spans="1:4" x14ac:dyDescent="0.3">
      <c r="A1491">
        <v>713000</v>
      </c>
      <c r="B1491" s="29">
        <f t="shared" si="74"/>
        <v>4587076367.2303658</v>
      </c>
      <c r="C1491" s="39">
        <f t="shared" si="75"/>
        <v>5490100000</v>
      </c>
      <c r="D1491" s="76">
        <f t="shared" si="76"/>
        <v>903023632.76963425</v>
      </c>
    </row>
    <row r="1492" spans="1:4" x14ac:dyDescent="0.3">
      <c r="A1492">
        <v>713500</v>
      </c>
      <c r="B1492" s="29">
        <f t="shared" si="74"/>
        <v>4590270874.9210253</v>
      </c>
      <c r="C1492" s="39">
        <f t="shared" si="75"/>
        <v>5493950000</v>
      </c>
      <c r="D1492" s="76">
        <f t="shared" si="76"/>
        <v>903679125.07897472</v>
      </c>
    </row>
    <row r="1493" spans="1:4" x14ac:dyDescent="0.3">
      <c r="A1493">
        <v>714000</v>
      </c>
      <c r="B1493" s="29">
        <f t="shared" si="74"/>
        <v>4593465382.6116858</v>
      </c>
      <c r="C1493" s="39">
        <f t="shared" si="75"/>
        <v>5497800000</v>
      </c>
      <c r="D1493" s="76">
        <f t="shared" si="76"/>
        <v>904334617.38831425</v>
      </c>
    </row>
    <row r="1494" spans="1:4" x14ac:dyDescent="0.3">
      <c r="A1494">
        <v>714500</v>
      </c>
      <c r="B1494" s="29">
        <f t="shared" si="74"/>
        <v>4596659890.3023453</v>
      </c>
      <c r="C1494" s="39">
        <f t="shared" si="75"/>
        <v>5501650000</v>
      </c>
      <c r="D1494" s="76">
        <f t="shared" si="76"/>
        <v>904990109.69765472</v>
      </c>
    </row>
    <row r="1495" spans="1:4" x14ac:dyDescent="0.3">
      <c r="A1495">
        <v>715000</v>
      </c>
      <c r="B1495" s="29">
        <f t="shared" si="74"/>
        <v>4599854397.9930058</v>
      </c>
      <c r="C1495" s="39">
        <f t="shared" si="75"/>
        <v>5505500000</v>
      </c>
      <c r="D1495" s="76">
        <f t="shared" si="76"/>
        <v>905645602.00699425</v>
      </c>
    </row>
    <row r="1496" spans="1:4" x14ac:dyDescent="0.3">
      <c r="A1496">
        <v>715500</v>
      </c>
      <c r="B1496" s="29">
        <f t="shared" si="74"/>
        <v>4603048905.6836653</v>
      </c>
      <c r="C1496" s="39">
        <f t="shared" si="75"/>
        <v>5509350000</v>
      </c>
      <c r="D1496" s="76">
        <f t="shared" si="76"/>
        <v>906301094.31633472</v>
      </c>
    </row>
    <row r="1497" spans="1:4" x14ac:dyDescent="0.3">
      <c r="A1497">
        <v>716000</v>
      </c>
      <c r="B1497" s="29">
        <f t="shared" si="74"/>
        <v>4606243413.3743258</v>
      </c>
      <c r="C1497" s="39">
        <f t="shared" si="75"/>
        <v>5513200000</v>
      </c>
      <c r="D1497" s="76">
        <f t="shared" si="76"/>
        <v>906956586.62567425</v>
      </c>
    </row>
    <row r="1498" spans="1:4" x14ac:dyDescent="0.3">
      <c r="A1498">
        <v>716500</v>
      </c>
      <c r="B1498" s="29">
        <f t="shared" si="74"/>
        <v>4609437921.0649853</v>
      </c>
      <c r="C1498" s="39">
        <f t="shared" si="75"/>
        <v>5517050000</v>
      </c>
      <c r="D1498" s="76">
        <f t="shared" si="76"/>
        <v>907612078.93501472</v>
      </c>
    </row>
    <row r="1499" spans="1:4" x14ac:dyDescent="0.3">
      <c r="A1499">
        <v>717000</v>
      </c>
      <c r="B1499" s="29">
        <f t="shared" si="74"/>
        <v>4612632428.7556458</v>
      </c>
      <c r="C1499" s="39">
        <f t="shared" si="75"/>
        <v>5520900000</v>
      </c>
      <c r="D1499" s="76">
        <f t="shared" si="76"/>
        <v>908267571.24435425</v>
      </c>
    </row>
    <row r="1500" spans="1:4" x14ac:dyDescent="0.3">
      <c r="A1500">
        <v>717500</v>
      </c>
      <c r="B1500" s="29">
        <f t="shared" si="74"/>
        <v>4615826936.4463053</v>
      </c>
      <c r="C1500" s="39">
        <f t="shared" si="75"/>
        <v>5524750000</v>
      </c>
      <c r="D1500" s="76">
        <f t="shared" si="76"/>
        <v>908923063.55369473</v>
      </c>
    </row>
    <row r="1501" spans="1:4" x14ac:dyDescent="0.3">
      <c r="A1501">
        <v>718000</v>
      </c>
      <c r="B1501" s="29">
        <f t="shared" si="74"/>
        <v>4619021444.1369658</v>
      </c>
      <c r="C1501" s="39">
        <f t="shared" si="75"/>
        <v>5528600000</v>
      </c>
      <c r="D1501" s="76">
        <f t="shared" si="76"/>
        <v>909578555.86303425</v>
      </c>
    </row>
    <row r="1502" spans="1:4" x14ac:dyDescent="0.3">
      <c r="A1502">
        <v>718500</v>
      </c>
      <c r="B1502" s="29">
        <f t="shared" si="74"/>
        <v>4622215951.8276253</v>
      </c>
      <c r="C1502" s="39">
        <f t="shared" si="75"/>
        <v>5532450000</v>
      </c>
      <c r="D1502" s="76">
        <f t="shared" si="76"/>
        <v>910234048.17237473</v>
      </c>
    </row>
    <row r="1503" spans="1:4" x14ac:dyDescent="0.3">
      <c r="A1503">
        <v>719000</v>
      </c>
      <c r="B1503" s="29">
        <f t="shared" si="74"/>
        <v>4625410459.5182858</v>
      </c>
      <c r="C1503" s="39">
        <f t="shared" si="75"/>
        <v>5536300000</v>
      </c>
      <c r="D1503" s="76">
        <f t="shared" si="76"/>
        <v>910889540.48171425</v>
      </c>
    </row>
    <row r="1504" spans="1:4" x14ac:dyDescent="0.3">
      <c r="A1504">
        <v>719500</v>
      </c>
      <c r="B1504" s="29">
        <f t="shared" si="74"/>
        <v>4628604967.2089453</v>
      </c>
      <c r="C1504" s="39">
        <f t="shared" si="75"/>
        <v>5540150000</v>
      </c>
      <c r="D1504" s="76">
        <f t="shared" si="76"/>
        <v>911545032.79105473</v>
      </c>
    </row>
    <row r="1505" spans="1:4" x14ac:dyDescent="0.3">
      <c r="A1505">
        <v>720000</v>
      </c>
      <c r="B1505" s="29">
        <f t="shared" si="74"/>
        <v>4631799474.8996058</v>
      </c>
      <c r="C1505" s="39">
        <f t="shared" si="75"/>
        <v>5544000000</v>
      </c>
      <c r="D1505" s="76">
        <f t="shared" si="76"/>
        <v>912200525.10039425</v>
      </c>
    </row>
    <row r="1506" spans="1:4" x14ac:dyDescent="0.3">
      <c r="A1506">
        <v>720500</v>
      </c>
      <c r="B1506" s="29">
        <f t="shared" si="74"/>
        <v>4634993982.5902653</v>
      </c>
      <c r="C1506" s="39">
        <f t="shared" si="75"/>
        <v>5547850000</v>
      </c>
      <c r="D1506" s="76">
        <f t="shared" si="76"/>
        <v>912856017.40973473</v>
      </c>
    </row>
    <row r="1507" spans="1:4" x14ac:dyDescent="0.3">
      <c r="A1507">
        <v>721000</v>
      </c>
      <c r="B1507" s="29">
        <f t="shared" si="74"/>
        <v>4638188490.2809258</v>
      </c>
      <c r="C1507" s="39">
        <f t="shared" si="75"/>
        <v>5551700000</v>
      </c>
      <c r="D1507" s="76">
        <f t="shared" si="76"/>
        <v>913511509.71907425</v>
      </c>
    </row>
    <row r="1508" spans="1:4" x14ac:dyDescent="0.3">
      <c r="A1508">
        <v>721500</v>
      </c>
      <c r="B1508" s="29">
        <f t="shared" si="74"/>
        <v>4641382997.9715853</v>
      </c>
      <c r="C1508" s="39">
        <f t="shared" si="75"/>
        <v>5555550000</v>
      </c>
      <c r="D1508" s="76">
        <f t="shared" si="76"/>
        <v>914167002.02841473</v>
      </c>
    </row>
    <row r="1509" spans="1:4" x14ac:dyDescent="0.3">
      <c r="A1509">
        <v>722000</v>
      </c>
      <c r="B1509" s="29">
        <f t="shared" si="74"/>
        <v>4644577505.6622458</v>
      </c>
      <c r="C1509" s="39">
        <f t="shared" si="75"/>
        <v>5559400000</v>
      </c>
      <c r="D1509" s="76">
        <f t="shared" si="76"/>
        <v>914822494.33775425</v>
      </c>
    </row>
    <row r="1510" spans="1:4" x14ac:dyDescent="0.3">
      <c r="A1510">
        <v>722500</v>
      </c>
      <c r="B1510" s="29">
        <f t="shared" si="74"/>
        <v>4647772013.3529053</v>
      </c>
      <c r="C1510" s="39">
        <f t="shared" si="75"/>
        <v>5563250000</v>
      </c>
      <c r="D1510" s="76">
        <f t="shared" si="76"/>
        <v>915477986.64709473</v>
      </c>
    </row>
    <row r="1511" spans="1:4" x14ac:dyDescent="0.3">
      <c r="A1511">
        <v>723000</v>
      </c>
      <c r="B1511" s="29">
        <f t="shared" si="74"/>
        <v>4650966521.0435658</v>
      </c>
      <c r="C1511" s="39">
        <f t="shared" si="75"/>
        <v>5567100000</v>
      </c>
      <c r="D1511" s="76">
        <f t="shared" si="76"/>
        <v>916133478.95643425</v>
      </c>
    </row>
    <row r="1512" spans="1:4" x14ac:dyDescent="0.3">
      <c r="A1512">
        <v>723500</v>
      </c>
      <c r="B1512" s="29">
        <f t="shared" si="74"/>
        <v>4654161028.7342253</v>
      </c>
      <c r="C1512" s="39">
        <f t="shared" si="75"/>
        <v>5570950000</v>
      </c>
      <c r="D1512" s="76">
        <f t="shared" si="76"/>
        <v>916788971.26577473</v>
      </c>
    </row>
    <row r="1513" spans="1:4" x14ac:dyDescent="0.3">
      <c r="A1513">
        <v>724000</v>
      </c>
      <c r="B1513" s="29">
        <f t="shared" si="74"/>
        <v>4657355536.4248857</v>
      </c>
      <c r="C1513" s="39">
        <f t="shared" si="75"/>
        <v>5574800000</v>
      </c>
      <c r="D1513" s="76">
        <f t="shared" si="76"/>
        <v>917444463.57511425</v>
      </c>
    </row>
    <row r="1514" spans="1:4" x14ac:dyDescent="0.3">
      <c r="A1514">
        <v>724500</v>
      </c>
      <c r="B1514" s="29">
        <f t="shared" si="74"/>
        <v>4660550044.1155453</v>
      </c>
      <c r="C1514" s="39">
        <f t="shared" si="75"/>
        <v>5578650000</v>
      </c>
      <c r="D1514" s="76">
        <f t="shared" si="76"/>
        <v>918099955.88445473</v>
      </c>
    </row>
    <row r="1515" spans="1:4" x14ac:dyDescent="0.3">
      <c r="A1515">
        <v>725000</v>
      </c>
      <c r="B1515" s="29">
        <f t="shared" si="74"/>
        <v>4663744551.8062057</v>
      </c>
      <c r="C1515" s="39">
        <f t="shared" si="75"/>
        <v>5582500000</v>
      </c>
      <c r="D1515" s="76">
        <f t="shared" si="76"/>
        <v>918755448.19379425</v>
      </c>
    </row>
    <row r="1516" spans="1:4" x14ac:dyDescent="0.3">
      <c r="A1516">
        <v>725500</v>
      </c>
      <c r="B1516" s="29">
        <f t="shared" si="74"/>
        <v>4666939059.4968653</v>
      </c>
      <c r="C1516" s="39">
        <f t="shared" si="75"/>
        <v>5586350000</v>
      </c>
      <c r="D1516" s="76">
        <f t="shared" si="76"/>
        <v>919410940.50313473</v>
      </c>
    </row>
    <row r="1517" spans="1:4" x14ac:dyDescent="0.3">
      <c r="A1517">
        <v>726000</v>
      </c>
      <c r="B1517" s="29">
        <f t="shared" si="74"/>
        <v>4670133567.1875257</v>
      </c>
      <c r="C1517" s="39">
        <f t="shared" si="75"/>
        <v>5590200000</v>
      </c>
      <c r="D1517" s="76">
        <f t="shared" si="76"/>
        <v>920066432.81247425</v>
      </c>
    </row>
    <row r="1518" spans="1:4" x14ac:dyDescent="0.3">
      <c r="A1518">
        <v>726500</v>
      </c>
      <c r="B1518" s="29">
        <f t="shared" si="74"/>
        <v>4673328074.8781853</v>
      </c>
      <c r="C1518" s="39">
        <f t="shared" si="75"/>
        <v>5594050000</v>
      </c>
      <c r="D1518" s="76">
        <f t="shared" si="76"/>
        <v>920721925.12181473</v>
      </c>
    </row>
    <row r="1519" spans="1:4" x14ac:dyDescent="0.3">
      <c r="A1519">
        <v>727000</v>
      </c>
      <c r="B1519" s="29">
        <f t="shared" si="74"/>
        <v>4676522582.5688457</v>
      </c>
      <c r="C1519" s="39">
        <f t="shared" si="75"/>
        <v>5597900000</v>
      </c>
      <c r="D1519" s="76">
        <f t="shared" si="76"/>
        <v>921377417.43115425</v>
      </c>
    </row>
    <row r="1520" spans="1:4" x14ac:dyDescent="0.3">
      <c r="A1520">
        <v>727500</v>
      </c>
      <c r="B1520" s="29">
        <f t="shared" si="74"/>
        <v>4679717090.2595053</v>
      </c>
      <c r="C1520" s="39">
        <f t="shared" si="75"/>
        <v>5601750000</v>
      </c>
      <c r="D1520" s="76">
        <f t="shared" si="76"/>
        <v>922032909.74049473</v>
      </c>
    </row>
    <row r="1521" spans="1:4" x14ac:dyDescent="0.3">
      <c r="A1521">
        <v>728000</v>
      </c>
      <c r="B1521" s="29">
        <f t="shared" si="74"/>
        <v>4682911597.9501657</v>
      </c>
      <c r="C1521" s="39">
        <f t="shared" si="75"/>
        <v>5605600000</v>
      </c>
      <c r="D1521" s="76">
        <f t="shared" si="76"/>
        <v>922688402.04983425</v>
      </c>
    </row>
    <row r="1522" spans="1:4" x14ac:dyDescent="0.3">
      <c r="A1522">
        <v>728500</v>
      </c>
      <c r="B1522" s="29">
        <f t="shared" si="74"/>
        <v>4686106105.6408253</v>
      </c>
      <c r="C1522" s="39">
        <f t="shared" si="75"/>
        <v>5609450000</v>
      </c>
      <c r="D1522" s="76">
        <f t="shared" si="76"/>
        <v>923343894.35917473</v>
      </c>
    </row>
    <row r="1523" spans="1:4" x14ac:dyDescent="0.3">
      <c r="A1523">
        <v>729000</v>
      </c>
      <c r="B1523" s="29">
        <f t="shared" si="74"/>
        <v>4689300613.3314857</v>
      </c>
      <c r="C1523" s="39">
        <f t="shared" si="75"/>
        <v>5613300000</v>
      </c>
      <c r="D1523" s="76">
        <f t="shared" si="76"/>
        <v>923999386.66851425</v>
      </c>
    </row>
    <row r="1524" spans="1:4" x14ac:dyDescent="0.3">
      <c r="A1524">
        <v>729500</v>
      </c>
      <c r="B1524" s="29">
        <f t="shared" si="74"/>
        <v>4692495121.0221453</v>
      </c>
      <c r="C1524" s="39">
        <f t="shared" si="75"/>
        <v>5617150000</v>
      </c>
      <c r="D1524" s="76">
        <f t="shared" si="76"/>
        <v>924654878.97785473</v>
      </c>
    </row>
    <row r="1525" spans="1:4" x14ac:dyDescent="0.3">
      <c r="A1525">
        <v>730000</v>
      </c>
      <c r="B1525" s="29">
        <f t="shared" si="74"/>
        <v>4695689628.7128057</v>
      </c>
      <c r="C1525" s="39">
        <f t="shared" si="75"/>
        <v>5621000000</v>
      </c>
      <c r="D1525" s="76">
        <f t="shared" si="76"/>
        <v>925310371.28719425</v>
      </c>
    </row>
    <row r="1526" spans="1:4" x14ac:dyDescent="0.3">
      <c r="A1526">
        <v>730500</v>
      </c>
      <c r="B1526" s="29">
        <f t="shared" si="74"/>
        <v>4698884136.4034653</v>
      </c>
      <c r="C1526" s="39">
        <f t="shared" si="75"/>
        <v>5624850000</v>
      </c>
      <c r="D1526" s="76">
        <f t="shared" si="76"/>
        <v>925965863.59653473</v>
      </c>
    </row>
    <row r="1527" spans="1:4" x14ac:dyDescent="0.3">
      <c r="A1527">
        <v>731000</v>
      </c>
      <c r="B1527" s="29">
        <f t="shared" si="74"/>
        <v>4702078644.0941257</v>
      </c>
      <c r="C1527" s="39">
        <f t="shared" si="75"/>
        <v>5628700000</v>
      </c>
      <c r="D1527" s="76">
        <f t="shared" si="76"/>
        <v>926621355.90587425</v>
      </c>
    </row>
    <row r="1528" spans="1:4" x14ac:dyDescent="0.3">
      <c r="A1528">
        <v>731500</v>
      </c>
      <c r="B1528" s="29">
        <f t="shared" si="74"/>
        <v>4705273151.7847853</v>
      </c>
      <c r="C1528" s="39">
        <f t="shared" si="75"/>
        <v>5632550000</v>
      </c>
      <c r="D1528" s="76">
        <f t="shared" si="76"/>
        <v>927276848.21521473</v>
      </c>
    </row>
    <row r="1529" spans="1:4" x14ac:dyDescent="0.3">
      <c r="A1529">
        <v>732000</v>
      </c>
      <c r="B1529" s="29">
        <f t="shared" si="74"/>
        <v>4708467659.4754457</v>
      </c>
      <c r="C1529" s="39">
        <f t="shared" si="75"/>
        <v>5636400000</v>
      </c>
      <c r="D1529" s="76">
        <f t="shared" si="76"/>
        <v>927932340.52455425</v>
      </c>
    </row>
    <row r="1530" spans="1:4" x14ac:dyDescent="0.3">
      <c r="A1530">
        <v>732500</v>
      </c>
      <c r="B1530" s="29">
        <f t="shared" si="74"/>
        <v>4711662167.1661053</v>
      </c>
      <c r="C1530" s="39">
        <f t="shared" si="75"/>
        <v>5640250000</v>
      </c>
      <c r="D1530" s="76">
        <f t="shared" si="76"/>
        <v>928587832.83389473</v>
      </c>
    </row>
    <row r="1531" spans="1:4" x14ac:dyDescent="0.3">
      <c r="A1531">
        <v>733000</v>
      </c>
      <c r="B1531" s="29">
        <f t="shared" si="74"/>
        <v>4714856674.8567657</v>
      </c>
      <c r="C1531" s="39">
        <f t="shared" si="75"/>
        <v>5644100000</v>
      </c>
      <c r="D1531" s="76">
        <f t="shared" si="76"/>
        <v>929243325.14323425</v>
      </c>
    </row>
    <row r="1532" spans="1:4" x14ac:dyDescent="0.3">
      <c r="A1532">
        <v>733500</v>
      </c>
      <c r="B1532" s="29">
        <f t="shared" si="74"/>
        <v>4718051182.5474253</v>
      </c>
      <c r="C1532" s="39">
        <f t="shared" si="75"/>
        <v>5647950000</v>
      </c>
      <c r="D1532" s="76">
        <f t="shared" si="76"/>
        <v>929898817.45257473</v>
      </c>
    </row>
    <row r="1533" spans="1:4" x14ac:dyDescent="0.3">
      <c r="A1533">
        <v>734000</v>
      </c>
      <c r="B1533" s="29">
        <f t="shared" si="74"/>
        <v>4721245690.2380857</v>
      </c>
      <c r="C1533" s="39">
        <f t="shared" si="75"/>
        <v>5651800000</v>
      </c>
      <c r="D1533" s="76">
        <f t="shared" si="76"/>
        <v>930554309.76191425</v>
      </c>
    </row>
    <row r="1534" spans="1:4" x14ac:dyDescent="0.3">
      <c r="A1534">
        <v>734500</v>
      </c>
      <c r="B1534" s="29">
        <f t="shared" si="74"/>
        <v>4724440197.9287453</v>
      </c>
      <c r="C1534" s="39">
        <f t="shared" si="75"/>
        <v>5655650000</v>
      </c>
      <c r="D1534" s="76">
        <f t="shared" si="76"/>
        <v>931209802.07125473</v>
      </c>
    </row>
    <row r="1535" spans="1:4" x14ac:dyDescent="0.3">
      <c r="A1535">
        <v>735000</v>
      </c>
      <c r="B1535" s="29">
        <f t="shared" si="74"/>
        <v>4727634705.6194057</v>
      </c>
      <c r="C1535" s="39">
        <f t="shared" si="75"/>
        <v>5659500000</v>
      </c>
      <c r="D1535" s="76">
        <f t="shared" si="76"/>
        <v>931865294.38059425</v>
      </c>
    </row>
    <row r="1536" spans="1:4" x14ac:dyDescent="0.3">
      <c r="A1536">
        <v>735500</v>
      </c>
      <c r="B1536" s="29">
        <f t="shared" si="74"/>
        <v>4730829213.3100653</v>
      </c>
      <c r="C1536" s="39">
        <f t="shared" si="75"/>
        <v>5663350000</v>
      </c>
      <c r="D1536" s="76">
        <f t="shared" si="76"/>
        <v>932520786.68993473</v>
      </c>
    </row>
    <row r="1537" spans="1:4" x14ac:dyDescent="0.3">
      <c r="A1537">
        <v>736000</v>
      </c>
      <c r="B1537" s="29">
        <f t="shared" si="74"/>
        <v>4734023721.0007257</v>
      </c>
      <c r="C1537" s="39">
        <f t="shared" si="75"/>
        <v>5667200000</v>
      </c>
      <c r="D1537" s="76">
        <f t="shared" si="76"/>
        <v>933176278.99927425</v>
      </c>
    </row>
    <row r="1538" spans="1:4" x14ac:dyDescent="0.3">
      <c r="A1538">
        <v>736500</v>
      </c>
      <c r="B1538" s="29">
        <f t="shared" ref="B1538:B1601" si="77">$B$54+($B$60*A1538)</f>
        <v>4737218228.6913853</v>
      </c>
      <c r="C1538" s="39">
        <f t="shared" ref="C1538:C1601" si="78">$E$50*A1538</f>
        <v>5671050000</v>
      </c>
      <c r="D1538" s="76">
        <f t="shared" ref="D1538:D1601" si="79">C1538-B1538</f>
        <v>933831771.30861473</v>
      </c>
    </row>
    <row r="1539" spans="1:4" x14ac:dyDescent="0.3">
      <c r="A1539">
        <v>737000</v>
      </c>
      <c r="B1539" s="29">
        <f t="shared" si="77"/>
        <v>4740412736.3820457</v>
      </c>
      <c r="C1539" s="39">
        <f t="shared" si="78"/>
        <v>5674900000</v>
      </c>
      <c r="D1539" s="76">
        <f t="shared" si="79"/>
        <v>934487263.61795425</v>
      </c>
    </row>
    <row r="1540" spans="1:4" x14ac:dyDescent="0.3">
      <c r="A1540">
        <v>737500</v>
      </c>
      <c r="B1540" s="29">
        <f t="shared" si="77"/>
        <v>4743607244.0727053</v>
      </c>
      <c r="C1540" s="39">
        <f t="shared" si="78"/>
        <v>5678750000</v>
      </c>
      <c r="D1540" s="76">
        <f t="shared" si="79"/>
        <v>935142755.92729473</v>
      </c>
    </row>
    <row r="1541" spans="1:4" x14ac:dyDescent="0.3">
      <c r="A1541">
        <v>738000</v>
      </c>
      <c r="B1541" s="29">
        <f t="shared" si="77"/>
        <v>4746801751.7633657</v>
      </c>
      <c r="C1541" s="39">
        <f t="shared" si="78"/>
        <v>5682600000</v>
      </c>
      <c r="D1541" s="76">
        <f t="shared" si="79"/>
        <v>935798248.23663425</v>
      </c>
    </row>
    <row r="1542" spans="1:4" x14ac:dyDescent="0.3">
      <c r="A1542">
        <v>738500</v>
      </c>
      <c r="B1542" s="29">
        <f t="shared" si="77"/>
        <v>4749996259.4540253</v>
      </c>
      <c r="C1542" s="39">
        <f t="shared" si="78"/>
        <v>5686450000</v>
      </c>
      <c r="D1542" s="76">
        <f t="shared" si="79"/>
        <v>936453740.54597473</v>
      </c>
    </row>
    <row r="1543" spans="1:4" x14ac:dyDescent="0.3">
      <c r="A1543">
        <v>739000</v>
      </c>
      <c r="B1543" s="29">
        <f t="shared" si="77"/>
        <v>4753190767.1446857</v>
      </c>
      <c r="C1543" s="39">
        <f t="shared" si="78"/>
        <v>5690300000</v>
      </c>
      <c r="D1543" s="76">
        <f t="shared" si="79"/>
        <v>937109232.85531425</v>
      </c>
    </row>
    <row r="1544" spans="1:4" x14ac:dyDescent="0.3">
      <c r="A1544">
        <v>739500</v>
      </c>
      <c r="B1544" s="29">
        <f t="shared" si="77"/>
        <v>4756385274.8353453</v>
      </c>
      <c r="C1544" s="39">
        <f t="shared" si="78"/>
        <v>5694150000</v>
      </c>
      <c r="D1544" s="76">
        <f t="shared" si="79"/>
        <v>937764725.16465473</v>
      </c>
    </row>
    <row r="1545" spans="1:4" x14ac:dyDescent="0.3">
      <c r="A1545">
        <v>740000</v>
      </c>
      <c r="B1545" s="29">
        <f t="shared" si="77"/>
        <v>4759579782.5260057</v>
      </c>
      <c r="C1545" s="39">
        <f t="shared" si="78"/>
        <v>5698000000</v>
      </c>
      <c r="D1545" s="76">
        <f t="shared" si="79"/>
        <v>938420217.47399426</v>
      </c>
    </row>
    <row r="1546" spans="1:4" x14ac:dyDescent="0.3">
      <c r="A1546">
        <v>740500</v>
      </c>
      <c r="B1546" s="29">
        <f t="shared" si="77"/>
        <v>4762774290.2166653</v>
      </c>
      <c r="C1546" s="39">
        <f t="shared" si="78"/>
        <v>5701850000</v>
      </c>
      <c r="D1546" s="76">
        <f t="shared" si="79"/>
        <v>939075709.78333473</v>
      </c>
    </row>
    <row r="1547" spans="1:4" x14ac:dyDescent="0.3">
      <c r="A1547">
        <v>741000</v>
      </c>
      <c r="B1547" s="29">
        <f t="shared" si="77"/>
        <v>4765968797.9073257</v>
      </c>
      <c r="C1547" s="39">
        <f t="shared" si="78"/>
        <v>5705700000</v>
      </c>
      <c r="D1547" s="76">
        <f t="shared" si="79"/>
        <v>939731202.09267426</v>
      </c>
    </row>
    <row r="1548" spans="1:4" x14ac:dyDescent="0.3">
      <c r="A1548">
        <v>741500</v>
      </c>
      <c r="B1548" s="29">
        <f t="shared" si="77"/>
        <v>4769163305.5979853</v>
      </c>
      <c r="C1548" s="39">
        <f t="shared" si="78"/>
        <v>5709550000</v>
      </c>
      <c r="D1548" s="76">
        <f t="shared" si="79"/>
        <v>940386694.40201473</v>
      </c>
    </row>
    <row r="1549" spans="1:4" x14ac:dyDescent="0.3">
      <c r="A1549">
        <v>742000</v>
      </c>
      <c r="B1549" s="29">
        <f t="shared" si="77"/>
        <v>4772357813.2886457</v>
      </c>
      <c r="C1549" s="39">
        <f t="shared" si="78"/>
        <v>5713400000</v>
      </c>
      <c r="D1549" s="76">
        <f t="shared" si="79"/>
        <v>941042186.71135426</v>
      </c>
    </row>
    <row r="1550" spans="1:4" x14ac:dyDescent="0.3">
      <c r="A1550">
        <v>742500</v>
      </c>
      <c r="B1550" s="29">
        <f t="shared" si="77"/>
        <v>4775552320.9793053</v>
      </c>
      <c r="C1550" s="39">
        <f t="shared" si="78"/>
        <v>5717250000</v>
      </c>
      <c r="D1550" s="76">
        <f t="shared" si="79"/>
        <v>941697679.02069473</v>
      </c>
    </row>
    <row r="1551" spans="1:4" x14ac:dyDescent="0.3">
      <c r="A1551">
        <v>743000</v>
      </c>
      <c r="B1551" s="29">
        <f t="shared" si="77"/>
        <v>4778746828.6699657</v>
      </c>
      <c r="C1551" s="39">
        <f t="shared" si="78"/>
        <v>5721100000</v>
      </c>
      <c r="D1551" s="76">
        <f t="shared" si="79"/>
        <v>942353171.33003426</v>
      </c>
    </row>
    <row r="1552" spans="1:4" x14ac:dyDescent="0.3">
      <c r="A1552">
        <v>743500</v>
      </c>
      <c r="B1552" s="29">
        <f t="shared" si="77"/>
        <v>4781941336.3606253</v>
      </c>
      <c r="C1552" s="39">
        <f t="shared" si="78"/>
        <v>5724950000</v>
      </c>
      <c r="D1552" s="76">
        <f t="shared" si="79"/>
        <v>943008663.63937473</v>
      </c>
    </row>
    <row r="1553" spans="1:4" x14ac:dyDescent="0.3">
      <c r="A1553">
        <v>744000</v>
      </c>
      <c r="B1553" s="29">
        <f t="shared" si="77"/>
        <v>4785135844.0512857</v>
      </c>
      <c r="C1553" s="39">
        <f t="shared" si="78"/>
        <v>5728800000</v>
      </c>
      <c r="D1553" s="76">
        <f t="shared" si="79"/>
        <v>943664155.94871426</v>
      </c>
    </row>
    <row r="1554" spans="1:4" x14ac:dyDescent="0.3">
      <c r="A1554">
        <v>744500</v>
      </c>
      <c r="B1554" s="29">
        <f t="shared" si="77"/>
        <v>4788330351.7419453</v>
      </c>
      <c r="C1554" s="39">
        <f t="shared" si="78"/>
        <v>5732650000</v>
      </c>
      <c r="D1554" s="76">
        <f t="shared" si="79"/>
        <v>944319648.25805473</v>
      </c>
    </row>
    <row r="1555" spans="1:4" x14ac:dyDescent="0.3">
      <c r="A1555">
        <v>745000</v>
      </c>
      <c r="B1555" s="29">
        <f t="shared" si="77"/>
        <v>4791524859.4326057</v>
      </c>
      <c r="C1555" s="39">
        <f t="shared" si="78"/>
        <v>5736500000</v>
      </c>
      <c r="D1555" s="76">
        <f t="shared" si="79"/>
        <v>944975140.56739426</v>
      </c>
    </row>
    <row r="1556" spans="1:4" x14ac:dyDescent="0.3">
      <c r="A1556">
        <v>745500</v>
      </c>
      <c r="B1556" s="29">
        <f t="shared" si="77"/>
        <v>4794719367.1232653</v>
      </c>
      <c r="C1556" s="39">
        <f t="shared" si="78"/>
        <v>5740350000</v>
      </c>
      <c r="D1556" s="76">
        <f t="shared" si="79"/>
        <v>945630632.87673473</v>
      </c>
    </row>
    <row r="1557" spans="1:4" x14ac:dyDescent="0.3">
      <c r="A1557">
        <v>746000</v>
      </c>
      <c r="B1557" s="29">
        <f t="shared" si="77"/>
        <v>4797913874.8139257</v>
      </c>
      <c r="C1557" s="39">
        <f t="shared" si="78"/>
        <v>5744200000</v>
      </c>
      <c r="D1557" s="76">
        <f t="shared" si="79"/>
        <v>946286125.18607426</v>
      </c>
    </row>
    <row r="1558" spans="1:4" x14ac:dyDescent="0.3">
      <c r="A1558">
        <v>746500</v>
      </c>
      <c r="B1558" s="29">
        <f t="shared" si="77"/>
        <v>4801108382.5045853</v>
      </c>
      <c r="C1558" s="39">
        <f t="shared" si="78"/>
        <v>5748050000</v>
      </c>
      <c r="D1558" s="76">
        <f t="shared" si="79"/>
        <v>946941617.49541473</v>
      </c>
    </row>
    <row r="1559" spans="1:4" x14ac:dyDescent="0.3">
      <c r="A1559">
        <v>747000</v>
      </c>
      <c r="B1559" s="29">
        <f t="shared" si="77"/>
        <v>4804302890.1952457</v>
      </c>
      <c r="C1559" s="39">
        <f t="shared" si="78"/>
        <v>5751900000</v>
      </c>
      <c r="D1559" s="76">
        <f t="shared" si="79"/>
        <v>947597109.80475426</v>
      </c>
    </row>
    <row r="1560" spans="1:4" x14ac:dyDescent="0.3">
      <c r="A1560">
        <v>747500</v>
      </c>
      <c r="B1560" s="29">
        <f t="shared" si="77"/>
        <v>4807497397.8859053</v>
      </c>
      <c r="C1560" s="39">
        <f t="shared" si="78"/>
        <v>5755750000</v>
      </c>
      <c r="D1560" s="76">
        <f t="shared" si="79"/>
        <v>948252602.11409473</v>
      </c>
    </row>
    <row r="1561" spans="1:4" x14ac:dyDescent="0.3">
      <c r="A1561">
        <v>748000</v>
      </c>
      <c r="B1561" s="29">
        <f t="shared" si="77"/>
        <v>4810691905.5765657</v>
      </c>
      <c r="C1561" s="39">
        <f t="shared" si="78"/>
        <v>5759600000</v>
      </c>
      <c r="D1561" s="76">
        <f t="shared" si="79"/>
        <v>948908094.42343426</v>
      </c>
    </row>
    <row r="1562" spans="1:4" x14ac:dyDescent="0.3">
      <c r="A1562">
        <v>748500</v>
      </c>
      <c r="B1562" s="29">
        <f t="shared" si="77"/>
        <v>4813886413.2672253</v>
      </c>
      <c r="C1562" s="39">
        <f t="shared" si="78"/>
        <v>5763450000</v>
      </c>
      <c r="D1562" s="76">
        <f t="shared" si="79"/>
        <v>949563586.73277473</v>
      </c>
    </row>
    <row r="1563" spans="1:4" x14ac:dyDescent="0.3">
      <c r="A1563">
        <v>749000</v>
      </c>
      <c r="B1563" s="29">
        <f t="shared" si="77"/>
        <v>4817080920.9578857</v>
      </c>
      <c r="C1563" s="39">
        <f t="shared" si="78"/>
        <v>5767300000</v>
      </c>
      <c r="D1563" s="76">
        <f t="shared" si="79"/>
        <v>950219079.04211426</v>
      </c>
    </row>
    <row r="1564" spans="1:4" x14ac:dyDescent="0.3">
      <c r="A1564">
        <v>749500</v>
      </c>
      <c r="B1564" s="29">
        <f t="shared" si="77"/>
        <v>4820275428.6485453</v>
      </c>
      <c r="C1564" s="39">
        <f t="shared" si="78"/>
        <v>5771150000</v>
      </c>
      <c r="D1564" s="76">
        <f t="shared" si="79"/>
        <v>950874571.35145473</v>
      </c>
    </row>
    <row r="1565" spans="1:4" x14ac:dyDescent="0.3">
      <c r="A1565">
        <v>750000</v>
      </c>
      <c r="B1565" s="29">
        <f t="shared" si="77"/>
        <v>4823469936.3392057</v>
      </c>
      <c r="C1565" s="39">
        <f t="shared" si="78"/>
        <v>5775000000</v>
      </c>
      <c r="D1565" s="76">
        <f t="shared" si="79"/>
        <v>951530063.66079426</v>
      </c>
    </row>
    <row r="1566" spans="1:4" x14ac:dyDescent="0.3">
      <c r="A1566">
        <v>750500</v>
      </c>
      <c r="B1566" s="29">
        <f t="shared" si="77"/>
        <v>4826664444.0298653</v>
      </c>
      <c r="C1566" s="39">
        <f t="shared" si="78"/>
        <v>5778850000</v>
      </c>
      <c r="D1566" s="76">
        <f t="shared" si="79"/>
        <v>952185555.97013474</v>
      </c>
    </row>
    <row r="1567" spans="1:4" x14ac:dyDescent="0.3">
      <c r="A1567">
        <v>751000</v>
      </c>
      <c r="B1567" s="29">
        <f t="shared" si="77"/>
        <v>4829858951.7205257</v>
      </c>
      <c r="C1567" s="39">
        <f t="shared" si="78"/>
        <v>5782700000</v>
      </c>
      <c r="D1567" s="76">
        <f t="shared" si="79"/>
        <v>952841048.27947426</v>
      </c>
    </row>
    <row r="1568" spans="1:4" x14ac:dyDescent="0.3">
      <c r="A1568">
        <v>751500</v>
      </c>
      <c r="B1568" s="29">
        <f t="shared" si="77"/>
        <v>4833053459.4111853</v>
      </c>
      <c r="C1568" s="39">
        <f t="shared" si="78"/>
        <v>5786550000</v>
      </c>
      <c r="D1568" s="76">
        <f t="shared" si="79"/>
        <v>953496540.58881474</v>
      </c>
    </row>
    <row r="1569" spans="1:4" x14ac:dyDescent="0.3">
      <c r="A1569">
        <v>752000</v>
      </c>
      <c r="B1569" s="29">
        <f t="shared" si="77"/>
        <v>4836247967.1018457</v>
      </c>
      <c r="C1569" s="39">
        <f t="shared" si="78"/>
        <v>5790400000</v>
      </c>
      <c r="D1569" s="76">
        <f t="shared" si="79"/>
        <v>954152032.89815426</v>
      </c>
    </row>
    <row r="1570" spans="1:4" x14ac:dyDescent="0.3">
      <c r="A1570">
        <v>752500</v>
      </c>
      <c r="B1570" s="29">
        <f t="shared" si="77"/>
        <v>4839442474.7925053</v>
      </c>
      <c r="C1570" s="39">
        <f t="shared" si="78"/>
        <v>5794250000</v>
      </c>
      <c r="D1570" s="76">
        <f t="shared" si="79"/>
        <v>954807525.20749474</v>
      </c>
    </row>
    <row r="1571" spans="1:4" x14ac:dyDescent="0.3">
      <c r="A1571">
        <v>753000</v>
      </c>
      <c r="B1571" s="29">
        <f t="shared" si="77"/>
        <v>4842636982.4831657</v>
      </c>
      <c r="C1571" s="39">
        <f t="shared" si="78"/>
        <v>5798100000</v>
      </c>
      <c r="D1571" s="76">
        <f t="shared" si="79"/>
        <v>955463017.51683426</v>
      </c>
    </row>
    <row r="1572" spans="1:4" x14ac:dyDescent="0.3">
      <c r="A1572">
        <v>753500</v>
      </c>
      <c r="B1572" s="29">
        <f t="shared" si="77"/>
        <v>4845831490.1738253</v>
      </c>
      <c r="C1572" s="39">
        <f t="shared" si="78"/>
        <v>5801950000</v>
      </c>
      <c r="D1572" s="76">
        <f t="shared" si="79"/>
        <v>956118509.82617474</v>
      </c>
    </row>
    <row r="1573" spans="1:4" x14ac:dyDescent="0.3">
      <c r="A1573">
        <v>754000</v>
      </c>
      <c r="B1573" s="29">
        <f t="shared" si="77"/>
        <v>4849025997.8644857</v>
      </c>
      <c r="C1573" s="39">
        <f t="shared" si="78"/>
        <v>5805800000</v>
      </c>
      <c r="D1573" s="76">
        <f t="shared" si="79"/>
        <v>956774002.13551426</v>
      </c>
    </row>
    <row r="1574" spans="1:4" x14ac:dyDescent="0.3">
      <c r="A1574">
        <v>754500</v>
      </c>
      <c r="B1574" s="29">
        <f t="shared" si="77"/>
        <v>4852220505.5551453</v>
      </c>
      <c r="C1574" s="39">
        <f t="shared" si="78"/>
        <v>5809650000</v>
      </c>
      <c r="D1574" s="76">
        <f t="shared" si="79"/>
        <v>957429494.44485474</v>
      </c>
    </row>
    <row r="1575" spans="1:4" x14ac:dyDescent="0.3">
      <c r="A1575">
        <v>755000</v>
      </c>
      <c r="B1575" s="29">
        <f t="shared" si="77"/>
        <v>4855415013.2458057</v>
      </c>
      <c r="C1575" s="39">
        <f t="shared" si="78"/>
        <v>5813500000</v>
      </c>
      <c r="D1575" s="76">
        <f t="shared" si="79"/>
        <v>958084986.75419426</v>
      </c>
    </row>
    <row r="1576" spans="1:4" x14ac:dyDescent="0.3">
      <c r="A1576">
        <v>755500</v>
      </c>
      <c r="B1576" s="29">
        <f t="shared" si="77"/>
        <v>4858609520.9364653</v>
      </c>
      <c r="C1576" s="39">
        <f t="shared" si="78"/>
        <v>5817350000</v>
      </c>
      <c r="D1576" s="76">
        <f t="shared" si="79"/>
        <v>958740479.06353474</v>
      </c>
    </row>
    <row r="1577" spans="1:4" x14ac:dyDescent="0.3">
      <c r="A1577">
        <v>756000</v>
      </c>
      <c r="B1577" s="29">
        <f t="shared" si="77"/>
        <v>4861804028.6271257</v>
      </c>
      <c r="C1577" s="39">
        <f t="shared" si="78"/>
        <v>5821200000</v>
      </c>
      <c r="D1577" s="76">
        <f t="shared" si="79"/>
        <v>959395971.37287426</v>
      </c>
    </row>
    <row r="1578" spans="1:4" x14ac:dyDescent="0.3">
      <c r="A1578">
        <v>756500</v>
      </c>
      <c r="B1578" s="29">
        <f t="shared" si="77"/>
        <v>4864998536.3177853</v>
      </c>
      <c r="C1578" s="39">
        <f t="shared" si="78"/>
        <v>5825050000</v>
      </c>
      <c r="D1578" s="76">
        <f t="shared" si="79"/>
        <v>960051463.68221474</v>
      </c>
    </row>
    <row r="1579" spans="1:4" x14ac:dyDescent="0.3">
      <c r="A1579">
        <v>757000</v>
      </c>
      <c r="B1579" s="29">
        <f t="shared" si="77"/>
        <v>4868193044.0084457</v>
      </c>
      <c r="C1579" s="39">
        <f t="shared" si="78"/>
        <v>5828900000</v>
      </c>
      <c r="D1579" s="76">
        <f t="shared" si="79"/>
        <v>960706955.99155426</v>
      </c>
    </row>
    <row r="1580" spans="1:4" x14ac:dyDescent="0.3">
      <c r="A1580">
        <v>757500</v>
      </c>
      <c r="B1580" s="29">
        <f t="shared" si="77"/>
        <v>4871387551.6991053</v>
      </c>
      <c r="C1580" s="39">
        <f t="shared" si="78"/>
        <v>5832750000</v>
      </c>
      <c r="D1580" s="76">
        <f t="shared" si="79"/>
        <v>961362448.30089474</v>
      </c>
    </row>
    <row r="1581" spans="1:4" x14ac:dyDescent="0.3">
      <c r="A1581">
        <v>758000</v>
      </c>
      <c r="B1581" s="29">
        <f t="shared" si="77"/>
        <v>4874582059.3897657</v>
      </c>
      <c r="C1581" s="39">
        <f t="shared" si="78"/>
        <v>5836600000</v>
      </c>
      <c r="D1581" s="76">
        <f t="shared" si="79"/>
        <v>962017940.61023426</v>
      </c>
    </row>
    <row r="1582" spans="1:4" x14ac:dyDescent="0.3">
      <c r="A1582">
        <v>758500</v>
      </c>
      <c r="B1582" s="29">
        <f t="shared" si="77"/>
        <v>4877776567.0804253</v>
      </c>
      <c r="C1582" s="39">
        <f t="shared" si="78"/>
        <v>5840450000</v>
      </c>
      <c r="D1582" s="76">
        <f t="shared" si="79"/>
        <v>962673432.91957474</v>
      </c>
    </row>
    <row r="1583" spans="1:4" x14ac:dyDescent="0.3">
      <c r="A1583">
        <v>759000</v>
      </c>
      <c r="B1583" s="29">
        <f t="shared" si="77"/>
        <v>4880971074.7710857</v>
      </c>
      <c r="C1583" s="39">
        <f t="shared" si="78"/>
        <v>5844300000</v>
      </c>
      <c r="D1583" s="76">
        <f t="shared" si="79"/>
        <v>963328925.22891426</v>
      </c>
    </row>
    <row r="1584" spans="1:4" x14ac:dyDescent="0.3">
      <c r="A1584">
        <v>759500</v>
      </c>
      <c r="B1584" s="29">
        <f t="shared" si="77"/>
        <v>4884165582.4617453</v>
      </c>
      <c r="C1584" s="39">
        <f t="shared" si="78"/>
        <v>5848150000</v>
      </c>
      <c r="D1584" s="76">
        <f t="shared" si="79"/>
        <v>963984417.53825474</v>
      </c>
    </row>
    <row r="1585" spans="1:4" x14ac:dyDescent="0.3">
      <c r="A1585">
        <v>760000</v>
      </c>
      <c r="B1585" s="29">
        <f t="shared" si="77"/>
        <v>4887360090.1524057</v>
      </c>
      <c r="C1585" s="39">
        <f t="shared" si="78"/>
        <v>5852000000</v>
      </c>
      <c r="D1585" s="76">
        <f t="shared" si="79"/>
        <v>964639909.84759426</v>
      </c>
    </row>
    <row r="1586" spans="1:4" x14ac:dyDescent="0.3">
      <c r="A1586">
        <v>760500</v>
      </c>
      <c r="B1586" s="29">
        <f t="shared" si="77"/>
        <v>4890554597.8430653</v>
      </c>
      <c r="C1586" s="39">
        <f t="shared" si="78"/>
        <v>5855850000</v>
      </c>
      <c r="D1586" s="76">
        <f t="shared" si="79"/>
        <v>965295402.15693474</v>
      </c>
    </row>
    <row r="1587" spans="1:4" x14ac:dyDescent="0.3">
      <c r="A1587">
        <v>761000</v>
      </c>
      <c r="B1587" s="29">
        <f t="shared" si="77"/>
        <v>4893749105.5337257</v>
      </c>
      <c r="C1587" s="39">
        <f t="shared" si="78"/>
        <v>5859700000</v>
      </c>
      <c r="D1587" s="76">
        <f t="shared" si="79"/>
        <v>965950894.46627426</v>
      </c>
    </row>
    <row r="1588" spans="1:4" x14ac:dyDescent="0.3">
      <c r="A1588">
        <v>761500</v>
      </c>
      <c r="B1588" s="29">
        <f t="shared" si="77"/>
        <v>4896943613.2243853</v>
      </c>
      <c r="C1588" s="39">
        <f t="shared" si="78"/>
        <v>5863550000</v>
      </c>
      <c r="D1588" s="76">
        <f t="shared" si="79"/>
        <v>966606386.77561474</v>
      </c>
    </row>
    <row r="1589" spans="1:4" x14ac:dyDescent="0.3">
      <c r="A1589">
        <v>762000</v>
      </c>
      <c r="B1589" s="29">
        <f t="shared" si="77"/>
        <v>4900138120.9150457</v>
      </c>
      <c r="C1589" s="39">
        <f t="shared" si="78"/>
        <v>5867400000</v>
      </c>
      <c r="D1589" s="76">
        <f t="shared" si="79"/>
        <v>967261879.08495426</v>
      </c>
    </row>
    <row r="1590" spans="1:4" x14ac:dyDescent="0.3">
      <c r="A1590">
        <v>762500</v>
      </c>
      <c r="B1590" s="29">
        <f t="shared" si="77"/>
        <v>4903332628.6057053</v>
      </c>
      <c r="C1590" s="39">
        <f t="shared" si="78"/>
        <v>5871250000</v>
      </c>
      <c r="D1590" s="76">
        <f t="shared" si="79"/>
        <v>967917371.39429474</v>
      </c>
    </row>
    <row r="1591" spans="1:4" x14ac:dyDescent="0.3">
      <c r="A1591">
        <v>763000</v>
      </c>
      <c r="B1591" s="29">
        <f t="shared" si="77"/>
        <v>4906527136.2963657</v>
      </c>
      <c r="C1591" s="39">
        <f t="shared" si="78"/>
        <v>5875100000</v>
      </c>
      <c r="D1591" s="76">
        <f t="shared" si="79"/>
        <v>968572863.70363426</v>
      </c>
    </row>
    <row r="1592" spans="1:4" x14ac:dyDescent="0.3">
      <c r="A1592">
        <v>763500</v>
      </c>
      <c r="B1592" s="29">
        <f t="shared" si="77"/>
        <v>4909721643.9870253</v>
      </c>
      <c r="C1592" s="39">
        <f t="shared" si="78"/>
        <v>5878950000</v>
      </c>
      <c r="D1592" s="76">
        <f t="shared" si="79"/>
        <v>969228356.01297474</v>
      </c>
    </row>
    <row r="1593" spans="1:4" x14ac:dyDescent="0.3">
      <c r="A1593">
        <v>764000</v>
      </c>
      <c r="B1593" s="29">
        <f t="shared" si="77"/>
        <v>4912916151.6776857</v>
      </c>
      <c r="C1593" s="39">
        <f t="shared" si="78"/>
        <v>5882800000</v>
      </c>
      <c r="D1593" s="76">
        <f t="shared" si="79"/>
        <v>969883848.32231426</v>
      </c>
    </row>
    <row r="1594" spans="1:4" x14ac:dyDescent="0.3">
      <c r="A1594">
        <v>764500</v>
      </c>
      <c r="B1594" s="29">
        <f t="shared" si="77"/>
        <v>4916110659.3683453</v>
      </c>
      <c r="C1594" s="39">
        <f t="shared" si="78"/>
        <v>5886650000</v>
      </c>
      <c r="D1594" s="76">
        <f t="shared" si="79"/>
        <v>970539340.63165474</v>
      </c>
    </row>
    <row r="1595" spans="1:4" x14ac:dyDescent="0.3">
      <c r="A1595">
        <v>765000</v>
      </c>
      <c r="B1595" s="29">
        <f t="shared" si="77"/>
        <v>4919305167.0590057</v>
      </c>
      <c r="C1595" s="39">
        <f t="shared" si="78"/>
        <v>5890500000</v>
      </c>
      <c r="D1595" s="76">
        <f t="shared" si="79"/>
        <v>971194832.94099426</v>
      </c>
    </row>
    <row r="1596" spans="1:4" x14ac:dyDescent="0.3">
      <c r="A1596">
        <v>765500</v>
      </c>
      <c r="B1596" s="29">
        <f t="shared" si="77"/>
        <v>4922499674.7496653</v>
      </c>
      <c r="C1596" s="39">
        <f t="shared" si="78"/>
        <v>5894350000</v>
      </c>
      <c r="D1596" s="76">
        <f t="shared" si="79"/>
        <v>971850325.25033474</v>
      </c>
    </row>
    <row r="1597" spans="1:4" x14ac:dyDescent="0.3">
      <c r="A1597">
        <v>766000</v>
      </c>
      <c r="B1597" s="29">
        <f t="shared" si="77"/>
        <v>4925694182.4403257</v>
      </c>
      <c r="C1597" s="39">
        <f t="shared" si="78"/>
        <v>5898200000</v>
      </c>
      <c r="D1597" s="76">
        <f t="shared" si="79"/>
        <v>972505817.55967426</v>
      </c>
    </row>
    <row r="1598" spans="1:4" x14ac:dyDescent="0.3">
      <c r="A1598">
        <v>766500</v>
      </c>
      <c r="B1598" s="29">
        <f t="shared" si="77"/>
        <v>4928888690.1309853</v>
      </c>
      <c r="C1598" s="39">
        <f t="shared" si="78"/>
        <v>5902050000</v>
      </c>
      <c r="D1598" s="76">
        <f t="shared" si="79"/>
        <v>973161309.86901474</v>
      </c>
    </row>
    <row r="1599" spans="1:4" x14ac:dyDescent="0.3">
      <c r="A1599">
        <v>767000</v>
      </c>
      <c r="B1599" s="29">
        <f t="shared" si="77"/>
        <v>4932083197.8216457</v>
      </c>
      <c r="C1599" s="39">
        <f t="shared" si="78"/>
        <v>5905900000</v>
      </c>
      <c r="D1599" s="76">
        <f t="shared" si="79"/>
        <v>973816802.17835426</v>
      </c>
    </row>
    <row r="1600" spans="1:4" x14ac:dyDescent="0.3">
      <c r="A1600">
        <v>767500</v>
      </c>
      <c r="B1600" s="29">
        <f t="shared" si="77"/>
        <v>4935277705.5123053</v>
      </c>
      <c r="C1600" s="39">
        <f t="shared" si="78"/>
        <v>5909750000</v>
      </c>
      <c r="D1600" s="76">
        <f t="shared" si="79"/>
        <v>974472294.48769474</v>
      </c>
    </row>
    <row r="1601" spans="1:4" x14ac:dyDescent="0.3">
      <c r="A1601">
        <v>768000</v>
      </c>
      <c r="B1601" s="29">
        <f t="shared" si="77"/>
        <v>4938472213.2029657</v>
      </c>
      <c r="C1601" s="39">
        <f t="shared" si="78"/>
        <v>5913600000</v>
      </c>
      <c r="D1601" s="76">
        <f t="shared" si="79"/>
        <v>975127786.79703426</v>
      </c>
    </row>
    <row r="1602" spans="1:4" x14ac:dyDescent="0.3">
      <c r="A1602">
        <v>768500</v>
      </c>
      <c r="B1602" s="29">
        <f t="shared" ref="B1602:B1665" si="80">$B$54+($B$60*A1602)</f>
        <v>4941666720.8936253</v>
      </c>
      <c r="C1602" s="39">
        <f t="shared" ref="C1602:C1665" si="81">$E$50*A1602</f>
        <v>5917450000</v>
      </c>
      <c r="D1602" s="76">
        <f t="shared" ref="D1602:D1665" si="82">C1602-B1602</f>
        <v>975783279.10637474</v>
      </c>
    </row>
    <row r="1603" spans="1:4" x14ac:dyDescent="0.3">
      <c r="A1603">
        <v>769000</v>
      </c>
      <c r="B1603" s="29">
        <f t="shared" si="80"/>
        <v>4944861228.5842857</v>
      </c>
      <c r="C1603" s="39">
        <f t="shared" si="81"/>
        <v>5921300000</v>
      </c>
      <c r="D1603" s="76">
        <f t="shared" si="82"/>
        <v>976438771.41571426</v>
      </c>
    </row>
    <row r="1604" spans="1:4" x14ac:dyDescent="0.3">
      <c r="A1604">
        <v>769500</v>
      </c>
      <c r="B1604" s="29">
        <f t="shared" si="80"/>
        <v>4948055736.2749453</v>
      </c>
      <c r="C1604" s="39">
        <f t="shared" si="81"/>
        <v>5925150000</v>
      </c>
      <c r="D1604" s="76">
        <f t="shared" si="82"/>
        <v>977094263.72505474</v>
      </c>
    </row>
    <row r="1605" spans="1:4" x14ac:dyDescent="0.3">
      <c r="A1605">
        <v>770000</v>
      </c>
      <c r="B1605" s="29">
        <f t="shared" si="80"/>
        <v>4951250243.9656057</v>
      </c>
      <c r="C1605" s="39">
        <f t="shared" si="81"/>
        <v>5929000000</v>
      </c>
      <c r="D1605" s="76">
        <f t="shared" si="82"/>
        <v>977749756.03439426</v>
      </c>
    </row>
    <row r="1606" spans="1:4" x14ac:dyDescent="0.3">
      <c r="A1606">
        <v>770500</v>
      </c>
      <c r="B1606" s="29">
        <f t="shared" si="80"/>
        <v>4954444751.6562653</v>
      </c>
      <c r="C1606" s="39">
        <f t="shared" si="81"/>
        <v>5932850000</v>
      </c>
      <c r="D1606" s="76">
        <f t="shared" si="82"/>
        <v>978405248.34373474</v>
      </c>
    </row>
    <row r="1607" spans="1:4" x14ac:dyDescent="0.3">
      <c r="A1607">
        <v>771000</v>
      </c>
      <c r="B1607" s="29">
        <f t="shared" si="80"/>
        <v>4957639259.3469257</v>
      </c>
      <c r="C1607" s="39">
        <f t="shared" si="81"/>
        <v>5936700000</v>
      </c>
      <c r="D1607" s="76">
        <f t="shared" si="82"/>
        <v>979060740.65307426</v>
      </c>
    </row>
    <row r="1608" spans="1:4" x14ac:dyDescent="0.3">
      <c r="A1608">
        <v>771500</v>
      </c>
      <c r="B1608" s="29">
        <f t="shared" si="80"/>
        <v>4960833767.0375853</v>
      </c>
      <c r="C1608" s="39">
        <f t="shared" si="81"/>
        <v>5940550000</v>
      </c>
      <c r="D1608" s="76">
        <f t="shared" si="82"/>
        <v>979716232.96241474</v>
      </c>
    </row>
    <row r="1609" spans="1:4" x14ac:dyDescent="0.3">
      <c r="A1609">
        <v>772000</v>
      </c>
      <c r="B1609" s="29">
        <f t="shared" si="80"/>
        <v>4964028274.7282457</v>
      </c>
      <c r="C1609" s="39">
        <f t="shared" si="81"/>
        <v>5944400000</v>
      </c>
      <c r="D1609" s="76">
        <f t="shared" si="82"/>
        <v>980371725.27175426</v>
      </c>
    </row>
    <row r="1610" spans="1:4" x14ac:dyDescent="0.3">
      <c r="A1610">
        <v>772500</v>
      </c>
      <c r="B1610" s="29">
        <f t="shared" si="80"/>
        <v>4967222782.4189053</v>
      </c>
      <c r="C1610" s="39">
        <f t="shared" si="81"/>
        <v>5948250000</v>
      </c>
      <c r="D1610" s="76">
        <f t="shared" si="82"/>
        <v>981027217.58109474</v>
      </c>
    </row>
    <row r="1611" spans="1:4" x14ac:dyDescent="0.3">
      <c r="A1611">
        <v>773000</v>
      </c>
      <c r="B1611" s="29">
        <f t="shared" si="80"/>
        <v>4970417290.1095657</v>
      </c>
      <c r="C1611" s="39">
        <f t="shared" si="81"/>
        <v>5952100000</v>
      </c>
      <c r="D1611" s="76">
        <f t="shared" si="82"/>
        <v>981682709.89043427</v>
      </c>
    </row>
    <row r="1612" spans="1:4" x14ac:dyDescent="0.3">
      <c r="A1612">
        <v>773500</v>
      </c>
      <c r="B1612" s="29">
        <f t="shared" si="80"/>
        <v>4973611797.8002253</v>
      </c>
      <c r="C1612" s="39">
        <f t="shared" si="81"/>
        <v>5955950000</v>
      </c>
      <c r="D1612" s="76">
        <f t="shared" si="82"/>
        <v>982338202.19977474</v>
      </c>
    </row>
    <row r="1613" spans="1:4" x14ac:dyDescent="0.3">
      <c r="A1613">
        <v>774000</v>
      </c>
      <c r="B1613" s="29">
        <f t="shared" si="80"/>
        <v>4976806305.4908857</v>
      </c>
      <c r="C1613" s="39">
        <f t="shared" si="81"/>
        <v>5959800000</v>
      </c>
      <c r="D1613" s="76">
        <f t="shared" si="82"/>
        <v>982993694.50911427</v>
      </c>
    </row>
    <row r="1614" spans="1:4" x14ac:dyDescent="0.3">
      <c r="A1614">
        <v>774500</v>
      </c>
      <c r="B1614" s="29">
        <f t="shared" si="80"/>
        <v>4980000813.1815453</v>
      </c>
      <c r="C1614" s="39">
        <f t="shared" si="81"/>
        <v>5963650000</v>
      </c>
      <c r="D1614" s="76">
        <f t="shared" si="82"/>
        <v>983649186.81845474</v>
      </c>
    </row>
    <row r="1615" spans="1:4" x14ac:dyDescent="0.3">
      <c r="A1615">
        <v>775000</v>
      </c>
      <c r="B1615" s="29">
        <f t="shared" si="80"/>
        <v>4983195320.8722057</v>
      </c>
      <c r="C1615" s="39">
        <f t="shared" si="81"/>
        <v>5967500000</v>
      </c>
      <c r="D1615" s="76">
        <f t="shared" si="82"/>
        <v>984304679.12779427</v>
      </c>
    </row>
    <row r="1616" spans="1:4" x14ac:dyDescent="0.3">
      <c r="A1616">
        <v>775500</v>
      </c>
      <c r="B1616" s="29">
        <f t="shared" si="80"/>
        <v>4986389828.5628653</v>
      </c>
      <c r="C1616" s="39">
        <f t="shared" si="81"/>
        <v>5971350000</v>
      </c>
      <c r="D1616" s="76">
        <f t="shared" si="82"/>
        <v>984960171.43713474</v>
      </c>
    </row>
    <row r="1617" spans="1:4" x14ac:dyDescent="0.3">
      <c r="A1617">
        <v>776000</v>
      </c>
      <c r="B1617" s="29">
        <f t="shared" si="80"/>
        <v>4989584336.2535257</v>
      </c>
      <c r="C1617" s="39">
        <f t="shared" si="81"/>
        <v>5975200000</v>
      </c>
      <c r="D1617" s="76">
        <f t="shared" si="82"/>
        <v>985615663.74647427</v>
      </c>
    </row>
    <row r="1618" spans="1:4" x14ac:dyDescent="0.3">
      <c r="A1618">
        <v>776500</v>
      </c>
      <c r="B1618" s="29">
        <f t="shared" si="80"/>
        <v>4992778843.9441853</v>
      </c>
      <c r="C1618" s="39">
        <f t="shared" si="81"/>
        <v>5979050000</v>
      </c>
      <c r="D1618" s="76">
        <f t="shared" si="82"/>
        <v>986271156.05581474</v>
      </c>
    </row>
    <row r="1619" spans="1:4" x14ac:dyDescent="0.3">
      <c r="A1619">
        <v>777000</v>
      </c>
      <c r="B1619" s="29">
        <f t="shared" si="80"/>
        <v>4995973351.6348457</v>
      </c>
      <c r="C1619" s="39">
        <f t="shared" si="81"/>
        <v>5982900000</v>
      </c>
      <c r="D1619" s="76">
        <f t="shared" si="82"/>
        <v>986926648.36515427</v>
      </c>
    </row>
    <row r="1620" spans="1:4" x14ac:dyDescent="0.3">
      <c r="A1620">
        <v>777500</v>
      </c>
      <c r="B1620" s="29">
        <f t="shared" si="80"/>
        <v>4999167859.3255053</v>
      </c>
      <c r="C1620" s="39">
        <f t="shared" si="81"/>
        <v>5986750000</v>
      </c>
      <c r="D1620" s="76">
        <f t="shared" si="82"/>
        <v>987582140.67449474</v>
      </c>
    </row>
    <row r="1621" spans="1:4" x14ac:dyDescent="0.3">
      <c r="A1621">
        <v>778000</v>
      </c>
      <c r="B1621" s="29">
        <f t="shared" si="80"/>
        <v>5002362367.0161657</v>
      </c>
      <c r="C1621" s="39">
        <f t="shared" si="81"/>
        <v>5990600000</v>
      </c>
      <c r="D1621" s="76">
        <f t="shared" si="82"/>
        <v>988237632.98383427</v>
      </c>
    </row>
    <row r="1622" spans="1:4" x14ac:dyDescent="0.3">
      <c r="A1622">
        <v>778500</v>
      </c>
      <c r="B1622" s="29">
        <f t="shared" si="80"/>
        <v>5005556874.7068253</v>
      </c>
      <c r="C1622" s="39">
        <f t="shared" si="81"/>
        <v>5994450000</v>
      </c>
      <c r="D1622" s="76">
        <f t="shared" si="82"/>
        <v>988893125.29317474</v>
      </c>
    </row>
    <row r="1623" spans="1:4" x14ac:dyDescent="0.3">
      <c r="A1623">
        <v>779000</v>
      </c>
      <c r="B1623" s="29">
        <f t="shared" si="80"/>
        <v>5008751382.3974857</v>
      </c>
      <c r="C1623" s="39">
        <f t="shared" si="81"/>
        <v>5998300000</v>
      </c>
      <c r="D1623" s="76">
        <f t="shared" si="82"/>
        <v>989548617.60251427</v>
      </c>
    </row>
    <row r="1624" spans="1:4" x14ac:dyDescent="0.3">
      <c r="A1624">
        <v>779500</v>
      </c>
      <c r="B1624" s="29">
        <f t="shared" si="80"/>
        <v>5011945890.0881453</v>
      </c>
      <c r="C1624" s="39">
        <f t="shared" si="81"/>
        <v>6002150000</v>
      </c>
      <c r="D1624" s="76">
        <f t="shared" si="82"/>
        <v>990204109.91185474</v>
      </c>
    </row>
    <row r="1625" spans="1:4" x14ac:dyDescent="0.3">
      <c r="A1625">
        <v>780000</v>
      </c>
      <c r="B1625" s="29">
        <f t="shared" si="80"/>
        <v>5015140397.7788057</v>
      </c>
      <c r="C1625" s="39">
        <f t="shared" si="81"/>
        <v>6006000000</v>
      </c>
      <c r="D1625" s="76">
        <f t="shared" si="82"/>
        <v>990859602.22119427</v>
      </c>
    </row>
    <row r="1626" spans="1:4" x14ac:dyDescent="0.3">
      <c r="A1626">
        <v>780500</v>
      </c>
      <c r="B1626" s="29">
        <f t="shared" si="80"/>
        <v>5018334905.4694653</v>
      </c>
      <c r="C1626" s="39">
        <f t="shared" si="81"/>
        <v>6009850000</v>
      </c>
      <c r="D1626" s="76">
        <f t="shared" si="82"/>
        <v>991515094.53053474</v>
      </c>
    </row>
    <row r="1627" spans="1:4" x14ac:dyDescent="0.3">
      <c r="A1627">
        <v>781000</v>
      </c>
      <c r="B1627" s="29">
        <f t="shared" si="80"/>
        <v>5021529413.1601257</v>
      </c>
      <c r="C1627" s="39">
        <f t="shared" si="81"/>
        <v>6013700000</v>
      </c>
      <c r="D1627" s="76">
        <f t="shared" si="82"/>
        <v>992170586.83987427</v>
      </c>
    </row>
    <row r="1628" spans="1:4" x14ac:dyDescent="0.3">
      <c r="A1628">
        <v>781500</v>
      </c>
      <c r="B1628" s="29">
        <f t="shared" si="80"/>
        <v>5024723920.8507853</v>
      </c>
      <c r="C1628" s="39">
        <f t="shared" si="81"/>
        <v>6017550000</v>
      </c>
      <c r="D1628" s="76">
        <f t="shared" si="82"/>
        <v>992826079.14921474</v>
      </c>
    </row>
    <row r="1629" spans="1:4" x14ac:dyDescent="0.3">
      <c r="A1629">
        <v>782000</v>
      </c>
      <c r="B1629" s="29">
        <f t="shared" si="80"/>
        <v>5027918428.5414457</v>
      </c>
      <c r="C1629" s="39">
        <f t="shared" si="81"/>
        <v>6021400000</v>
      </c>
      <c r="D1629" s="76">
        <f t="shared" si="82"/>
        <v>993481571.45855427</v>
      </c>
    </row>
    <row r="1630" spans="1:4" x14ac:dyDescent="0.3">
      <c r="A1630">
        <v>782500</v>
      </c>
      <c r="B1630" s="29">
        <f t="shared" si="80"/>
        <v>5031112936.2321053</v>
      </c>
      <c r="C1630" s="39">
        <f t="shared" si="81"/>
        <v>6025250000</v>
      </c>
      <c r="D1630" s="76">
        <f t="shared" si="82"/>
        <v>994137063.76789474</v>
      </c>
    </row>
    <row r="1631" spans="1:4" x14ac:dyDescent="0.3">
      <c r="A1631">
        <v>783000</v>
      </c>
      <c r="B1631" s="29">
        <f t="shared" si="80"/>
        <v>5034307443.9227657</v>
      </c>
      <c r="C1631" s="39">
        <f t="shared" si="81"/>
        <v>6029100000</v>
      </c>
      <c r="D1631" s="76">
        <f t="shared" si="82"/>
        <v>994792556.07723427</v>
      </c>
    </row>
    <row r="1632" spans="1:4" x14ac:dyDescent="0.3">
      <c r="A1632">
        <v>783500</v>
      </c>
      <c r="B1632" s="29">
        <f t="shared" si="80"/>
        <v>5037501951.6134253</v>
      </c>
      <c r="C1632" s="39">
        <f t="shared" si="81"/>
        <v>6032950000</v>
      </c>
      <c r="D1632" s="76">
        <f t="shared" si="82"/>
        <v>995448048.38657475</v>
      </c>
    </row>
    <row r="1633" spans="1:4" x14ac:dyDescent="0.3">
      <c r="A1633">
        <v>784000</v>
      </c>
      <c r="B1633" s="29">
        <f t="shared" si="80"/>
        <v>5040696459.3040857</v>
      </c>
      <c r="C1633" s="39">
        <f t="shared" si="81"/>
        <v>6036800000</v>
      </c>
      <c r="D1633" s="76">
        <f t="shared" si="82"/>
        <v>996103540.69591427</v>
      </c>
    </row>
    <row r="1634" spans="1:4" x14ac:dyDescent="0.3">
      <c r="A1634">
        <v>784500</v>
      </c>
      <c r="B1634" s="29">
        <f t="shared" si="80"/>
        <v>5043890966.9947453</v>
      </c>
      <c r="C1634" s="39">
        <f t="shared" si="81"/>
        <v>6040650000</v>
      </c>
      <c r="D1634" s="76">
        <f t="shared" si="82"/>
        <v>996759033.00525475</v>
      </c>
    </row>
    <row r="1635" spans="1:4" x14ac:dyDescent="0.3">
      <c r="A1635">
        <v>785000</v>
      </c>
      <c r="B1635" s="29">
        <f t="shared" si="80"/>
        <v>5047085474.6854057</v>
      </c>
      <c r="C1635" s="39">
        <f t="shared" si="81"/>
        <v>6044500000</v>
      </c>
      <c r="D1635" s="76">
        <f t="shared" si="82"/>
        <v>997414525.31459427</v>
      </c>
    </row>
    <row r="1636" spans="1:4" x14ac:dyDescent="0.3">
      <c r="A1636">
        <v>785500</v>
      </c>
      <c r="B1636" s="29">
        <f t="shared" si="80"/>
        <v>5050279982.3760653</v>
      </c>
      <c r="C1636" s="39">
        <f t="shared" si="81"/>
        <v>6048350000</v>
      </c>
      <c r="D1636" s="76">
        <f t="shared" si="82"/>
        <v>998070017.62393475</v>
      </c>
    </row>
    <row r="1637" spans="1:4" x14ac:dyDescent="0.3">
      <c r="A1637">
        <v>786000</v>
      </c>
      <c r="B1637" s="29">
        <f t="shared" si="80"/>
        <v>5053474490.0667257</v>
      </c>
      <c r="C1637" s="39">
        <f t="shared" si="81"/>
        <v>6052200000</v>
      </c>
      <c r="D1637" s="76">
        <f t="shared" si="82"/>
        <v>998725509.93327427</v>
      </c>
    </row>
    <row r="1638" spans="1:4" x14ac:dyDescent="0.3">
      <c r="A1638">
        <v>786500</v>
      </c>
      <c r="B1638" s="29">
        <f t="shared" si="80"/>
        <v>5056668997.7573853</v>
      </c>
      <c r="C1638" s="39">
        <f t="shared" si="81"/>
        <v>6056050000</v>
      </c>
      <c r="D1638" s="76">
        <f t="shared" si="82"/>
        <v>999381002.24261475</v>
      </c>
    </row>
    <row r="1639" spans="1:4" x14ac:dyDescent="0.3">
      <c r="A1639">
        <v>787000</v>
      </c>
      <c r="B1639" s="29">
        <f t="shared" si="80"/>
        <v>5059863505.4480457</v>
      </c>
      <c r="C1639" s="39">
        <f t="shared" si="81"/>
        <v>6059900000</v>
      </c>
      <c r="D1639" s="76">
        <f t="shared" si="82"/>
        <v>1000036494.5519543</v>
      </c>
    </row>
    <row r="1640" spans="1:4" x14ac:dyDescent="0.3">
      <c r="A1640">
        <v>787500</v>
      </c>
      <c r="B1640" s="29">
        <f t="shared" si="80"/>
        <v>5063058013.1387053</v>
      </c>
      <c r="C1640" s="39">
        <f t="shared" si="81"/>
        <v>6063750000</v>
      </c>
      <c r="D1640" s="76">
        <f t="shared" si="82"/>
        <v>1000691986.8612947</v>
      </c>
    </row>
    <row r="1641" spans="1:4" x14ac:dyDescent="0.3">
      <c r="A1641">
        <v>788000</v>
      </c>
      <c r="B1641" s="29">
        <f t="shared" si="80"/>
        <v>5066252520.8293657</v>
      </c>
      <c r="C1641" s="39">
        <f t="shared" si="81"/>
        <v>6067600000</v>
      </c>
      <c r="D1641" s="76">
        <f t="shared" si="82"/>
        <v>1001347479.1706343</v>
      </c>
    </row>
    <row r="1642" spans="1:4" x14ac:dyDescent="0.3">
      <c r="A1642">
        <v>788500</v>
      </c>
      <c r="B1642" s="29">
        <f t="shared" si="80"/>
        <v>5069447028.5200253</v>
      </c>
      <c r="C1642" s="39">
        <f t="shared" si="81"/>
        <v>6071450000</v>
      </c>
      <c r="D1642" s="76">
        <f t="shared" si="82"/>
        <v>1002002971.4799747</v>
      </c>
    </row>
    <row r="1643" spans="1:4" x14ac:dyDescent="0.3">
      <c r="A1643">
        <v>789000</v>
      </c>
      <c r="B1643" s="29">
        <f t="shared" si="80"/>
        <v>5072641536.2106857</v>
      </c>
      <c r="C1643" s="39">
        <f t="shared" si="81"/>
        <v>6075300000</v>
      </c>
      <c r="D1643" s="76">
        <f t="shared" si="82"/>
        <v>1002658463.7893143</v>
      </c>
    </row>
    <row r="1644" spans="1:4" x14ac:dyDescent="0.3">
      <c r="A1644">
        <v>789500</v>
      </c>
      <c r="B1644" s="29">
        <f t="shared" si="80"/>
        <v>5075836043.9013453</v>
      </c>
      <c r="C1644" s="39">
        <f t="shared" si="81"/>
        <v>6079150000</v>
      </c>
      <c r="D1644" s="76">
        <f t="shared" si="82"/>
        <v>1003313956.0986547</v>
      </c>
    </row>
    <row r="1645" spans="1:4" x14ac:dyDescent="0.3">
      <c r="A1645">
        <v>790000</v>
      </c>
      <c r="B1645" s="29">
        <f t="shared" si="80"/>
        <v>5079030551.5920057</v>
      </c>
      <c r="C1645" s="39">
        <f t="shared" si="81"/>
        <v>6083000000</v>
      </c>
      <c r="D1645" s="76">
        <f t="shared" si="82"/>
        <v>1003969448.4079943</v>
      </c>
    </row>
    <row r="1646" spans="1:4" x14ac:dyDescent="0.3">
      <c r="A1646">
        <v>790500</v>
      </c>
      <c r="B1646" s="29">
        <f t="shared" si="80"/>
        <v>5082225059.2826653</v>
      </c>
      <c r="C1646" s="39">
        <f t="shared" si="81"/>
        <v>6086850000</v>
      </c>
      <c r="D1646" s="76">
        <f t="shared" si="82"/>
        <v>1004624940.7173347</v>
      </c>
    </row>
    <row r="1647" spans="1:4" x14ac:dyDescent="0.3">
      <c r="A1647">
        <v>791000</v>
      </c>
      <c r="B1647" s="29">
        <f t="shared" si="80"/>
        <v>5085419566.9733257</v>
      </c>
      <c r="C1647" s="39">
        <f t="shared" si="81"/>
        <v>6090700000</v>
      </c>
      <c r="D1647" s="76">
        <f t="shared" si="82"/>
        <v>1005280433.0266743</v>
      </c>
    </row>
    <row r="1648" spans="1:4" x14ac:dyDescent="0.3">
      <c r="A1648">
        <v>791500</v>
      </c>
      <c r="B1648" s="29">
        <f t="shared" si="80"/>
        <v>5088614074.6639853</v>
      </c>
      <c r="C1648" s="39">
        <f t="shared" si="81"/>
        <v>6094550000</v>
      </c>
      <c r="D1648" s="76">
        <f t="shared" si="82"/>
        <v>1005935925.3360147</v>
      </c>
    </row>
    <row r="1649" spans="1:4" x14ac:dyDescent="0.3">
      <c r="A1649">
        <v>792000</v>
      </c>
      <c r="B1649" s="29">
        <f t="shared" si="80"/>
        <v>5091808582.3546457</v>
      </c>
      <c r="C1649" s="39">
        <f t="shared" si="81"/>
        <v>6098400000</v>
      </c>
      <c r="D1649" s="76">
        <f t="shared" si="82"/>
        <v>1006591417.6453543</v>
      </c>
    </row>
    <row r="1650" spans="1:4" x14ac:dyDescent="0.3">
      <c r="A1650">
        <v>792500</v>
      </c>
      <c r="B1650" s="29">
        <f t="shared" si="80"/>
        <v>5095003090.0453053</v>
      </c>
      <c r="C1650" s="39">
        <f t="shared" si="81"/>
        <v>6102250000</v>
      </c>
      <c r="D1650" s="76">
        <f t="shared" si="82"/>
        <v>1007246909.9546947</v>
      </c>
    </row>
    <row r="1651" spans="1:4" x14ac:dyDescent="0.3">
      <c r="A1651">
        <v>793000</v>
      </c>
      <c r="B1651" s="29">
        <f t="shared" si="80"/>
        <v>5098197597.7359657</v>
      </c>
      <c r="C1651" s="39">
        <f t="shared" si="81"/>
        <v>6106100000</v>
      </c>
      <c r="D1651" s="76">
        <f t="shared" si="82"/>
        <v>1007902402.2640343</v>
      </c>
    </row>
    <row r="1652" spans="1:4" x14ac:dyDescent="0.3">
      <c r="A1652">
        <v>793500</v>
      </c>
      <c r="B1652" s="29">
        <f t="shared" si="80"/>
        <v>5101392105.4266253</v>
      </c>
      <c r="C1652" s="39">
        <f t="shared" si="81"/>
        <v>6109950000</v>
      </c>
      <c r="D1652" s="76">
        <f t="shared" si="82"/>
        <v>1008557894.5733747</v>
      </c>
    </row>
    <row r="1653" spans="1:4" x14ac:dyDescent="0.3">
      <c r="A1653">
        <v>794000</v>
      </c>
      <c r="B1653" s="29">
        <f t="shared" si="80"/>
        <v>5104586613.1172857</v>
      </c>
      <c r="C1653" s="39">
        <f t="shared" si="81"/>
        <v>6113800000</v>
      </c>
      <c r="D1653" s="76">
        <f t="shared" si="82"/>
        <v>1009213386.8827143</v>
      </c>
    </row>
    <row r="1654" spans="1:4" x14ac:dyDescent="0.3">
      <c r="A1654">
        <v>794500</v>
      </c>
      <c r="B1654" s="29">
        <f t="shared" si="80"/>
        <v>5107781120.8079453</v>
      </c>
      <c r="C1654" s="39">
        <f t="shared" si="81"/>
        <v>6117650000</v>
      </c>
      <c r="D1654" s="76">
        <f t="shared" si="82"/>
        <v>1009868879.1920547</v>
      </c>
    </row>
    <row r="1655" spans="1:4" x14ac:dyDescent="0.3">
      <c r="A1655">
        <v>795000</v>
      </c>
      <c r="B1655" s="29">
        <f t="shared" si="80"/>
        <v>5110975628.4986057</v>
      </c>
      <c r="C1655" s="39">
        <f t="shared" si="81"/>
        <v>6121500000</v>
      </c>
      <c r="D1655" s="76">
        <f t="shared" si="82"/>
        <v>1010524371.5013943</v>
      </c>
    </row>
    <row r="1656" spans="1:4" x14ac:dyDescent="0.3">
      <c r="A1656">
        <v>795500</v>
      </c>
      <c r="B1656" s="29">
        <f t="shared" si="80"/>
        <v>5114170136.1892653</v>
      </c>
      <c r="C1656" s="39">
        <f t="shared" si="81"/>
        <v>6125350000</v>
      </c>
      <c r="D1656" s="76">
        <f t="shared" si="82"/>
        <v>1011179863.8107347</v>
      </c>
    </row>
    <row r="1657" spans="1:4" x14ac:dyDescent="0.3">
      <c r="A1657">
        <v>796000</v>
      </c>
      <c r="B1657" s="29">
        <f t="shared" si="80"/>
        <v>5117364643.8799257</v>
      </c>
      <c r="C1657" s="39">
        <f t="shared" si="81"/>
        <v>6129200000</v>
      </c>
      <c r="D1657" s="76">
        <f t="shared" si="82"/>
        <v>1011835356.1200743</v>
      </c>
    </row>
    <row r="1658" spans="1:4" x14ac:dyDescent="0.3">
      <c r="A1658">
        <v>796500</v>
      </c>
      <c r="B1658" s="29">
        <f t="shared" si="80"/>
        <v>5120559151.5705853</v>
      </c>
      <c r="C1658" s="39">
        <f t="shared" si="81"/>
        <v>6133050000</v>
      </c>
      <c r="D1658" s="76">
        <f t="shared" si="82"/>
        <v>1012490848.4294147</v>
      </c>
    </row>
    <row r="1659" spans="1:4" x14ac:dyDescent="0.3">
      <c r="A1659">
        <v>797000</v>
      </c>
      <c r="B1659" s="29">
        <f t="shared" si="80"/>
        <v>5123753659.2612457</v>
      </c>
      <c r="C1659" s="39">
        <f t="shared" si="81"/>
        <v>6136900000</v>
      </c>
      <c r="D1659" s="76">
        <f t="shared" si="82"/>
        <v>1013146340.7387543</v>
      </c>
    </row>
    <row r="1660" spans="1:4" x14ac:dyDescent="0.3">
      <c r="A1660">
        <v>797500</v>
      </c>
      <c r="B1660" s="29">
        <f t="shared" si="80"/>
        <v>5126948166.9519053</v>
      </c>
      <c r="C1660" s="39">
        <f t="shared" si="81"/>
        <v>6140750000</v>
      </c>
      <c r="D1660" s="76">
        <f t="shared" si="82"/>
        <v>1013801833.0480947</v>
      </c>
    </row>
    <row r="1661" spans="1:4" x14ac:dyDescent="0.3">
      <c r="A1661">
        <v>798000</v>
      </c>
      <c r="B1661" s="29">
        <f t="shared" si="80"/>
        <v>5130142674.6425657</v>
      </c>
      <c r="C1661" s="39">
        <f t="shared" si="81"/>
        <v>6144600000</v>
      </c>
      <c r="D1661" s="76">
        <f t="shared" si="82"/>
        <v>1014457325.3574343</v>
      </c>
    </row>
    <row r="1662" spans="1:4" x14ac:dyDescent="0.3">
      <c r="A1662">
        <v>798500</v>
      </c>
      <c r="B1662" s="29">
        <f t="shared" si="80"/>
        <v>5133337182.3332253</v>
      </c>
      <c r="C1662" s="39">
        <f t="shared" si="81"/>
        <v>6148450000</v>
      </c>
      <c r="D1662" s="76">
        <f t="shared" si="82"/>
        <v>1015112817.6667747</v>
      </c>
    </row>
    <row r="1663" spans="1:4" x14ac:dyDescent="0.3">
      <c r="A1663">
        <v>799000</v>
      </c>
      <c r="B1663" s="29">
        <f t="shared" si="80"/>
        <v>5136531690.0238857</v>
      </c>
      <c r="C1663" s="39">
        <f t="shared" si="81"/>
        <v>6152300000</v>
      </c>
      <c r="D1663" s="76">
        <f t="shared" si="82"/>
        <v>1015768309.9761143</v>
      </c>
    </row>
    <row r="1664" spans="1:4" x14ac:dyDescent="0.3">
      <c r="A1664">
        <v>799500</v>
      </c>
      <c r="B1664" s="29">
        <f t="shared" si="80"/>
        <v>5139726197.7145452</v>
      </c>
      <c r="C1664" s="39">
        <f t="shared" si="81"/>
        <v>6156150000</v>
      </c>
      <c r="D1664" s="76">
        <f t="shared" si="82"/>
        <v>1016423802.2854548</v>
      </c>
    </row>
    <row r="1665" spans="1:4" x14ac:dyDescent="0.3">
      <c r="A1665">
        <v>800000</v>
      </c>
      <c r="B1665" s="29">
        <f t="shared" si="80"/>
        <v>5142920705.4052057</v>
      </c>
      <c r="C1665" s="39">
        <f t="shared" si="81"/>
        <v>6160000000</v>
      </c>
      <c r="D1665" s="76">
        <f t="shared" si="82"/>
        <v>1017079294.5947943</v>
      </c>
    </row>
    <row r="1666" spans="1:4" x14ac:dyDescent="0.3">
      <c r="A1666">
        <v>800500</v>
      </c>
      <c r="B1666" s="29">
        <f t="shared" ref="B1666:B1729" si="83">$B$54+($B$60*A1666)</f>
        <v>5146115213.0958652</v>
      </c>
      <c r="C1666" s="39">
        <f t="shared" ref="C1666:C1729" si="84">$E$50*A1666</f>
        <v>6163850000</v>
      </c>
      <c r="D1666" s="76">
        <f t="shared" ref="D1666:D1729" si="85">C1666-B1666</f>
        <v>1017734786.9041348</v>
      </c>
    </row>
    <row r="1667" spans="1:4" x14ac:dyDescent="0.3">
      <c r="A1667">
        <v>801000</v>
      </c>
      <c r="B1667" s="29">
        <f t="shared" si="83"/>
        <v>5149309720.7865257</v>
      </c>
      <c r="C1667" s="39">
        <f t="shared" si="84"/>
        <v>6167700000</v>
      </c>
      <c r="D1667" s="76">
        <f t="shared" si="85"/>
        <v>1018390279.2134743</v>
      </c>
    </row>
    <row r="1668" spans="1:4" x14ac:dyDescent="0.3">
      <c r="A1668">
        <v>801500</v>
      </c>
      <c r="B1668" s="29">
        <f t="shared" si="83"/>
        <v>5152504228.4771852</v>
      </c>
      <c r="C1668" s="39">
        <f t="shared" si="84"/>
        <v>6171550000</v>
      </c>
      <c r="D1668" s="76">
        <f t="shared" si="85"/>
        <v>1019045771.5228148</v>
      </c>
    </row>
    <row r="1669" spans="1:4" x14ac:dyDescent="0.3">
      <c r="A1669">
        <v>802000</v>
      </c>
      <c r="B1669" s="29">
        <f t="shared" si="83"/>
        <v>5155698736.1678457</v>
      </c>
      <c r="C1669" s="39">
        <f t="shared" si="84"/>
        <v>6175400000</v>
      </c>
      <c r="D1669" s="76">
        <f t="shared" si="85"/>
        <v>1019701263.8321543</v>
      </c>
    </row>
    <row r="1670" spans="1:4" x14ac:dyDescent="0.3">
      <c r="A1670">
        <v>802500</v>
      </c>
      <c r="B1670" s="29">
        <f t="shared" si="83"/>
        <v>5158893243.8585052</v>
      </c>
      <c r="C1670" s="39">
        <f t="shared" si="84"/>
        <v>6179250000</v>
      </c>
      <c r="D1670" s="76">
        <f t="shared" si="85"/>
        <v>1020356756.1414948</v>
      </c>
    </row>
    <row r="1671" spans="1:4" x14ac:dyDescent="0.3">
      <c r="A1671">
        <v>803000</v>
      </c>
      <c r="B1671" s="29">
        <f t="shared" si="83"/>
        <v>5162087751.5491657</v>
      </c>
      <c r="C1671" s="39">
        <f t="shared" si="84"/>
        <v>6183100000</v>
      </c>
      <c r="D1671" s="76">
        <f t="shared" si="85"/>
        <v>1021012248.4508343</v>
      </c>
    </row>
    <row r="1672" spans="1:4" x14ac:dyDescent="0.3">
      <c r="A1672">
        <v>803500</v>
      </c>
      <c r="B1672" s="29">
        <f t="shared" si="83"/>
        <v>5165282259.2398252</v>
      </c>
      <c r="C1672" s="39">
        <f t="shared" si="84"/>
        <v>6186950000</v>
      </c>
      <c r="D1672" s="76">
        <f t="shared" si="85"/>
        <v>1021667740.7601748</v>
      </c>
    </row>
    <row r="1673" spans="1:4" x14ac:dyDescent="0.3">
      <c r="A1673">
        <v>804000</v>
      </c>
      <c r="B1673" s="29">
        <f t="shared" si="83"/>
        <v>5168476766.9304857</v>
      </c>
      <c r="C1673" s="39">
        <f t="shared" si="84"/>
        <v>6190800000</v>
      </c>
      <c r="D1673" s="76">
        <f t="shared" si="85"/>
        <v>1022323233.0695143</v>
      </c>
    </row>
    <row r="1674" spans="1:4" x14ac:dyDescent="0.3">
      <c r="A1674">
        <v>804500</v>
      </c>
      <c r="B1674" s="29">
        <f t="shared" si="83"/>
        <v>5171671274.6211452</v>
      </c>
      <c r="C1674" s="39">
        <f t="shared" si="84"/>
        <v>6194650000</v>
      </c>
      <c r="D1674" s="76">
        <f t="shared" si="85"/>
        <v>1022978725.3788548</v>
      </c>
    </row>
    <row r="1675" spans="1:4" x14ac:dyDescent="0.3">
      <c r="A1675">
        <v>805000</v>
      </c>
      <c r="B1675" s="29">
        <f t="shared" si="83"/>
        <v>5174865782.3118057</v>
      </c>
      <c r="C1675" s="39">
        <f t="shared" si="84"/>
        <v>6198500000</v>
      </c>
      <c r="D1675" s="76">
        <f t="shared" si="85"/>
        <v>1023634217.6881943</v>
      </c>
    </row>
    <row r="1676" spans="1:4" x14ac:dyDescent="0.3">
      <c r="A1676">
        <v>805500</v>
      </c>
      <c r="B1676" s="29">
        <f t="shared" si="83"/>
        <v>5178060290.0024652</v>
      </c>
      <c r="C1676" s="39">
        <f t="shared" si="84"/>
        <v>6202350000</v>
      </c>
      <c r="D1676" s="76">
        <f t="shared" si="85"/>
        <v>1024289709.9975348</v>
      </c>
    </row>
    <row r="1677" spans="1:4" x14ac:dyDescent="0.3">
      <c r="A1677">
        <v>806000</v>
      </c>
      <c r="B1677" s="29">
        <f t="shared" si="83"/>
        <v>5181254797.6931257</v>
      </c>
      <c r="C1677" s="39">
        <f t="shared" si="84"/>
        <v>6206200000</v>
      </c>
      <c r="D1677" s="76">
        <f t="shared" si="85"/>
        <v>1024945202.3068743</v>
      </c>
    </row>
    <row r="1678" spans="1:4" x14ac:dyDescent="0.3">
      <c r="A1678">
        <v>806500</v>
      </c>
      <c r="B1678" s="29">
        <f t="shared" si="83"/>
        <v>5184449305.3837852</v>
      </c>
      <c r="C1678" s="39">
        <f t="shared" si="84"/>
        <v>6210050000</v>
      </c>
      <c r="D1678" s="76">
        <f t="shared" si="85"/>
        <v>1025600694.6162148</v>
      </c>
    </row>
    <row r="1679" spans="1:4" x14ac:dyDescent="0.3">
      <c r="A1679">
        <v>807000</v>
      </c>
      <c r="B1679" s="29">
        <f t="shared" si="83"/>
        <v>5187643813.0744457</v>
      </c>
      <c r="C1679" s="39">
        <f t="shared" si="84"/>
        <v>6213900000</v>
      </c>
      <c r="D1679" s="76">
        <f t="shared" si="85"/>
        <v>1026256186.9255543</v>
      </c>
    </row>
    <row r="1680" spans="1:4" x14ac:dyDescent="0.3">
      <c r="A1680">
        <v>807500</v>
      </c>
      <c r="B1680" s="29">
        <f t="shared" si="83"/>
        <v>5190838320.7651052</v>
      </c>
      <c r="C1680" s="39">
        <f t="shared" si="84"/>
        <v>6217750000</v>
      </c>
      <c r="D1680" s="76">
        <f t="shared" si="85"/>
        <v>1026911679.2348948</v>
      </c>
    </row>
    <row r="1681" spans="1:4" x14ac:dyDescent="0.3">
      <c r="A1681">
        <v>808000</v>
      </c>
      <c r="B1681" s="29">
        <f t="shared" si="83"/>
        <v>5194032828.4557657</v>
      </c>
      <c r="C1681" s="39">
        <f t="shared" si="84"/>
        <v>6221600000</v>
      </c>
      <c r="D1681" s="76">
        <f t="shared" si="85"/>
        <v>1027567171.5442343</v>
      </c>
    </row>
    <row r="1682" spans="1:4" x14ac:dyDescent="0.3">
      <c r="A1682">
        <v>808500</v>
      </c>
      <c r="B1682" s="29">
        <f t="shared" si="83"/>
        <v>5197227336.1464252</v>
      </c>
      <c r="C1682" s="39">
        <f t="shared" si="84"/>
        <v>6225450000</v>
      </c>
      <c r="D1682" s="76">
        <f t="shared" si="85"/>
        <v>1028222663.8535748</v>
      </c>
    </row>
    <row r="1683" spans="1:4" x14ac:dyDescent="0.3">
      <c r="A1683">
        <v>809000</v>
      </c>
      <c r="B1683" s="29">
        <f t="shared" si="83"/>
        <v>5200421843.8370857</v>
      </c>
      <c r="C1683" s="39">
        <f t="shared" si="84"/>
        <v>6229300000</v>
      </c>
      <c r="D1683" s="76">
        <f t="shared" si="85"/>
        <v>1028878156.1629143</v>
      </c>
    </row>
    <row r="1684" spans="1:4" x14ac:dyDescent="0.3">
      <c r="A1684">
        <v>809500</v>
      </c>
      <c r="B1684" s="29">
        <f t="shared" si="83"/>
        <v>5203616351.5277452</v>
      </c>
      <c r="C1684" s="39">
        <f t="shared" si="84"/>
        <v>6233150000</v>
      </c>
      <c r="D1684" s="76">
        <f t="shared" si="85"/>
        <v>1029533648.4722548</v>
      </c>
    </row>
    <row r="1685" spans="1:4" x14ac:dyDescent="0.3">
      <c r="A1685">
        <v>810000</v>
      </c>
      <c r="B1685" s="29">
        <f t="shared" si="83"/>
        <v>5206810859.2184057</v>
      </c>
      <c r="C1685" s="39">
        <f t="shared" si="84"/>
        <v>6237000000</v>
      </c>
      <c r="D1685" s="76">
        <f t="shared" si="85"/>
        <v>1030189140.7815943</v>
      </c>
    </row>
    <row r="1686" spans="1:4" x14ac:dyDescent="0.3">
      <c r="A1686">
        <v>810500</v>
      </c>
      <c r="B1686" s="29">
        <f t="shared" si="83"/>
        <v>5210005366.9090652</v>
      </c>
      <c r="C1686" s="39">
        <f t="shared" si="84"/>
        <v>6240850000</v>
      </c>
      <c r="D1686" s="76">
        <f t="shared" si="85"/>
        <v>1030844633.0909348</v>
      </c>
    </row>
    <row r="1687" spans="1:4" x14ac:dyDescent="0.3">
      <c r="A1687">
        <v>811000</v>
      </c>
      <c r="B1687" s="29">
        <f t="shared" si="83"/>
        <v>5213199874.5997257</v>
      </c>
      <c r="C1687" s="39">
        <f t="shared" si="84"/>
        <v>6244700000</v>
      </c>
      <c r="D1687" s="76">
        <f t="shared" si="85"/>
        <v>1031500125.4002743</v>
      </c>
    </row>
    <row r="1688" spans="1:4" x14ac:dyDescent="0.3">
      <c r="A1688">
        <v>811500</v>
      </c>
      <c r="B1688" s="29">
        <f t="shared" si="83"/>
        <v>5216394382.2903852</v>
      </c>
      <c r="C1688" s="39">
        <f t="shared" si="84"/>
        <v>6248550000</v>
      </c>
      <c r="D1688" s="76">
        <f t="shared" si="85"/>
        <v>1032155617.7096148</v>
      </c>
    </row>
    <row r="1689" spans="1:4" x14ac:dyDescent="0.3">
      <c r="A1689">
        <v>812000</v>
      </c>
      <c r="B1689" s="29">
        <f t="shared" si="83"/>
        <v>5219588889.9810457</v>
      </c>
      <c r="C1689" s="39">
        <f t="shared" si="84"/>
        <v>6252400000</v>
      </c>
      <c r="D1689" s="76">
        <f t="shared" si="85"/>
        <v>1032811110.0189543</v>
      </c>
    </row>
    <row r="1690" spans="1:4" x14ac:dyDescent="0.3">
      <c r="A1690">
        <v>812500</v>
      </c>
      <c r="B1690" s="29">
        <f t="shared" si="83"/>
        <v>5222783397.6717052</v>
      </c>
      <c r="C1690" s="39">
        <f t="shared" si="84"/>
        <v>6256250000</v>
      </c>
      <c r="D1690" s="76">
        <f t="shared" si="85"/>
        <v>1033466602.3282948</v>
      </c>
    </row>
    <row r="1691" spans="1:4" x14ac:dyDescent="0.3">
      <c r="A1691">
        <v>813000</v>
      </c>
      <c r="B1691" s="29">
        <f t="shared" si="83"/>
        <v>5225977905.3623657</v>
      </c>
      <c r="C1691" s="39">
        <f t="shared" si="84"/>
        <v>6260100000</v>
      </c>
      <c r="D1691" s="76">
        <f t="shared" si="85"/>
        <v>1034122094.6376343</v>
      </c>
    </row>
    <row r="1692" spans="1:4" x14ac:dyDescent="0.3">
      <c r="A1692">
        <v>813500</v>
      </c>
      <c r="B1692" s="29">
        <f t="shared" si="83"/>
        <v>5229172413.0530252</v>
      </c>
      <c r="C1692" s="39">
        <f t="shared" si="84"/>
        <v>6263950000</v>
      </c>
      <c r="D1692" s="76">
        <f t="shared" si="85"/>
        <v>1034777586.9469748</v>
      </c>
    </row>
    <row r="1693" spans="1:4" x14ac:dyDescent="0.3">
      <c r="A1693">
        <v>814000</v>
      </c>
      <c r="B1693" s="29">
        <f t="shared" si="83"/>
        <v>5232366920.7436857</v>
      </c>
      <c r="C1693" s="39">
        <f t="shared" si="84"/>
        <v>6267800000</v>
      </c>
      <c r="D1693" s="76">
        <f t="shared" si="85"/>
        <v>1035433079.2563143</v>
      </c>
    </row>
    <row r="1694" spans="1:4" x14ac:dyDescent="0.3">
      <c r="A1694">
        <v>814500</v>
      </c>
      <c r="B1694" s="29">
        <f t="shared" si="83"/>
        <v>5235561428.4343452</v>
      </c>
      <c r="C1694" s="39">
        <f t="shared" si="84"/>
        <v>6271650000</v>
      </c>
      <c r="D1694" s="76">
        <f t="shared" si="85"/>
        <v>1036088571.5656548</v>
      </c>
    </row>
    <row r="1695" spans="1:4" x14ac:dyDescent="0.3">
      <c r="A1695">
        <v>815000</v>
      </c>
      <c r="B1695" s="29">
        <f t="shared" si="83"/>
        <v>5238755936.1250057</v>
      </c>
      <c r="C1695" s="39">
        <f t="shared" si="84"/>
        <v>6275500000</v>
      </c>
      <c r="D1695" s="76">
        <f t="shared" si="85"/>
        <v>1036744063.8749943</v>
      </c>
    </row>
    <row r="1696" spans="1:4" x14ac:dyDescent="0.3">
      <c r="A1696">
        <v>815500</v>
      </c>
      <c r="B1696" s="29">
        <f t="shared" si="83"/>
        <v>5241950443.8156652</v>
      </c>
      <c r="C1696" s="39">
        <f t="shared" si="84"/>
        <v>6279350000</v>
      </c>
      <c r="D1696" s="76">
        <f t="shared" si="85"/>
        <v>1037399556.1843348</v>
      </c>
    </row>
    <row r="1697" spans="1:4" x14ac:dyDescent="0.3">
      <c r="A1697">
        <v>816000</v>
      </c>
      <c r="B1697" s="29">
        <f t="shared" si="83"/>
        <v>5245144951.5063257</v>
      </c>
      <c r="C1697" s="39">
        <f t="shared" si="84"/>
        <v>6283200000</v>
      </c>
      <c r="D1697" s="76">
        <f t="shared" si="85"/>
        <v>1038055048.4936743</v>
      </c>
    </row>
    <row r="1698" spans="1:4" x14ac:dyDescent="0.3">
      <c r="A1698">
        <v>816500</v>
      </c>
      <c r="B1698" s="29">
        <f t="shared" si="83"/>
        <v>5248339459.1969852</v>
      </c>
      <c r="C1698" s="39">
        <f t="shared" si="84"/>
        <v>6287050000</v>
      </c>
      <c r="D1698" s="76">
        <f t="shared" si="85"/>
        <v>1038710540.8030148</v>
      </c>
    </row>
    <row r="1699" spans="1:4" x14ac:dyDescent="0.3">
      <c r="A1699">
        <v>817000</v>
      </c>
      <c r="B1699" s="29">
        <f t="shared" si="83"/>
        <v>5251533966.8876457</v>
      </c>
      <c r="C1699" s="39">
        <f t="shared" si="84"/>
        <v>6290900000</v>
      </c>
      <c r="D1699" s="76">
        <f t="shared" si="85"/>
        <v>1039366033.1123543</v>
      </c>
    </row>
    <row r="1700" spans="1:4" x14ac:dyDescent="0.3">
      <c r="A1700">
        <v>817500</v>
      </c>
      <c r="B1700" s="29">
        <f t="shared" si="83"/>
        <v>5254728474.5783052</v>
      </c>
      <c r="C1700" s="39">
        <f t="shared" si="84"/>
        <v>6294750000</v>
      </c>
      <c r="D1700" s="76">
        <f t="shared" si="85"/>
        <v>1040021525.4216948</v>
      </c>
    </row>
    <row r="1701" spans="1:4" x14ac:dyDescent="0.3">
      <c r="A1701">
        <v>818000</v>
      </c>
      <c r="B1701" s="29">
        <f t="shared" si="83"/>
        <v>5257922982.2689657</v>
      </c>
      <c r="C1701" s="39">
        <f t="shared" si="84"/>
        <v>6298600000</v>
      </c>
      <c r="D1701" s="76">
        <f t="shared" si="85"/>
        <v>1040677017.7310343</v>
      </c>
    </row>
    <row r="1702" spans="1:4" x14ac:dyDescent="0.3">
      <c r="A1702">
        <v>818500</v>
      </c>
      <c r="B1702" s="29">
        <f t="shared" si="83"/>
        <v>5261117489.9596252</v>
      </c>
      <c r="C1702" s="39">
        <f t="shared" si="84"/>
        <v>6302450000</v>
      </c>
      <c r="D1702" s="76">
        <f t="shared" si="85"/>
        <v>1041332510.0403748</v>
      </c>
    </row>
    <row r="1703" spans="1:4" x14ac:dyDescent="0.3">
      <c r="A1703">
        <v>819000</v>
      </c>
      <c r="B1703" s="29">
        <f t="shared" si="83"/>
        <v>5264311997.6502857</v>
      </c>
      <c r="C1703" s="39">
        <f t="shared" si="84"/>
        <v>6306300000</v>
      </c>
      <c r="D1703" s="76">
        <f t="shared" si="85"/>
        <v>1041988002.3497143</v>
      </c>
    </row>
    <row r="1704" spans="1:4" x14ac:dyDescent="0.3">
      <c r="A1704">
        <v>819500</v>
      </c>
      <c r="B1704" s="29">
        <f t="shared" si="83"/>
        <v>5267506505.3409452</v>
      </c>
      <c r="C1704" s="39">
        <f t="shared" si="84"/>
        <v>6310150000</v>
      </c>
      <c r="D1704" s="76">
        <f t="shared" si="85"/>
        <v>1042643494.6590548</v>
      </c>
    </row>
    <row r="1705" spans="1:4" x14ac:dyDescent="0.3">
      <c r="A1705">
        <v>820000</v>
      </c>
      <c r="B1705" s="29">
        <f t="shared" si="83"/>
        <v>5270701013.0316057</v>
      </c>
      <c r="C1705" s="39">
        <f t="shared" si="84"/>
        <v>6314000000</v>
      </c>
      <c r="D1705" s="76">
        <f t="shared" si="85"/>
        <v>1043298986.9683943</v>
      </c>
    </row>
    <row r="1706" spans="1:4" x14ac:dyDescent="0.3">
      <c r="A1706">
        <v>820500</v>
      </c>
      <c r="B1706" s="29">
        <f t="shared" si="83"/>
        <v>5273895520.7222652</v>
      </c>
      <c r="C1706" s="39">
        <f t="shared" si="84"/>
        <v>6317850000</v>
      </c>
      <c r="D1706" s="76">
        <f t="shared" si="85"/>
        <v>1043954479.2777348</v>
      </c>
    </row>
    <row r="1707" spans="1:4" x14ac:dyDescent="0.3">
      <c r="A1707">
        <v>821000</v>
      </c>
      <c r="B1707" s="29">
        <f t="shared" si="83"/>
        <v>5277090028.4129257</v>
      </c>
      <c r="C1707" s="39">
        <f t="shared" si="84"/>
        <v>6321700000</v>
      </c>
      <c r="D1707" s="76">
        <f t="shared" si="85"/>
        <v>1044609971.5870743</v>
      </c>
    </row>
    <row r="1708" spans="1:4" x14ac:dyDescent="0.3">
      <c r="A1708">
        <v>821500</v>
      </c>
      <c r="B1708" s="29">
        <f t="shared" si="83"/>
        <v>5280284536.1035852</v>
      </c>
      <c r="C1708" s="39">
        <f t="shared" si="84"/>
        <v>6325550000</v>
      </c>
      <c r="D1708" s="76">
        <f t="shared" si="85"/>
        <v>1045265463.8964148</v>
      </c>
    </row>
    <row r="1709" spans="1:4" x14ac:dyDescent="0.3">
      <c r="A1709">
        <v>822000</v>
      </c>
      <c r="B1709" s="29">
        <f t="shared" si="83"/>
        <v>5283479043.7942457</v>
      </c>
      <c r="C1709" s="39">
        <f t="shared" si="84"/>
        <v>6329400000</v>
      </c>
      <c r="D1709" s="76">
        <f t="shared" si="85"/>
        <v>1045920956.2057543</v>
      </c>
    </row>
    <row r="1710" spans="1:4" x14ac:dyDescent="0.3">
      <c r="A1710">
        <v>822500</v>
      </c>
      <c r="B1710" s="29">
        <f t="shared" si="83"/>
        <v>5286673551.4849052</v>
      </c>
      <c r="C1710" s="39">
        <f t="shared" si="84"/>
        <v>6333250000</v>
      </c>
      <c r="D1710" s="76">
        <f t="shared" si="85"/>
        <v>1046576448.5150948</v>
      </c>
    </row>
    <row r="1711" spans="1:4" x14ac:dyDescent="0.3">
      <c r="A1711">
        <v>823000</v>
      </c>
      <c r="B1711" s="29">
        <f t="shared" si="83"/>
        <v>5289868059.1755657</v>
      </c>
      <c r="C1711" s="39">
        <f t="shared" si="84"/>
        <v>6337100000</v>
      </c>
      <c r="D1711" s="76">
        <f t="shared" si="85"/>
        <v>1047231940.8244343</v>
      </c>
    </row>
    <row r="1712" spans="1:4" x14ac:dyDescent="0.3">
      <c r="A1712">
        <v>823500</v>
      </c>
      <c r="B1712" s="29">
        <f t="shared" si="83"/>
        <v>5293062566.8662252</v>
      </c>
      <c r="C1712" s="39">
        <f t="shared" si="84"/>
        <v>6340950000</v>
      </c>
      <c r="D1712" s="76">
        <f t="shared" si="85"/>
        <v>1047887433.1337748</v>
      </c>
    </row>
    <row r="1713" spans="1:4" x14ac:dyDescent="0.3">
      <c r="A1713">
        <v>824000</v>
      </c>
      <c r="B1713" s="29">
        <f t="shared" si="83"/>
        <v>5296257074.5568857</v>
      </c>
      <c r="C1713" s="39">
        <f t="shared" si="84"/>
        <v>6344800000</v>
      </c>
      <c r="D1713" s="76">
        <f t="shared" si="85"/>
        <v>1048542925.4431143</v>
      </c>
    </row>
    <row r="1714" spans="1:4" x14ac:dyDescent="0.3">
      <c r="A1714">
        <v>824500</v>
      </c>
      <c r="B1714" s="29">
        <f t="shared" si="83"/>
        <v>5299451582.2475452</v>
      </c>
      <c r="C1714" s="39">
        <f t="shared" si="84"/>
        <v>6348650000</v>
      </c>
      <c r="D1714" s="76">
        <f t="shared" si="85"/>
        <v>1049198417.7524548</v>
      </c>
    </row>
    <row r="1715" spans="1:4" x14ac:dyDescent="0.3">
      <c r="A1715">
        <v>825000</v>
      </c>
      <c r="B1715" s="29">
        <f t="shared" si="83"/>
        <v>5302646089.9382057</v>
      </c>
      <c r="C1715" s="39">
        <f t="shared" si="84"/>
        <v>6352500000</v>
      </c>
      <c r="D1715" s="76">
        <f t="shared" si="85"/>
        <v>1049853910.0617943</v>
      </c>
    </row>
    <row r="1716" spans="1:4" x14ac:dyDescent="0.3">
      <c r="A1716">
        <v>825500</v>
      </c>
      <c r="B1716" s="29">
        <f t="shared" si="83"/>
        <v>5305840597.6288652</v>
      </c>
      <c r="C1716" s="39">
        <f t="shared" si="84"/>
        <v>6356350000</v>
      </c>
      <c r="D1716" s="76">
        <f t="shared" si="85"/>
        <v>1050509402.3711348</v>
      </c>
    </row>
    <row r="1717" spans="1:4" x14ac:dyDescent="0.3">
      <c r="A1717">
        <v>826000</v>
      </c>
      <c r="B1717" s="29">
        <f t="shared" si="83"/>
        <v>5309035105.3195257</v>
      </c>
      <c r="C1717" s="39">
        <f t="shared" si="84"/>
        <v>6360200000</v>
      </c>
      <c r="D1717" s="76">
        <f t="shared" si="85"/>
        <v>1051164894.6804743</v>
      </c>
    </row>
    <row r="1718" spans="1:4" x14ac:dyDescent="0.3">
      <c r="A1718">
        <v>826500</v>
      </c>
      <c r="B1718" s="29">
        <f t="shared" si="83"/>
        <v>5312229613.0101852</v>
      </c>
      <c r="C1718" s="39">
        <f t="shared" si="84"/>
        <v>6364050000</v>
      </c>
      <c r="D1718" s="76">
        <f t="shared" si="85"/>
        <v>1051820386.9898148</v>
      </c>
    </row>
    <row r="1719" spans="1:4" x14ac:dyDescent="0.3">
      <c r="A1719">
        <v>827000</v>
      </c>
      <c r="B1719" s="29">
        <f t="shared" si="83"/>
        <v>5315424120.7008457</v>
      </c>
      <c r="C1719" s="39">
        <f t="shared" si="84"/>
        <v>6367900000</v>
      </c>
      <c r="D1719" s="76">
        <f t="shared" si="85"/>
        <v>1052475879.2991543</v>
      </c>
    </row>
    <row r="1720" spans="1:4" x14ac:dyDescent="0.3">
      <c r="A1720">
        <v>827500</v>
      </c>
      <c r="B1720" s="29">
        <f t="shared" si="83"/>
        <v>5318618628.3915052</v>
      </c>
      <c r="C1720" s="39">
        <f t="shared" si="84"/>
        <v>6371750000</v>
      </c>
      <c r="D1720" s="76">
        <f t="shared" si="85"/>
        <v>1053131371.6084948</v>
      </c>
    </row>
    <row r="1721" spans="1:4" x14ac:dyDescent="0.3">
      <c r="A1721">
        <v>828000</v>
      </c>
      <c r="B1721" s="29">
        <f t="shared" si="83"/>
        <v>5321813136.0821657</v>
      </c>
      <c r="C1721" s="39">
        <f t="shared" si="84"/>
        <v>6375600000</v>
      </c>
      <c r="D1721" s="76">
        <f t="shared" si="85"/>
        <v>1053786863.9178343</v>
      </c>
    </row>
    <row r="1722" spans="1:4" x14ac:dyDescent="0.3">
      <c r="A1722">
        <v>828500</v>
      </c>
      <c r="B1722" s="29">
        <f t="shared" si="83"/>
        <v>5325007643.7728252</v>
      </c>
      <c r="C1722" s="39">
        <f t="shared" si="84"/>
        <v>6379450000</v>
      </c>
      <c r="D1722" s="76">
        <f t="shared" si="85"/>
        <v>1054442356.2271748</v>
      </c>
    </row>
    <row r="1723" spans="1:4" x14ac:dyDescent="0.3">
      <c r="A1723">
        <v>829000</v>
      </c>
      <c r="B1723" s="29">
        <f t="shared" si="83"/>
        <v>5328202151.4634857</v>
      </c>
      <c r="C1723" s="39">
        <f t="shared" si="84"/>
        <v>6383300000</v>
      </c>
      <c r="D1723" s="76">
        <f t="shared" si="85"/>
        <v>1055097848.5365143</v>
      </c>
    </row>
    <row r="1724" spans="1:4" x14ac:dyDescent="0.3">
      <c r="A1724">
        <v>829500</v>
      </c>
      <c r="B1724" s="29">
        <f t="shared" si="83"/>
        <v>5331396659.1541452</v>
      </c>
      <c r="C1724" s="39">
        <f t="shared" si="84"/>
        <v>6387150000</v>
      </c>
      <c r="D1724" s="76">
        <f t="shared" si="85"/>
        <v>1055753340.8458548</v>
      </c>
    </row>
    <row r="1725" spans="1:4" x14ac:dyDescent="0.3">
      <c r="A1725">
        <v>830000</v>
      </c>
      <c r="B1725" s="29">
        <f t="shared" si="83"/>
        <v>5334591166.8448057</v>
      </c>
      <c r="C1725" s="39">
        <f t="shared" si="84"/>
        <v>6391000000</v>
      </c>
      <c r="D1725" s="76">
        <f t="shared" si="85"/>
        <v>1056408833.1551943</v>
      </c>
    </row>
    <row r="1726" spans="1:4" x14ac:dyDescent="0.3">
      <c r="A1726">
        <v>830500</v>
      </c>
      <c r="B1726" s="29">
        <f t="shared" si="83"/>
        <v>5337785674.5354652</v>
      </c>
      <c r="C1726" s="39">
        <f t="shared" si="84"/>
        <v>6394850000</v>
      </c>
      <c r="D1726" s="76">
        <f t="shared" si="85"/>
        <v>1057064325.4645348</v>
      </c>
    </row>
    <row r="1727" spans="1:4" x14ac:dyDescent="0.3">
      <c r="A1727">
        <v>831000</v>
      </c>
      <c r="B1727" s="29">
        <f t="shared" si="83"/>
        <v>5340980182.2261257</v>
      </c>
      <c r="C1727" s="39">
        <f t="shared" si="84"/>
        <v>6398700000</v>
      </c>
      <c r="D1727" s="76">
        <f t="shared" si="85"/>
        <v>1057719817.7738743</v>
      </c>
    </row>
    <row r="1728" spans="1:4" x14ac:dyDescent="0.3">
      <c r="A1728">
        <v>831500</v>
      </c>
      <c r="B1728" s="29">
        <f t="shared" si="83"/>
        <v>5344174689.9167852</v>
      </c>
      <c r="C1728" s="39">
        <f t="shared" si="84"/>
        <v>6402550000</v>
      </c>
      <c r="D1728" s="76">
        <f t="shared" si="85"/>
        <v>1058375310.0832148</v>
      </c>
    </row>
    <row r="1729" spans="1:4" x14ac:dyDescent="0.3">
      <c r="A1729">
        <v>832000</v>
      </c>
      <c r="B1729" s="29">
        <f t="shared" si="83"/>
        <v>5347369197.6074457</v>
      </c>
      <c r="C1729" s="39">
        <f t="shared" si="84"/>
        <v>6406400000</v>
      </c>
      <c r="D1729" s="76">
        <f t="shared" si="85"/>
        <v>1059030802.3925543</v>
      </c>
    </row>
    <row r="1730" spans="1:4" x14ac:dyDescent="0.3">
      <c r="A1730">
        <v>832500</v>
      </c>
      <c r="B1730" s="29">
        <f t="shared" ref="B1730:B1793" si="86">$B$54+($B$60*A1730)</f>
        <v>5350563705.2981052</v>
      </c>
      <c r="C1730" s="39">
        <f t="shared" ref="C1730:C1793" si="87">$E$50*A1730</f>
        <v>6410250000</v>
      </c>
      <c r="D1730" s="76">
        <f t="shared" ref="D1730:D1793" si="88">C1730-B1730</f>
        <v>1059686294.7018948</v>
      </c>
    </row>
    <row r="1731" spans="1:4" x14ac:dyDescent="0.3">
      <c r="A1731">
        <v>833000</v>
      </c>
      <c r="B1731" s="29">
        <f t="shared" si="86"/>
        <v>5353758212.9887657</v>
      </c>
      <c r="C1731" s="39">
        <f t="shared" si="87"/>
        <v>6414100000</v>
      </c>
      <c r="D1731" s="76">
        <f t="shared" si="88"/>
        <v>1060341787.0112343</v>
      </c>
    </row>
    <row r="1732" spans="1:4" x14ac:dyDescent="0.3">
      <c r="A1732">
        <v>833500</v>
      </c>
      <c r="B1732" s="29">
        <f t="shared" si="86"/>
        <v>5356952720.6794252</v>
      </c>
      <c r="C1732" s="39">
        <f t="shared" si="87"/>
        <v>6417950000</v>
      </c>
      <c r="D1732" s="76">
        <f t="shared" si="88"/>
        <v>1060997279.3205748</v>
      </c>
    </row>
    <row r="1733" spans="1:4" x14ac:dyDescent="0.3">
      <c r="A1733">
        <v>834000</v>
      </c>
      <c r="B1733" s="29">
        <f t="shared" si="86"/>
        <v>5360147228.3700857</v>
      </c>
      <c r="C1733" s="39">
        <f t="shared" si="87"/>
        <v>6421800000</v>
      </c>
      <c r="D1733" s="76">
        <f t="shared" si="88"/>
        <v>1061652771.6299143</v>
      </c>
    </row>
    <row r="1734" spans="1:4" x14ac:dyDescent="0.3">
      <c r="A1734">
        <v>834500</v>
      </c>
      <c r="B1734" s="29">
        <f t="shared" si="86"/>
        <v>5363341736.0607452</v>
      </c>
      <c r="C1734" s="39">
        <f t="shared" si="87"/>
        <v>6425650000</v>
      </c>
      <c r="D1734" s="76">
        <f t="shared" si="88"/>
        <v>1062308263.9392548</v>
      </c>
    </row>
    <row r="1735" spans="1:4" x14ac:dyDescent="0.3">
      <c r="A1735">
        <v>835000</v>
      </c>
      <c r="B1735" s="29">
        <f t="shared" si="86"/>
        <v>5366536243.7514057</v>
      </c>
      <c r="C1735" s="39">
        <f t="shared" si="87"/>
        <v>6429500000</v>
      </c>
      <c r="D1735" s="76">
        <f t="shared" si="88"/>
        <v>1062963756.2485943</v>
      </c>
    </row>
    <row r="1736" spans="1:4" x14ac:dyDescent="0.3">
      <c r="A1736">
        <v>835500</v>
      </c>
      <c r="B1736" s="29">
        <f t="shared" si="86"/>
        <v>5369730751.4420652</v>
      </c>
      <c r="C1736" s="39">
        <f t="shared" si="87"/>
        <v>6433350000</v>
      </c>
      <c r="D1736" s="76">
        <f t="shared" si="88"/>
        <v>1063619248.5579348</v>
      </c>
    </row>
    <row r="1737" spans="1:4" x14ac:dyDescent="0.3">
      <c r="A1737">
        <v>836000</v>
      </c>
      <c r="B1737" s="29">
        <f t="shared" si="86"/>
        <v>5372925259.1327257</v>
      </c>
      <c r="C1737" s="39">
        <f t="shared" si="87"/>
        <v>6437200000</v>
      </c>
      <c r="D1737" s="76">
        <f t="shared" si="88"/>
        <v>1064274740.8672743</v>
      </c>
    </row>
    <row r="1738" spans="1:4" x14ac:dyDescent="0.3">
      <c r="A1738">
        <v>836500</v>
      </c>
      <c r="B1738" s="29">
        <f t="shared" si="86"/>
        <v>5376119766.8233852</v>
      </c>
      <c r="C1738" s="39">
        <f t="shared" si="87"/>
        <v>6441050000</v>
      </c>
      <c r="D1738" s="76">
        <f t="shared" si="88"/>
        <v>1064930233.1766148</v>
      </c>
    </row>
    <row r="1739" spans="1:4" x14ac:dyDescent="0.3">
      <c r="A1739">
        <v>837000</v>
      </c>
      <c r="B1739" s="29">
        <f t="shared" si="86"/>
        <v>5379314274.5140457</v>
      </c>
      <c r="C1739" s="39">
        <f t="shared" si="87"/>
        <v>6444900000</v>
      </c>
      <c r="D1739" s="76">
        <f t="shared" si="88"/>
        <v>1065585725.4859543</v>
      </c>
    </row>
    <row r="1740" spans="1:4" x14ac:dyDescent="0.3">
      <c r="A1740">
        <v>837500</v>
      </c>
      <c r="B1740" s="29">
        <f t="shared" si="86"/>
        <v>5382508782.2047052</v>
      </c>
      <c r="C1740" s="39">
        <f t="shared" si="87"/>
        <v>6448750000</v>
      </c>
      <c r="D1740" s="76">
        <f t="shared" si="88"/>
        <v>1066241217.7952948</v>
      </c>
    </row>
    <row r="1741" spans="1:4" x14ac:dyDescent="0.3">
      <c r="A1741">
        <v>838000</v>
      </c>
      <c r="B1741" s="29">
        <f t="shared" si="86"/>
        <v>5385703289.8953657</v>
      </c>
      <c r="C1741" s="39">
        <f t="shared" si="87"/>
        <v>6452600000</v>
      </c>
      <c r="D1741" s="76">
        <f t="shared" si="88"/>
        <v>1066896710.1046343</v>
      </c>
    </row>
    <row r="1742" spans="1:4" x14ac:dyDescent="0.3">
      <c r="A1742">
        <v>838500</v>
      </c>
      <c r="B1742" s="29">
        <f t="shared" si="86"/>
        <v>5388897797.5860252</v>
      </c>
      <c r="C1742" s="39">
        <f t="shared" si="87"/>
        <v>6456450000</v>
      </c>
      <c r="D1742" s="76">
        <f t="shared" si="88"/>
        <v>1067552202.4139748</v>
      </c>
    </row>
    <row r="1743" spans="1:4" x14ac:dyDescent="0.3">
      <c r="A1743">
        <v>839000</v>
      </c>
      <c r="B1743" s="29">
        <f t="shared" si="86"/>
        <v>5392092305.2766857</v>
      </c>
      <c r="C1743" s="39">
        <f t="shared" si="87"/>
        <v>6460300000</v>
      </c>
      <c r="D1743" s="76">
        <f t="shared" si="88"/>
        <v>1068207694.7233143</v>
      </c>
    </row>
    <row r="1744" spans="1:4" x14ac:dyDescent="0.3">
      <c r="A1744">
        <v>839500</v>
      </c>
      <c r="B1744" s="29">
        <f t="shared" si="86"/>
        <v>5395286812.9673452</v>
      </c>
      <c r="C1744" s="39">
        <f t="shared" si="87"/>
        <v>6464150000</v>
      </c>
      <c r="D1744" s="76">
        <f t="shared" si="88"/>
        <v>1068863187.0326548</v>
      </c>
    </row>
    <row r="1745" spans="1:4" x14ac:dyDescent="0.3">
      <c r="A1745">
        <v>840000</v>
      </c>
      <c r="B1745" s="29">
        <f t="shared" si="86"/>
        <v>5398481320.6580057</v>
      </c>
      <c r="C1745" s="39">
        <f t="shared" si="87"/>
        <v>6468000000</v>
      </c>
      <c r="D1745" s="76">
        <f t="shared" si="88"/>
        <v>1069518679.3419943</v>
      </c>
    </row>
    <row r="1746" spans="1:4" x14ac:dyDescent="0.3">
      <c r="A1746">
        <v>840500</v>
      </c>
      <c r="B1746" s="29">
        <f t="shared" si="86"/>
        <v>5401675828.3486652</v>
      </c>
      <c r="C1746" s="39">
        <f t="shared" si="87"/>
        <v>6471850000</v>
      </c>
      <c r="D1746" s="76">
        <f t="shared" si="88"/>
        <v>1070174171.6513348</v>
      </c>
    </row>
    <row r="1747" spans="1:4" x14ac:dyDescent="0.3">
      <c r="A1747">
        <v>841000</v>
      </c>
      <c r="B1747" s="29">
        <f t="shared" si="86"/>
        <v>5404870336.0393257</v>
      </c>
      <c r="C1747" s="39">
        <f t="shared" si="87"/>
        <v>6475700000</v>
      </c>
      <c r="D1747" s="76">
        <f t="shared" si="88"/>
        <v>1070829663.9606743</v>
      </c>
    </row>
    <row r="1748" spans="1:4" x14ac:dyDescent="0.3">
      <c r="A1748">
        <v>841500</v>
      </c>
      <c r="B1748" s="29">
        <f t="shared" si="86"/>
        <v>5408064843.7299852</v>
      </c>
      <c r="C1748" s="39">
        <f t="shared" si="87"/>
        <v>6479550000</v>
      </c>
      <c r="D1748" s="76">
        <f t="shared" si="88"/>
        <v>1071485156.2700148</v>
      </c>
    </row>
    <row r="1749" spans="1:4" x14ac:dyDescent="0.3">
      <c r="A1749">
        <v>842000</v>
      </c>
      <c r="B1749" s="29">
        <f t="shared" si="86"/>
        <v>5411259351.4206457</v>
      </c>
      <c r="C1749" s="39">
        <f t="shared" si="87"/>
        <v>6483400000</v>
      </c>
      <c r="D1749" s="76">
        <f t="shared" si="88"/>
        <v>1072140648.5793543</v>
      </c>
    </row>
    <row r="1750" spans="1:4" x14ac:dyDescent="0.3">
      <c r="A1750">
        <v>842500</v>
      </c>
      <c r="B1750" s="29">
        <f t="shared" si="86"/>
        <v>5414453859.1113052</v>
      </c>
      <c r="C1750" s="39">
        <f t="shared" si="87"/>
        <v>6487250000</v>
      </c>
      <c r="D1750" s="76">
        <f t="shared" si="88"/>
        <v>1072796140.8886948</v>
      </c>
    </row>
    <row r="1751" spans="1:4" x14ac:dyDescent="0.3">
      <c r="A1751">
        <v>843000</v>
      </c>
      <c r="B1751" s="29">
        <f t="shared" si="86"/>
        <v>5417648366.8019657</v>
      </c>
      <c r="C1751" s="39">
        <f t="shared" si="87"/>
        <v>6491100000</v>
      </c>
      <c r="D1751" s="76">
        <f t="shared" si="88"/>
        <v>1073451633.1980343</v>
      </c>
    </row>
    <row r="1752" spans="1:4" x14ac:dyDescent="0.3">
      <c r="A1752">
        <v>843500</v>
      </c>
      <c r="B1752" s="29">
        <f t="shared" si="86"/>
        <v>5420842874.4926252</v>
      </c>
      <c r="C1752" s="39">
        <f t="shared" si="87"/>
        <v>6494950000</v>
      </c>
      <c r="D1752" s="76">
        <f t="shared" si="88"/>
        <v>1074107125.5073748</v>
      </c>
    </row>
    <row r="1753" spans="1:4" x14ac:dyDescent="0.3">
      <c r="A1753">
        <v>844000</v>
      </c>
      <c r="B1753" s="29">
        <f t="shared" si="86"/>
        <v>5424037382.1832857</v>
      </c>
      <c r="C1753" s="39">
        <f t="shared" si="87"/>
        <v>6498800000</v>
      </c>
      <c r="D1753" s="76">
        <f t="shared" si="88"/>
        <v>1074762617.8167143</v>
      </c>
    </row>
    <row r="1754" spans="1:4" x14ac:dyDescent="0.3">
      <c r="A1754">
        <v>844500</v>
      </c>
      <c r="B1754" s="29">
        <f t="shared" si="86"/>
        <v>5427231889.8739452</v>
      </c>
      <c r="C1754" s="39">
        <f t="shared" si="87"/>
        <v>6502650000</v>
      </c>
      <c r="D1754" s="76">
        <f t="shared" si="88"/>
        <v>1075418110.1260548</v>
      </c>
    </row>
    <row r="1755" spans="1:4" x14ac:dyDescent="0.3">
      <c r="A1755">
        <v>845000</v>
      </c>
      <c r="B1755" s="29">
        <f t="shared" si="86"/>
        <v>5430426397.5646057</v>
      </c>
      <c r="C1755" s="39">
        <f t="shared" si="87"/>
        <v>6506500000</v>
      </c>
      <c r="D1755" s="76">
        <f t="shared" si="88"/>
        <v>1076073602.4353943</v>
      </c>
    </row>
    <row r="1756" spans="1:4" x14ac:dyDescent="0.3">
      <c r="A1756">
        <v>845500</v>
      </c>
      <c r="B1756" s="29">
        <f t="shared" si="86"/>
        <v>5433620905.2552652</v>
      </c>
      <c r="C1756" s="39">
        <f t="shared" si="87"/>
        <v>6510350000</v>
      </c>
      <c r="D1756" s="76">
        <f t="shared" si="88"/>
        <v>1076729094.7447348</v>
      </c>
    </row>
    <row r="1757" spans="1:4" x14ac:dyDescent="0.3">
      <c r="A1757">
        <v>846000</v>
      </c>
      <c r="B1757" s="29">
        <f t="shared" si="86"/>
        <v>5436815412.9459257</v>
      </c>
      <c r="C1757" s="39">
        <f t="shared" si="87"/>
        <v>6514200000</v>
      </c>
      <c r="D1757" s="76">
        <f t="shared" si="88"/>
        <v>1077384587.0540743</v>
      </c>
    </row>
    <row r="1758" spans="1:4" x14ac:dyDescent="0.3">
      <c r="A1758">
        <v>846500</v>
      </c>
      <c r="B1758" s="29">
        <f t="shared" si="86"/>
        <v>5440009920.6365852</v>
      </c>
      <c r="C1758" s="39">
        <f t="shared" si="87"/>
        <v>6518050000</v>
      </c>
      <c r="D1758" s="76">
        <f t="shared" si="88"/>
        <v>1078040079.3634148</v>
      </c>
    </row>
    <row r="1759" spans="1:4" x14ac:dyDescent="0.3">
      <c r="A1759">
        <v>847000</v>
      </c>
      <c r="B1759" s="29">
        <f t="shared" si="86"/>
        <v>5443204428.3272457</v>
      </c>
      <c r="C1759" s="39">
        <f t="shared" si="87"/>
        <v>6521900000</v>
      </c>
      <c r="D1759" s="76">
        <f t="shared" si="88"/>
        <v>1078695571.6727543</v>
      </c>
    </row>
    <row r="1760" spans="1:4" x14ac:dyDescent="0.3">
      <c r="A1760">
        <v>847500</v>
      </c>
      <c r="B1760" s="29">
        <f t="shared" si="86"/>
        <v>5446398936.0179052</v>
      </c>
      <c r="C1760" s="39">
        <f t="shared" si="87"/>
        <v>6525750000</v>
      </c>
      <c r="D1760" s="76">
        <f t="shared" si="88"/>
        <v>1079351063.9820948</v>
      </c>
    </row>
    <row r="1761" spans="1:4" x14ac:dyDescent="0.3">
      <c r="A1761">
        <v>848000</v>
      </c>
      <c r="B1761" s="29">
        <f t="shared" si="86"/>
        <v>5449593443.7085657</v>
      </c>
      <c r="C1761" s="39">
        <f t="shared" si="87"/>
        <v>6529600000</v>
      </c>
      <c r="D1761" s="76">
        <f t="shared" si="88"/>
        <v>1080006556.2914343</v>
      </c>
    </row>
    <row r="1762" spans="1:4" x14ac:dyDescent="0.3">
      <c r="A1762">
        <v>848500</v>
      </c>
      <c r="B1762" s="29">
        <f t="shared" si="86"/>
        <v>5452787951.3992252</v>
      </c>
      <c r="C1762" s="39">
        <f t="shared" si="87"/>
        <v>6533450000</v>
      </c>
      <c r="D1762" s="76">
        <f t="shared" si="88"/>
        <v>1080662048.6007748</v>
      </c>
    </row>
    <row r="1763" spans="1:4" x14ac:dyDescent="0.3">
      <c r="A1763">
        <v>849000</v>
      </c>
      <c r="B1763" s="29">
        <f t="shared" si="86"/>
        <v>5455982459.0898857</v>
      </c>
      <c r="C1763" s="39">
        <f t="shared" si="87"/>
        <v>6537300000</v>
      </c>
      <c r="D1763" s="76">
        <f t="shared" si="88"/>
        <v>1081317540.9101143</v>
      </c>
    </row>
    <row r="1764" spans="1:4" x14ac:dyDescent="0.3">
      <c r="A1764">
        <v>849500</v>
      </c>
      <c r="B1764" s="29">
        <f t="shared" si="86"/>
        <v>5459176966.7805452</v>
      </c>
      <c r="C1764" s="39">
        <f t="shared" si="87"/>
        <v>6541150000</v>
      </c>
      <c r="D1764" s="76">
        <f t="shared" si="88"/>
        <v>1081973033.2194548</v>
      </c>
    </row>
    <row r="1765" spans="1:4" x14ac:dyDescent="0.3">
      <c r="A1765">
        <v>850000</v>
      </c>
      <c r="B1765" s="29">
        <f t="shared" si="86"/>
        <v>5462371474.4712057</v>
      </c>
      <c r="C1765" s="39">
        <f t="shared" si="87"/>
        <v>6545000000</v>
      </c>
      <c r="D1765" s="76">
        <f t="shared" si="88"/>
        <v>1082628525.5287943</v>
      </c>
    </row>
    <row r="1766" spans="1:4" x14ac:dyDescent="0.3">
      <c r="A1766">
        <v>850500</v>
      </c>
      <c r="B1766" s="29">
        <f t="shared" si="86"/>
        <v>5465565982.1618652</v>
      </c>
      <c r="C1766" s="39">
        <f t="shared" si="87"/>
        <v>6548850000</v>
      </c>
      <c r="D1766" s="76">
        <f t="shared" si="88"/>
        <v>1083284017.8381348</v>
      </c>
    </row>
    <row r="1767" spans="1:4" x14ac:dyDescent="0.3">
      <c r="A1767">
        <v>851000</v>
      </c>
      <c r="B1767" s="29">
        <f t="shared" si="86"/>
        <v>5468760489.8525257</v>
      </c>
      <c r="C1767" s="39">
        <f t="shared" si="87"/>
        <v>6552700000</v>
      </c>
      <c r="D1767" s="76">
        <f t="shared" si="88"/>
        <v>1083939510.1474743</v>
      </c>
    </row>
    <row r="1768" spans="1:4" x14ac:dyDescent="0.3">
      <c r="A1768">
        <v>851500</v>
      </c>
      <c r="B1768" s="29">
        <f t="shared" si="86"/>
        <v>5471954997.5431852</v>
      </c>
      <c r="C1768" s="39">
        <f t="shared" si="87"/>
        <v>6556550000</v>
      </c>
      <c r="D1768" s="76">
        <f t="shared" si="88"/>
        <v>1084595002.4568148</v>
      </c>
    </row>
    <row r="1769" spans="1:4" x14ac:dyDescent="0.3">
      <c r="A1769">
        <v>852000</v>
      </c>
      <c r="B1769" s="29">
        <f t="shared" si="86"/>
        <v>5475149505.2338457</v>
      </c>
      <c r="C1769" s="39">
        <f t="shared" si="87"/>
        <v>6560400000</v>
      </c>
      <c r="D1769" s="76">
        <f t="shared" si="88"/>
        <v>1085250494.7661543</v>
      </c>
    </row>
    <row r="1770" spans="1:4" x14ac:dyDescent="0.3">
      <c r="A1770">
        <v>852500</v>
      </c>
      <c r="B1770" s="29">
        <f t="shared" si="86"/>
        <v>5478344012.9245052</v>
      </c>
      <c r="C1770" s="39">
        <f t="shared" si="87"/>
        <v>6564250000</v>
      </c>
      <c r="D1770" s="76">
        <f t="shared" si="88"/>
        <v>1085905987.0754948</v>
      </c>
    </row>
    <row r="1771" spans="1:4" x14ac:dyDescent="0.3">
      <c r="A1771">
        <v>853000</v>
      </c>
      <c r="B1771" s="29">
        <f t="shared" si="86"/>
        <v>5481538520.6151657</v>
      </c>
      <c r="C1771" s="39">
        <f t="shared" si="87"/>
        <v>6568100000</v>
      </c>
      <c r="D1771" s="76">
        <f t="shared" si="88"/>
        <v>1086561479.3848343</v>
      </c>
    </row>
    <row r="1772" spans="1:4" x14ac:dyDescent="0.3">
      <c r="A1772">
        <v>853500</v>
      </c>
      <c r="B1772" s="29">
        <f t="shared" si="86"/>
        <v>5484733028.3058252</v>
      </c>
      <c r="C1772" s="39">
        <f t="shared" si="87"/>
        <v>6571950000</v>
      </c>
      <c r="D1772" s="76">
        <f t="shared" si="88"/>
        <v>1087216971.6941748</v>
      </c>
    </row>
    <row r="1773" spans="1:4" x14ac:dyDescent="0.3">
      <c r="A1773">
        <v>854000</v>
      </c>
      <c r="B1773" s="29">
        <f t="shared" si="86"/>
        <v>5487927535.9964857</v>
      </c>
      <c r="C1773" s="39">
        <f t="shared" si="87"/>
        <v>6575800000</v>
      </c>
      <c r="D1773" s="76">
        <f t="shared" si="88"/>
        <v>1087872464.0035143</v>
      </c>
    </row>
    <row r="1774" spans="1:4" x14ac:dyDescent="0.3">
      <c r="A1774">
        <v>854500</v>
      </c>
      <c r="B1774" s="29">
        <f t="shared" si="86"/>
        <v>5491122043.6871452</v>
      </c>
      <c r="C1774" s="39">
        <f t="shared" si="87"/>
        <v>6579650000</v>
      </c>
      <c r="D1774" s="76">
        <f t="shared" si="88"/>
        <v>1088527956.3128548</v>
      </c>
    </row>
    <row r="1775" spans="1:4" x14ac:dyDescent="0.3">
      <c r="A1775">
        <v>855000</v>
      </c>
      <c r="B1775" s="29">
        <f t="shared" si="86"/>
        <v>5494316551.3778057</v>
      </c>
      <c r="C1775" s="39">
        <f t="shared" si="87"/>
        <v>6583500000</v>
      </c>
      <c r="D1775" s="76">
        <f t="shared" si="88"/>
        <v>1089183448.6221943</v>
      </c>
    </row>
    <row r="1776" spans="1:4" x14ac:dyDescent="0.3">
      <c r="A1776">
        <v>855500</v>
      </c>
      <c r="B1776" s="29">
        <f t="shared" si="86"/>
        <v>5497511059.0684652</v>
      </c>
      <c r="C1776" s="39">
        <f t="shared" si="87"/>
        <v>6587350000</v>
      </c>
      <c r="D1776" s="76">
        <f t="shared" si="88"/>
        <v>1089838940.9315348</v>
      </c>
    </row>
    <row r="1777" spans="1:4" x14ac:dyDescent="0.3">
      <c r="A1777">
        <v>856000</v>
      </c>
      <c r="B1777" s="29">
        <f t="shared" si="86"/>
        <v>5500705566.7591257</v>
      </c>
      <c r="C1777" s="39">
        <f t="shared" si="87"/>
        <v>6591200000</v>
      </c>
      <c r="D1777" s="76">
        <f t="shared" si="88"/>
        <v>1090494433.2408743</v>
      </c>
    </row>
    <row r="1778" spans="1:4" x14ac:dyDescent="0.3">
      <c r="A1778">
        <v>856500</v>
      </c>
      <c r="B1778" s="29">
        <f t="shared" si="86"/>
        <v>5503900074.4497852</v>
      </c>
      <c r="C1778" s="39">
        <f t="shared" si="87"/>
        <v>6595050000</v>
      </c>
      <c r="D1778" s="76">
        <f t="shared" si="88"/>
        <v>1091149925.5502148</v>
      </c>
    </row>
    <row r="1779" spans="1:4" x14ac:dyDescent="0.3">
      <c r="A1779">
        <v>857000</v>
      </c>
      <c r="B1779" s="29">
        <f t="shared" si="86"/>
        <v>5507094582.1404457</v>
      </c>
      <c r="C1779" s="39">
        <f t="shared" si="87"/>
        <v>6598900000</v>
      </c>
      <c r="D1779" s="76">
        <f t="shared" si="88"/>
        <v>1091805417.8595543</v>
      </c>
    </row>
    <row r="1780" spans="1:4" x14ac:dyDescent="0.3">
      <c r="A1780">
        <v>857500</v>
      </c>
      <c r="B1780" s="29">
        <f t="shared" si="86"/>
        <v>5510289089.8311052</v>
      </c>
      <c r="C1780" s="39">
        <f t="shared" si="87"/>
        <v>6602750000</v>
      </c>
      <c r="D1780" s="76">
        <f t="shared" si="88"/>
        <v>1092460910.1688948</v>
      </c>
    </row>
    <row r="1781" spans="1:4" x14ac:dyDescent="0.3">
      <c r="A1781">
        <v>858000</v>
      </c>
      <c r="B1781" s="29">
        <f t="shared" si="86"/>
        <v>5513483597.5217657</v>
      </c>
      <c r="C1781" s="39">
        <f t="shared" si="87"/>
        <v>6606600000</v>
      </c>
      <c r="D1781" s="76">
        <f t="shared" si="88"/>
        <v>1093116402.4782343</v>
      </c>
    </row>
    <row r="1782" spans="1:4" x14ac:dyDescent="0.3">
      <c r="A1782">
        <v>858500</v>
      </c>
      <c r="B1782" s="29">
        <f t="shared" si="86"/>
        <v>5516678105.2124252</v>
      </c>
      <c r="C1782" s="39">
        <f t="shared" si="87"/>
        <v>6610450000</v>
      </c>
      <c r="D1782" s="76">
        <f t="shared" si="88"/>
        <v>1093771894.7875748</v>
      </c>
    </row>
    <row r="1783" spans="1:4" x14ac:dyDescent="0.3">
      <c r="A1783">
        <v>859000</v>
      </c>
      <c r="B1783" s="29">
        <f t="shared" si="86"/>
        <v>5519872612.9030857</v>
      </c>
      <c r="C1783" s="39">
        <f t="shared" si="87"/>
        <v>6614300000</v>
      </c>
      <c r="D1783" s="76">
        <f t="shared" si="88"/>
        <v>1094427387.0969143</v>
      </c>
    </row>
    <row r="1784" spans="1:4" x14ac:dyDescent="0.3">
      <c r="A1784">
        <v>859500</v>
      </c>
      <c r="B1784" s="29">
        <f t="shared" si="86"/>
        <v>5523067120.5937452</v>
      </c>
      <c r="C1784" s="39">
        <f t="shared" si="87"/>
        <v>6618150000</v>
      </c>
      <c r="D1784" s="76">
        <f t="shared" si="88"/>
        <v>1095082879.4062548</v>
      </c>
    </row>
    <row r="1785" spans="1:4" x14ac:dyDescent="0.3">
      <c r="A1785">
        <v>860000</v>
      </c>
      <c r="B1785" s="29">
        <f t="shared" si="86"/>
        <v>5526261628.2844057</v>
      </c>
      <c r="C1785" s="39">
        <f t="shared" si="87"/>
        <v>6622000000</v>
      </c>
      <c r="D1785" s="76">
        <f t="shared" si="88"/>
        <v>1095738371.7155943</v>
      </c>
    </row>
    <row r="1786" spans="1:4" x14ac:dyDescent="0.3">
      <c r="A1786">
        <v>860500</v>
      </c>
      <c r="B1786" s="29">
        <f t="shared" si="86"/>
        <v>5529456135.9750652</v>
      </c>
      <c r="C1786" s="39">
        <f t="shared" si="87"/>
        <v>6625850000</v>
      </c>
      <c r="D1786" s="76">
        <f t="shared" si="88"/>
        <v>1096393864.0249348</v>
      </c>
    </row>
    <row r="1787" spans="1:4" x14ac:dyDescent="0.3">
      <c r="A1787">
        <v>861000</v>
      </c>
      <c r="B1787" s="29">
        <f t="shared" si="86"/>
        <v>5532650643.6657257</v>
      </c>
      <c r="C1787" s="39">
        <f t="shared" si="87"/>
        <v>6629700000</v>
      </c>
      <c r="D1787" s="76">
        <f t="shared" si="88"/>
        <v>1097049356.3342743</v>
      </c>
    </row>
    <row r="1788" spans="1:4" x14ac:dyDescent="0.3">
      <c r="A1788">
        <v>861500</v>
      </c>
      <c r="B1788" s="29">
        <f t="shared" si="86"/>
        <v>5535845151.3563852</v>
      </c>
      <c r="C1788" s="39">
        <f t="shared" si="87"/>
        <v>6633550000</v>
      </c>
      <c r="D1788" s="76">
        <f t="shared" si="88"/>
        <v>1097704848.6436148</v>
      </c>
    </row>
    <row r="1789" spans="1:4" x14ac:dyDescent="0.3">
      <c r="A1789">
        <v>862000</v>
      </c>
      <c r="B1789" s="29">
        <f t="shared" si="86"/>
        <v>5539039659.0470457</v>
      </c>
      <c r="C1789" s="39">
        <f t="shared" si="87"/>
        <v>6637400000</v>
      </c>
      <c r="D1789" s="76">
        <f t="shared" si="88"/>
        <v>1098360340.9529543</v>
      </c>
    </row>
    <row r="1790" spans="1:4" x14ac:dyDescent="0.3">
      <c r="A1790">
        <v>862500</v>
      </c>
      <c r="B1790" s="29">
        <f t="shared" si="86"/>
        <v>5542234166.7377052</v>
      </c>
      <c r="C1790" s="39">
        <f t="shared" si="87"/>
        <v>6641250000</v>
      </c>
      <c r="D1790" s="76">
        <f t="shared" si="88"/>
        <v>1099015833.2622948</v>
      </c>
    </row>
    <row r="1791" spans="1:4" x14ac:dyDescent="0.3">
      <c r="A1791">
        <v>863000</v>
      </c>
      <c r="B1791" s="29">
        <f t="shared" si="86"/>
        <v>5545428674.4283657</v>
      </c>
      <c r="C1791" s="39">
        <f t="shared" si="87"/>
        <v>6645100000</v>
      </c>
      <c r="D1791" s="76">
        <f t="shared" si="88"/>
        <v>1099671325.5716343</v>
      </c>
    </row>
    <row r="1792" spans="1:4" x14ac:dyDescent="0.3">
      <c r="A1792">
        <v>863500</v>
      </c>
      <c r="B1792" s="29">
        <f t="shared" si="86"/>
        <v>5548623182.1190252</v>
      </c>
      <c r="C1792" s="39">
        <f t="shared" si="87"/>
        <v>6648950000</v>
      </c>
      <c r="D1792" s="76">
        <f t="shared" si="88"/>
        <v>1100326817.8809748</v>
      </c>
    </row>
    <row r="1793" spans="1:4" x14ac:dyDescent="0.3">
      <c r="A1793">
        <v>864000</v>
      </c>
      <c r="B1793" s="29">
        <f t="shared" si="86"/>
        <v>5551817689.8096857</v>
      </c>
      <c r="C1793" s="39">
        <f t="shared" si="87"/>
        <v>6652800000</v>
      </c>
      <c r="D1793" s="76">
        <f t="shared" si="88"/>
        <v>1100982310.1903143</v>
      </c>
    </row>
    <row r="1794" spans="1:4" x14ac:dyDescent="0.3">
      <c r="A1794">
        <v>864500</v>
      </c>
      <c r="B1794" s="29">
        <f t="shared" ref="B1794:B1857" si="89">$B$54+($B$60*A1794)</f>
        <v>5555012197.5003452</v>
      </c>
      <c r="C1794" s="39">
        <f t="shared" ref="C1794:C1857" si="90">$E$50*A1794</f>
        <v>6656650000</v>
      </c>
      <c r="D1794" s="76">
        <f t="shared" ref="D1794:D1857" si="91">C1794-B1794</f>
        <v>1101637802.4996548</v>
      </c>
    </row>
    <row r="1795" spans="1:4" x14ac:dyDescent="0.3">
      <c r="A1795">
        <v>865000</v>
      </c>
      <c r="B1795" s="29">
        <f t="shared" si="89"/>
        <v>5558206705.1910057</v>
      </c>
      <c r="C1795" s="39">
        <f t="shared" si="90"/>
        <v>6660500000</v>
      </c>
      <c r="D1795" s="76">
        <f t="shared" si="91"/>
        <v>1102293294.8089943</v>
      </c>
    </row>
    <row r="1796" spans="1:4" x14ac:dyDescent="0.3">
      <c r="A1796">
        <v>865500</v>
      </c>
      <c r="B1796" s="29">
        <f t="shared" si="89"/>
        <v>5561401212.8816652</v>
      </c>
      <c r="C1796" s="39">
        <f t="shared" si="90"/>
        <v>6664350000</v>
      </c>
      <c r="D1796" s="76">
        <f t="shared" si="91"/>
        <v>1102948787.1183348</v>
      </c>
    </row>
    <row r="1797" spans="1:4" x14ac:dyDescent="0.3">
      <c r="A1797">
        <v>866000</v>
      </c>
      <c r="B1797" s="29">
        <f t="shared" si="89"/>
        <v>5564595720.5723257</v>
      </c>
      <c r="C1797" s="39">
        <f t="shared" si="90"/>
        <v>6668200000</v>
      </c>
      <c r="D1797" s="76">
        <f t="shared" si="91"/>
        <v>1103604279.4276743</v>
      </c>
    </row>
    <row r="1798" spans="1:4" x14ac:dyDescent="0.3">
      <c r="A1798">
        <v>866500</v>
      </c>
      <c r="B1798" s="29">
        <f t="shared" si="89"/>
        <v>5567790228.2629852</v>
      </c>
      <c r="C1798" s="39">
        <f t="shared" si="90"/>
        <v>6672050000</v>
      </c>
      <c r="D1798" s="76">
        <f t="shared" si="91"/>
        <v>1104259771.7370148</v>
      </c>
    </row>
    <row r="1799" spans="1:4" x14ac:dyDescent="0.3">
      <c r="A1799">
        <v>867000</v>
      </c>
      <c r="B1799" s="29">
        <f t="shared" si="89"/>
        <v>5570984735.9536457</v>
      </c>
      <c r="C1799" s="39">
        <f t="shared" si="90"/>
        <v>6675900000</v>
      </c>
      <c r="D1799" s="76">
        <f t="shared" si="91"/>
        <v>1104915264.0463543</v>
      </c>
    </row>
    <row r="1800" spans="1:4" x14ac:dyDescent="0.3">
      <c r="A1800">
        <v>867500</v>
      </c>
      <c r="B1800" s="29">
        <f t="shared" si="89"/>
        <v>5574179243.6443052</v>
      </c>
      <c r="C1800" s="39">
        <f t="shared" si="90"/>
        <v>6679750000</v>
      </c>
      <c r="D1800" s="76">
        <f t="shared" si="91"/>
        <v>1105570756.3556948</v>
      </c>
    </row>
    <row r="1801" spans="1:4" x14ac:dyDescent="0.3">
      <c r="A1801">
        <v>868000</v>
      </c>
      <c r="B1801" s="29">
        <f t="shared" si="89"/>
        <v>5577373751.3349657</v>
      </c>
      <c r="C1801" s="39">
        <f t="shared" si="90"/>
        <v>6683600000</v>
      </c>
      <c r="D1801" s="76">
        <f t="shared" si="91"/>
        <v>1106226248.6650343</v>
      </c>
    </row>
    <row r="1802" spans="1:4" x14ac:dyDescent="0.3">
      <c r="A1802">
        <v>868500</v>
      </c>
      <c r="B1802" s="29">
        <f t="shared" si="89"/>
        <v>5580568259.0256252</v>
      </c>
      <c r="C1802" s="39">
        <f t="shared" si="90"/>
        <v>6687450000</v>
      </c>
      <c r="D1802" s="76">
        <f t="shared" si="91"/>
        <v>1106881740.9743748</v>
      </c>
    </row>
    <row r="1803" spans="1:4" x14ac:dyDescent="0.3">
      <c r="A1803">
        <v>869000</v>
      </c>
      <c r="B1803" s="29">
        <f t="shared" si="89"/>
        <v>5583762766.7162857</v>
      </c>
      <c r="C1803" s="39">
        <f t="shared" si="90"/>
        <v>6691300000</v>
      </c>
      <c r="D1803" s="76">
        <f t="shared" si="91"/>
        <v>1107537233.2837143</v>
      </c>
    </row>
    <row r="1804" spans="1:4" x14ac:dyDescent="0.3">
      <c r="A1804">
        <v>869500</v>
      </c>
      <c r="B1804" s="29">
        <f t="shared" si="89"/>
        <v>5586957274.4069452</v>
      </c>
      <c r="C1804" s="39">
        <f t="shared" si="90"/>
        <v>6695150000</v>
      </c>
      <c r="D1804" s="76">
        <f t="shared" si="91"/>
        <v>1108192725.5930548</v>
      </c>
    </row>
    <row r="1805" spans="1:4" x14ac:dyDescent="0.3">
      <c r="A1805">
        <v>870000</v>
      </c>
      <c r="B1805" s="29">
        <f t="shared" si="89"/>
        <v>5590151782.0976057</v>
      </c>
      <c r="C1805" s="39">
        <f t="shared" si="90"/>
        <v>6699000000</v>
      </c>
      <c r="D1805" s="76">
        <f t="shared" si="91"/>
        <v>1108848217.9023943</v>
      </c>
    </row>
    <row r="1806" spans="1:4" x14ac:dyDescent="0.3">
      <c r="A1806">
        <v>870500</v>
      </c>
      <c r="B1806" s="29">
        <f t="shared" si="89"/>
        <v>5593346289.7882652</v>
      </c>
      <c r="C1806" s="39">
        <f t="shared" si="90"/>
        <v>6702850000</v>
      </c>
      <c r="D1806" s="76">
        <f t="shared" si="91"/>
        <v>1109503710.2117348</v>
      </c>
    </row>
    <row r="1807" spans="1:4" x14ac:dyDescent="0.3">
      <c r="A1807">
        <v>871000</v>
      </c>
      <c r="B1807" s="29">
        <f t="shared" si="89"/>
        <v>5596540797.4789257</v>
      </c>
      <c r="C1807" s="39">
        <f t="shared" si="90"/>
        <v>6706700000</v>
      </c>
      <c r="D1807" s="76">
        <f t="shared" si="91"/>
        <v>1110159202.5210743</v>
      </c>
    </row>
    <row r="1808" spans="1:4" x14ac:dyDescent="0.3">
      <c r="A1808">
        <v>871500</v>
      </c>
      <c r="B1808" s="29">
        <f t="shared" si="89"/>
        <v>5599735305.1695852</v>
      </c>
      <c r="C1808" s="39">
        <f t="shared" si="90"/>
        <v>6710550000</v>
      </c>
      <c r="D1808" s="76">
        <f t="shared" si="91"/>
        <v>1110814694.8304148</v>
      </c>
    </row>
    <row r="1809" spans="1:4" x14ac:dyDescent="0.3">
      <c r="A1809">
        <v>872000</v>
      </c>
      <c r="B1809" s="29">
        <f t="shared" si="89"/>
        <v>5602929812.8602457</v>
      </c>
      <c r="C1809" s="39">
        <f t="shared" si="90"/>
        <v>6714400000</v>
      </c>
      <c r="D1809" s="76">
        <f t="shared" si="91"/>
        <v>1111470187.1397543</v>
      </c>
    </row>
    <row r="1810" spans="1:4" x14ac:dyDescent="0.3">
      <c r="A1810">
        <v>872500</v>
      </c>
      <c r="B1810" s="29">
        <f t="shared" si="89"/>
        <v>5606124320.5509052</v>
      </c>
      <c r="C1810" s="39">
        <f t="shared" si="90"/>
        <v>6718250000</v>
      </c>
      <c r="D1810" s="76">
        <f t="shared" si="91"/>
        <v>1112125679.4490948</v>
      </c>
    </row>
    <row r="1811" spans="1:4" x14ac:dyDescent="0.3">
      <c r="A1811">
        <v>873000</v>
      </c>
      <c r="B1811" s="29">
        <f t="shared" si="89"/>
        <v>5609318828.2415657</v>
      </c>
      <c r="C1811" s="39">
        <f t="shared" si="90"/>
        <v>6722100000</v>
      </c>
      <c r="D1811" s="76">
        <f t="shared" si="91"/>
        <v>1112781171.7584343</v>
      </c>
    </row>
    <row r="1812" spans="1:4" x14ac:dyDescent="0.3">
      <c r="A1812">
        <v>873500</v>
      </c>
      <c r="B1812" s="29">
        <f t="shared" si="89"/>
        <v>5612513335.9322252</v>
      </c>
      <c r="C1812" s="39">
        <f t="shared" si="90"/>
        <v>6725950000</v>
      </c>
      <c r="D1812" s="76">
        <f t="shared" si="91"/>
        <v>1113436664.0677748</v>
      </c>
    </row>
    <row r="1813" spans="1:4" x14ac:dyDescent="0.3">
      <c r="A1813">
        <v>874000</v>
      </c>
      <c r="B1813" s="29">
        <f t="shared" si="89"/>
        <v>5615707843.6228857</v>
      </c>
      <c r="C1813" s="39">
        <f t="shared" si="90"/>
        <v>6729800000</v>
      </c>
      <c r="D1813" s="76">
        <f t="shared" si="91"/>
        <v>1114092156.3771143</v>
      </c>
    </row>
    <row r="1814" spans="1:4" x14ac:dyDescent="0.3">
      <c r="A1814">
        <v>874500</v>
      </c>
      <c r="B1814" s="29">
        <f t="shared" si="89"/>
        <v>5618902351.3135452</v>
      </c>
      <c r="C1814" s="39">
        <f t="shared" si="90"/>
        <v>6733650000</v>
      </c>
      <c r="D1814" s="76">
        <f t="shared" si="91"/>
        <v>1114747648.6864548</v>
      </c>
    </row>
    <row r="1815" spans="1:4" x14ac:dyDescent="0.3">
      <c r="A1815">
        <v>875000</v>
      </c>
      <c r="B1815" s="29">
        <f t="shared" si="89"/>
        <v>5622096859.0042057</v>
      </c>
      <c r="C1815" s="39">
        <f t="shared" si="90"/>
        <v>6737500000</v>
      </c>
      <c r="D1815" s="76">
        <f t="shared" si="91"/>
        <v>1115403140.9957943</v>
      </c>
    </row>
    <row r="1816" spans="1:4" x14ac:dyDescent="0.3">
      <c r="A1816">
        <v>875500</v>
      </c>
      <c r="B1816" s="29">
        <f t="shared" si="89"/>
        <v>5625291366.6948652</v>
      </c>
      <c r="C1816" s="39">
        <f t="shared" si="90"/>
        <v>6741350000</v>
      </c>
      <c r="D1816" s="76">
        <f t="shared" si="91"/>
        <v>1116058633.3051348</v>
      </c>
    </row>
    <row r="1817" spans="1:4" x14ac:dyDescent="0.3">
      <c r="A1817">
        <v>876000</v>
      </c>
      <c r="B1817" s="29">
        <f t="shared" si="89"/>
        <v>5628485874.3855257</v>
      </c>
      <c r="C1817" s="39">
        <f t="shared" si="90"/>
        <v>6745200000</v>
      </c>
      <c r="D1817" s="76">
        <f t="shared" si="91"/>
        <v>1116714125.6144743</v>
      </c>
    </row>
    <row r="1818" spans="1:4" x14ac:dyDescent="0.3">
      <c r="A1818">
        <v>876500</v>
      </c>
      <c r="B1818" s="29">
        <f t="shared" si="89"/>
        <v>5631680382.0761852</v>
      </c>
      <c r="C1818" s="39">
        <f t="shared" si="90"/>
        <v>6749050000</v>
      </c>
      <c r="D1818" s="76">
        <f t="shared" si="91"/>
        <v>1117369617.9238148</v>
      </c>
    </row>
    <row r="1819" spans="1:4" x14ac:dyDescent="0.3">
      <c r="A1819">
        <v>877000</v>
      </c>
      <c r="B1819" s="29">
        <f t="shared" si="89"/>
        <v>5634874889.7668457</v>
      </c>
      <c r="C1819" s="39">
        <f t="shared" si="90"/>
        <v>6752900000</v>
      </c>
      <c r="D1819" s="76">
        <f t="shared" si="91"/>
        <v>1118025110.2331543</v>
      </c>
    </row>
    <row r="1820" spans="1:4" x14ac:dyDescent="0.3">
      <c r="A1820">
        <v>877500</v>
      </c>
      <c r="B1820" s="29">
        <f t="shared" si="89"/>
        <v>5638069397.4575052</v>
      </c>
      <c r="C1820" s="39">
        <f t="shared" si="90"/>
        <v>6756750000</v>
      </c>
      <c r="D1820" s="76">
        <f t="shared" si="91"/>
        <v>1118680602.5424948</v>
      </c>
    </row>
    <row r="1821" spans="1:4" x14ac:dyDescent="0.3">
      <c r="A1821">
        <v>878000</v>
      </c>
      <c r="B1821" s="29">
        <f t="shared" si="89"/>
        <v>5641263905.1481657</v>
      </c>
      <c r="C1821" s="39">
        <f t="shared" si="90"/>
        <v>6760600000</v>
      </c>
      <c r="D1821" s="76">
        <f t="shared" si="91"/>
        <v>1119336094.8518343</v>
      </c>
    </row>
    <row r="1822" spans="1:4" x14ac:dyDescent="0.3">
      <c r="A1822">
        <v>878500</v>
      </c>
      <c r="B1822" s="29">
        <f t="shared" si="89"/>
        <v>5644458412.8388252</v>
      </c>
      <c r="C1822" s="39">
        <f t="shared" si="90"/>
        <v>6764450000</v>
      </c>
      <c r="D1822" s="76">
        <f t="shared" si="91"/>
        <v>1119991587.1611748</v>
      </c>
    </row>
    <row r="1823" spans="1:4" x14ac:dyDescent="0.3">
      <c r="A1823">
        <v>879000</v>
      </c>
      <c r="B1823" s="29">
        <f t="shared" si="89"/>
        <v>5647652920.5294857</v>
      </c>
      <c r="C1823" s="39">
        <f t="shared" si="90"/>
        <v>6768300000</v>
      </c>
      <c r="D1823" s="76">
        <f t="shared" si="91"/>
        <v>1120647079.4705143</v>
      </c>
    </row>
    <row r="1824" spans="1:4" x14ac:dyDescent="0.3">
      <c r="A1824">
        <v>879500</v>
      </c>
      <c r="B1824" s="29">
        <f t="shared" si="89"/>
        <v>5650847428.2201452</v>
      </c>
      <c r="C1824" s="39">
        <f t="shared" si="90"/>
        <v>6772150000</v>
      </c>
      <c r="D1824" s="76">
        <f t="shared" si="91"/>
        <v>1121302571.7798548</v>
      </c>
    </row>
    <row r="1825" spans="1:4" x14ac:dyDescent="0.3">
      <c r="A1825">
        <v>880000</v>
      </c>
      <c r="B1825" s="29">
        <f t="shared" si="89"/>
        <v>5654041935.9108057</v>
      </c>
      <c r="C1825" s="39">
        <f t="shared" si="90"/>
        <v>6776000000</v>
      </c>
      <c r="D1825" s="76">
        <f t="shared" si="91"/>
        <v>1121958064.0891943</v>
      </c>
    </row>
    <row r="1826" spans="1:4" x14ac:dyDescent="0.3">
      <c r="A1826">
        <v>880500</v>
      </c>
      <c r="B1826" s="29">
        <f t="shared" si="89"/>
        <v>5657236443.6014652</v>
      </c>
      <c r="C1826" s="39">
        <f t="shared" si="90"/>
        <v>6779850000</v>
      </c>
      <c r="D1826" s="76">
        <f t="shared" si="91"/>
        <v>1122613556.3985348</v>
      </c>
    </row>
    <row r="1827" spans="1:4" x14ac:dyDescent="0.3">
      <c r="A1827">
        <v>881000</v>
      </c>
      <c r="B1827" s="29">
        <f t="shared" si="89"/>
        <v>5660430951.2921257</v>
      </c>
      <c r="C1827" s="39">
        <f t="shared" si="90"/>
        <v>6783700000</v>
      </c>
      <c r="D1827" s="76">
        <f t="shared" si="91"/>
        <v>1123269048.7078743</v>
      </c>
    </row>
    <row r="1828" spans="1:4" x14ac:dyDescent="0.3">
      <c r="A1828">
        <v>881500</v>
      </c>
      <c r="B1828" s="29">
        <f t="shared" si="89"/>
        <v>5663625458.9827852</v>
      </c>
      <c r="C1828" s="39">
        <f t="shared" si="90"/>
        <v>6787550000</v>
      </c>
      <c r="D1828" s="76">
        <f t="shared" si="91"/>
        <v>1123924541.0172148</v>
      </c>
    </row>
    <row r="1829" spans="1:4" x14ac:dyDescent="0.3">
      <c r="A1829">
        <v>882000</v>
      </c>
      <c r="B1829" s="29">
        <f t="shared" si="89"/>
        <v>5666819966.6734457</v>
      </c>
      <c r="C1829" s="39">
        <f t="shared" si="90"/>
        <v>6791400000</v>
      </c>
      <c r="D1829" s="76">
        <f t="shared" si="91"/>
        <v>1124580033.3265543</v>
      </c>
    </row>
    <row r="1830" spans="1:4" x14ac:dyDescent="0.3">
      <c r="A1830">
        <v>882500</v>
      </c>
      <c r="B1830" s="29">
        <f t="shared" si="89"/>
        <v>5670014474.3641052</v>
      </c>
      <c r="C1830" s="39">
        <f t="shared" si="90"/>
        <v>6795250000</v>
      </c>
      <c r="D1830" s="76">
        <f t="shared" si="91"/>
        <v>1125235525.6358948</v>
      </c>
    </row>
    <row r="1831" spans="1:4" x14ac:dyDescent="0.3">
      <c r="A1831">
        <v>883000</v>
      </c>
      <c r="B1831" s="29">
        <f t="shared" si="89"/>
        <v>5673208982.0547657</v>
      </c>
      <c r="C1831" s="39">
        <f t="shared" si="90"/>
        <v>6799100000</v>
      </c>
      <c r="D1831" s="76">
        <f t="shared" si="91"/>
        <v>1125891017.9452343</v>
      </c>
    </row>
    <row r="1832" spans="1:4" x14ac:dyDescent="0.3">
      <c r="A1832">
        <v>883500</v>
      </c>
      <c r="B1832" s="29">
        <f t="shared" si="89"/>
        <v>5676403489.7454252</v>
      </c>
      <c r="C1832" s="39">
        <f t="shared" si="90"/>
        <v>6802950000</v>
      </c>
      <c r="D1832" s="76">
        <f t="shared" si="91"/>
        <v>1126546510.2545748</v>
      </c>
    </row>
    <row r="1833" spans="1:4" x14ac:dyDescent="0.3">
      <c r="A1833">
        <v>884000</v>
      </c>
      <c r="B1833" s="29">
        <f t="shared" si="89"/>
        <v>5679597997.4360857</v>
      </c>
      <c r="C1833" s="39">
        <f t="shared" si="90"/>
        <v>6806800000</v>
      </c>
      <c r="D1833" s="76">
        <f t="shared" si="91"/>
        <v>1127202002.5639143</v>
      </c>
    </row>
    <row r="1834" spans="1:4" x14ac:dyDescent="0.3">
      <c r="A1834">
        <v>884500</v>
      </c>
      <c r="B1834" s="29">
        <f t="shared" si="89"/>
        <v>5682792505.1267452</v>
      </c>
      <c r="C1834" s="39">
        <f t="shared" si="90"/>
        <v>6810650000</v>
      </c>
      <c r="D1834" s="76">
        <f t="shared" si="91"/>
        <v>1127857494.8732548</v>
      </c>
    </row>
    <row r="1835" spans="1:4" x14ac:dyDescent="0.3">
      <c r="A1835">
        <v>885000</v>
      </c>
      <c r="B1835" s="29">
        <f t="shared" si="89"/>
        <v>5685987012.8174057</v>
      </c>
      <c r="C1835" s="39">
        <f t="shared" si="90"/>
        <v>6814500000</v>
      </c>
      <c r="D1835" s="76">
        <f t="shared" si="91"/>
        <v>1128512987.1825943</v>
      </c>
    </row>
    <row r="1836" spans="1:4" x14ac:dyDescent="0.3">
      <c r="A1836">
        <v>885500</v>
      </c>
      <c r="B1836" s="29">
        <f t="shared" si="89"/>
        <v>5689181520.5080652</v>
      </c>
      <c r="C1836" s="39">
        <f t="shared" si="90"/>
        <v>6818350000</v>
      </c>
      <c r="D1836" s="76">
        <f t="shared" si="91"/>
        <v>1129168479.4919348</v>
      </c>
    </row>
    <row r="1837" spans="1:4" x14ac:dyDescent="0.3">
      <c r="A1837">
        <v>886000</v>
      </c>
      <c r="B1837" s="29">
        <f t="shared" si="89"/>
        <v>5692376028.1987257</v>
      </c>
      <c r="C1837" s="39">
        <f t="shared" si="90"/>
        <v>6822200000</v>
      </c>
      <c r="D1837" s="76">
        <f t="shared" si="91"/>
        <v>1129823971.8012743</v>
      </c>
    </row>
    <row r="1838" spans="1:4" x14ac:dyDescent="0.3">
      <c r="A1838">
        <v>886500</v>
      </c>
      <c r="B1838" s="29">
        <f t="shared" si="89"/>
        <v>5695570535.8893852</v>
      </c>
      <c r="C1838" s="39">
        <f t="shared" si="90"/>
        <v>6826050000</v>
      </c>
      <c r="D1838" s="76">
        <f t="shared" si="91"/>
        <v>1130479464.1106148</v>
      </c>
    </row>
    <row r="1839" spans="1:4" x14ac:dyDescent="0.3">
      <c r="A1839">
        <v>887000</v>
      </c>
      <c r="B1839" s="29">
        <f t="shared" si="89"/>
        <v>5698765043.5800457</v>
      </c>
      <c r="C1839" s="39">
        <f t="shared" si="90"/>
        <v>6829900000</v>
      </c>
      <c r="D1839" s="76">
        <f t="shared" si="91"/>
        <v>1131134956.4199543</v>
      </c>
    </row>
    <row r="1840" spans="1:4" x14ac:dyDescent="0.3">
      <c r="A1840">
        <v>887500</v>
      </c>
      <c r="B1840" s="29">
        <f t="shared" si="89"/>
        <v>5701959551.2707052</v>
      </c>
      <c r="C1840" s="39">
        <f t="shared" si="90"/>
        <v>6833750000</v>
      </c>
      <c r="D1840" s="76">
        <f t="shared" si="91"/>
        <v>1131790448.7292948</v>
      </c>
    </row>
    <row r="1841" spans="1:4" x14ac:dyDescent="0.3">
      <c r="A1841">
        <v>888000</v>
      </c>
      <c r="B1841" s="29">
        <f t="shared" si="89"/>
        <v>5705154058.9613657</v>
      </c>
      <c r="C1841" s="39">
        <f t="shared" si="90"/>
        <v>6837600000</v>
      </c>
      <c r="D1841" s="76">
        <f t="shared" si="91"/>
        <v>1132445941.0386343</v>
      </c>
    </row>
    <row r="1842" spans="1:4" x14ac:dyDescent="0.3">
      <c r="A1842">
        <v>888500</v>
      </c>
      <c r="B1842" s="29">
        <f t="shared" si="89"/>
        <v>5708348566.6520252</v>
      </c>
      <c r="C1842" s="39">
        <f t="shared" si="90"/>
        <v>6841450000</v>
      </c>
      <c r="D1842" s="76">
        <f t="shared" si="91"/>
        <v>1133101433.3479748</v>
      </c>
    </row>
    <row r="1843" spans="1:4" x14ac:dyDescent="0.3">
      <c r="A1843">
        <v>889000</v>
      </c>
      <c r="B1843" s="29">
        <f t="shared" si="89"/>
        <v>5711543074.3426857</v>
      </c>
      <c r="C1843" s="39">
        <f t="shared" si="90"/>
        <v>6845300000</v>
      </c>
      <c r="D1843" s="76">
        <f t="shared" si="91"/>
        <v>1133756925.6573143</v>
      </c>
    </row>
    <row r="1844" spans="1:4" x14ac:dyDescent="0.3">
      <c r="A1844">
        <v>889500</v>
      </c>
      <c r="B1844" s="29">
        <f t="shared" si="89"/>
        <v>5714737582.0333452</v>
      </c>
      <c r="C1844" s="39">
        <f t="shared" si="90"/>
        <v>6849150000</v>
      </c>
      <c r="D1844" s="76">
        <f t="shared" si="91"/>
        <v>1134412417.9666548</v>
      </c>
    </row>
    <row r="1845" spans="1:4" x14ac:dyDescent="0.3">
      <c r="A1845">
        <v>890000</v>
      </c>
      <c r="B1845" s="29">
        <f t="shared" si="89"/>
        <v>5717932089.7240057</v>
      </c>
      <c r="C1845" s="39">
        <f t="shared" si="90"/>
        <v>6853000000</v>
      </c>
      <c r="D1845" s="76">
        <f t="shared" si="91"/>
        <v>1135067910.2759943</v>
      </c>
    </row>
    <row r="1846" spans="1:4" x14ac:dyDescent="0.3">
      <c r="A1846">
        <v>890500</v>
      </c>
      <c r="B1846" s="29">
        <f t="shared" si="89"/>
        <v>5721126597.4146652</v>
      </c>
      <c r="C1846" s="39">
        <f t="shared" si="90"/>
        <v>6856850000</v>
      </c>
      <c r="D1846" s="76">
        <f t="shared" si="91"/>
        <v>1135723402.5853348</v>
      </c>
    </row>
    <row r="1847" spans="1:4" x14ac:dyDescent="0.3">
      <c r="A1847">
        <v>891000</v>
      </c>
      <c r="B1847" s="29">
        <f t="shared" si="89"/>
        <v>5724321105.1053257</v>
      </c>
      <c r="C1847" s="39">
        <f t="shared" si="90"/>
        <v>6860700000</v>
      </c>
      <c r="D1847" s="76">
        <f t="shared" si="91"/>
        <v>1136378894.8946743</v>
      </c>
    </row>
    <row r="1848" spans="1:4" x14ac:dyDescent="0.3">
      <c r="A1848">
        <v>891500</v>
      </c>
      <c r="B1848" s="29">
        <f t="shared" si="89"/>
        <v>5727515612.7959852</v>
      </c>
      <c r="C1848" s="39">
        <f t="shared" si="90"/>
        <v>6864550000</v>
      </c>
      <c r="D1848" s="76">
        <f t="shared" si="91"/>
        <v>1137034387.2040148</v>
      </c>
    </row>
    <row r="1849" spans="1:4" x14ac:dyDescent="0.3">
      <c r="A1849">
        <v>892000</v>
      </c>
      <c r="B1849" s="29">
        <f t="shared" si="89"/>
        <v>5730710120.4866457</v>
      </c>
      <c r="C1849" s="39">
        <f t="shared" si="90"/>
        <v>6868400000</v>
      </c>
      <c r="D1849" s="76">
        <f t="shared" si="91"/>
        <v>1137689879.5133543</v>
      </c>
    </row>
    <row r="1850" spans="1:4" x14ac:dyDescent="0.3">
      <c r="A1850">
        <v>892500</v>
      </c>
      <c r="B1850" s="29">
        <f t="shared" si="89"/>
        <v>5733904628.1773052</v>
      </c>
      <c r="C1850" s="39">
        <f t="shared" si="90"/>
        <v>6872250000</v>
      </c>
      <c r="D1850" s="76">
        <f t="shared" si="91"/>
        <v>1138345371.8226948</v>
      </c>
    </row>
    <row r="1851" spans="1:4" x14ac:dyDescent="0.3">
      <c r="A1851">
        <v>893000</v>
      </c>
      <c r="B1851" s="29">
        <f t="shared" si="89"/>
        <v>5737099135.8679657</v>
      </c>
      <c r="C1851" s="39">
        <f t="shared" si="90"/>
        <v>6876100000</v>
      </c>
      <c r="D1851" s="76">
        <f t="shared" si="91"/>
        <v>1139000864.1320343</v>
      </c>
    </row>
    <row r="1852" spans="1:4" x14ac:dyDescent="0.3">
      <c r="A1852">
        <v>893500</v>
      </c>
      <c r="B1852" s="29">
        <f t="shared" si="89"/>
        <v>5740293643.5586252</v>
      </c>
      <c r="C1852" s="39">
        <f t="shared" si="90"/>
        <v>6879950000</v>
      </c>
      <c r="D1852" s="76">
        <f t="shared" si="91"/>
        <v>1139656356.4413748</v>
      </c>
    </row>
    <row r="1853" spans="1:4" x14ac:dyDescent="0.3">
      <c r="A1853">
        <v>894000</v>
      </c>
      <c r="B1853" s="29">
        <f t="shared" si="89"/>
        <v>5743488151.2492857</v>
      </c>
      <c r="C1853" s="39">
        <f t="shared" si="90"/>
        <v>6883800000</v>
      </c>
      <c r="D1853" s="76">
        <f t="shared" si="91"/>
        <v>1140311848.7507143</v>
      </c>
    </row>
    <row r="1854" spans="1:4" x14ac:dyDescent="0.3">
      <c r="A1854">
        <v>894500</v>
      </c>
      <c r="B1854" s="29">
        <f t="shared" si="89"/>
        <v>5746682658.9399452</v>
      </c>
      <c r="C1854" s="39">
        <f t="shared" si="90"/>
        <v>6887650000</v>
      </c>
      <c r="D1854" s="76">
        <f t="shared" si="91"/>
        <v>1140967341.0600548</v>
      </c>
    </row>
    <row r="1855" spans="1:4" x14ac:dyDescent="0.3">
      <c r="A1855">
        <v>895000</v>
      </c>
      <c r="B1855" s="29">
        <f t="shared" si="89"/>
        <v>5749877166.6306057</v>
      </c>
      <c r="C1855" s="39">
        <f t="shared" si="90"/>
        <v>6891500000</v>
      </c>
      <c r="D1855" s="76">
        <f t="shared" si="91"/>
        <v>1141622833.3693943</v>
      </c>
    </row>
    <row r="1856" spans="1:4" x14ac:dyDescent="0.3">
      <c r="A1856">
        <v>895500</v>
      </c>
      <c r="B1856" s="29">
        <f t="shared" si="89"/>
        <v>5753071674.3212652</v>
      </c>
      <c r="C1856" s="39">
        <f t="shared" si="90"/>
        <v>6895350000</v>
      </c>
      <c r="D1856" s="76">
        <f t="shared" si="91"/>
        <v>1142278325.6787348</v>
      </c>
    </row>
    <row r="1857" spans="1:4" x14ac:dyDescent="0.3">
      <c r="A1857">
        <v>896000</v>
      </c>
      <c r="B1857" s="29">
        <f t="shared" si="89"/>
        <v>5756266182.0119257</v>
      </c>
      <c r="C1857" s="39">
        <f t="shared" si="90"/>
        <v>6899200000</v>
      </c>
      <c r="D1857" s="76">
        <f t="shared" si="91"/>
        <v>1142933817.9880743</v>
      </c>
    </row>
    <row r="1858" spans="1:4" x14ac:dyDescent="0.3">
      <c r="A1858">
        <v>896500</v>
      </c>
      <c r="B1858" s="29">
        <f t="shared" ref="B1858:B1921" si="92">$B$54+($B$60*A1858)</f>
        <v>5759460689.7025852</v>
      </c>
      <c r="C1858" s="39">
        <f t="shared" ref="C1858:C1921" si="93">$E$50*A1858</f>
        <v>6903050000</v>
      </c>
      <c r="D1858" s="76">
        <f t="shared" ref="D1858:D1921" si="94">C1858-B1858</f>
        <v>1143589310.2974148</v>
      </c>
    </row>
    <row r="1859" spans="1:4" x14ac:dyDescent="0.3">
      <c r="A1859">
        <v>897000</v>
      </c>
      <c r="B1859" s="29">
        <f t="shared" si="92"/>
        <v>5762655197.3932457</v>
      </c>
      <c r="C1859" s="39">
        <f t="shared" si="93"/>
        <v>6906900000</v>
      </c>
      <c r="D1859" s="76">
        <f t="shared" si="94"/>
        <v>1144244802.6067543</v>
      </c>
    </row>
    <row r="1860" spans="1:4" x14ac:dyDescent="0.3">
      <c r="A1860">
        <v>897500</v>
      </c>
      <c r="B1860" s="29">
        <f t="shared" si="92"/>
        <v>5765849705.0839052</v>
      </c>
      <c r="C1860" s="39">
        <f t="shared" si="93"/>
        <v>6910750000</v>
      </c>
      <c r="D1860" s="76">
        <f t="shared" si="94"/>
        <v>1144900294.9160948</v>
      </c>
    </row>
    <row r="1861" spans="1:4" x14ac:dyDescent="0.3">
      <c r="A1861">
        <v>898000</v>
      </c>
      <c r="B1861" s="29">
        <f t="shared" si="92"/>
        <v>5769044212.7745657</v>
      </c>
      <c r="C1861" s="39">
        <f t="shared" si="93"/>
        <v>6914600000</v>
      </c>
      <c r="D1861" s="76">
        <f t="shared" si="94"/>
        <v>1145555787.2254343</v>
      </c>
    </row>
    <row r="1862" spans="1:4" x14ac:dyDescent="0.3">
      <c r="A1862">
        <v>898500</v>
      </c>
      <c r="B1862" s="29">
        <f t="shared" si="92"/>
        <v>5772238720.4652252</v>
      </c>
      <c r="C1862" s="39">
        <f t="shared" si="93"/>
        <v>6918450000</v>
      </c>
      <c r="D1862" s="76">
        <f t="shared" si="94"/>
        <v>1146211279.5347748</v>
      </c>
    </row>
    <row r="1863" spans="1:4" x14ac:dyDescent="0.3">
      <c r="A1863">
        <v>899000</v>
      </c>
      <c r="B1863" s="29">
        <f t="shared" si="92"/>
        <v>5775433228.1558857</v>
      </c>
      <c r="C1863" s="39">
        <f t="shared" si="93"/>
        <v>6922300000</v>
      </c>
      <c r="D1863" s="76">
        <f t="shared" si="94"/>
        <v>1146866771.8441143</v>
      </c>
    </row>
    <row r="1864" spans="1:4" x14ac:dyDescent="0.3">
      <c r="A1864">
        <v>899500</v>
      </c>
      <c r="B1864" s="29">
        <f t="shared" si="92"/>
        <v>5778627735.8465452</v>
      </c>
      <c r="C1864" s="39">
        <f t="shared" si="93"/>
        <v>6926150000</v>
      </c>
      <c r="D1864" s="76">
        <f t="shared" si="94"/>
        <v>1147522264.1534548</v>
      </c>
    </row>
    <row r="1865" spans="1:4" x14ac:dyDescent="0.3">
      <c r="A1865">
        <v>900000</v>
      </c>
      <c r="B1865" s="29">
        <f t="shared" si="92"/>
        <v>5781822243.5372057</v>
      </c>
      <c r="C1865" s="39">
        <f t="shared" si="93"/>
        <v>6930000000</v>
      </c>
      <c r="D1865" s="76">
        <f t="shared" si="94"/>
        <v>1148177756.4627943</v>
      </c>
    </row>
    <row r="1866" spans="1:4" x14ac:dyDescent="0.3">
      <c r="A1866">
        <v>900500</v>
      </c>
      <c r="B1866" s="29">
        <f t="shared" si="92"/>
        <v>5785016751.2278652</v>
      </c>
      <c r="C1866" s="39">
        <f t="shared" si="93"/>
        <v>6933850000</v>
      </c>
      <c r="D1866" s="76">
        <f t="shared" si="94"/>
        <v>1148833248.7721348</v>
      </c>
    </row>
    <row r="1867" spans="1:4" x14ac:dyDescent="0.3">
      <c r="A1867">
        <v>901000</v>
      </c>
      <c r="B1867" s="29">
        <f t="shared" si="92"/>
        <v>5788211258.9185257</v>
      </c>
      <c r="C1867" s="39">
        <f t="shared" si="93"/>
        <v>6937700000</v>
      </c>
      <c r="D1867" s="76">
        <f t="shared" si="94"/>
        <v>1149488741.0814743</v>
      </c>
    </row>
    <row r="1868" spans="1:4" x14ac:dyDescent="0.3">
      <c r="A1868">
        <v>901500</v>
      </c>
      <c r="B1868" s="29">
        <f t="shared" si="92"/>
        <v>5791405766.6091852</v>
      </c>
      <c r="C1868" s="39">
        <f t="shared" si="93"/>
        <v>6941550000</v>
      </c>
      <c r="D1868" s="76">
        <f t="shared" si="94"/>
        <v>1150144233.3908148</v>
      </c>
    </row>
    <row r="1869" spans="1:4" x14ac:dyDescent="0.3">
      <c r="A1869">
        <v>902000</v>
      </c>
      <c r="B1869" s="29">
        <f t="shared" si="92"/>
        <v>5794600274.2998457</v>
      </c>
      <c r="C1869" s="39">
        <f t="shared" si="93"/>
        <v>6945400000</v>
      </c>
      <c r="D1869" s="76">
        <f t="shared" si="94"/>
        <v>1150799725.7001543</v>
      </c>
    </row>
    <row r="1870" spans="1:4" x14ac:dyDescent="0.3">
      <c r="A1870">
        <v>902500</v>
      </c>
      <c r="B1870" s="29">
        <f t="shared" si="92"/>
        <v>5797794781.9905052</v>
      </c>
      <c r="C1870" s="39">
        <f t="shared" si="93"/>
        <v>6949250000</v>
      </c>
      <c r="D1870" s="76">
        <f t="shared" si="94"/>
        <v>1151455218.0094948</v>
      </c>
    </row>
    <row r="1871" spans="1:4" x14ac:dyDescent="0.3">
      <c r="A1871">
        <v>903000</v>
      </c>
      <c r="B1871" s="29">
        <f t="shared" si="92"/>
        <v>5800989289.6811657</v>
      </c>
      <c r="C1871" s="39">
        <f t="shared" si="93"/>
        <v>6953100000</v>
      </c>
      <c r="D1871" s="76">
        <f t="shared" si="94"/>
        <v>1152110710.3188343</v>
      </c>
    </row>
    <row r="1872" spans="1:4" x14ac:dyDescent="0.3">
      <c r="A1872">
        <v>903500</v>
      </c>
      <c r="B1872" s="29">
        <f t="shared" si="92"/>
        <v>5804183797.3718252</v>
      </c>
      <c r="C1872" s="39">
        <f t="shared" si="93"/>
        <v>6956950000</v>
      </c>
      <c r="D1872" s="76">
        <f t="shared" si="94"/>
        <v>1152766202.6281748</v>
      </c>
    </row>
    <row r="1873" spans="1:4" x14ac:dyDescent="0.3">
      <c r="A1873">
        <v>904000</v>
      </c>
      <c r="B1873" s="29">
        <f t="shared" si="92"/>
        <v>5807378305.0624857</v>
      </c>
      <c r="C1873" s="39">
        <f t="shared" si="93"/>
        <v>6960800000</v>
      </c>
      <c r="D1873" s="76">
        <f t="shared" si="94"/>
        <v>1153421694.9375143</v>
      </c>
    </row>
    <row r="1874" spans="1:4" x14ac:dyDescent="0.3">
      <c r="A1874">
        <v>904500</v>
      </c>
      <c r="B1874" s="29">
        <f t="shared" si="92"/>
        <v>5810572812.7531452</v>
      </c>
      <c r="C1874" s="39">
        <f t="shared" si="93"/>
        <v>6964650000</v>
      </c>
      <c r="D1874" s="76">
        <f t="shared" si="94"/>
        <v>1154077187.2468548</v>
      </c>
    </row>
    <row r="1875" spans="1:4" x14ac:dyDescent="0.3">
      <c r="A1875">
        <v>905000</v>
      </c>
      <c r="B1875" s="29">
        <f t="shared" si="92"/>
        <v>5813767320.4438057</v>
      </c>
      <c r="C1875" s="39">
        <f t="shared" si="93"/>
        <v>6968500000</v>
      </c>
      <c r="D1875" s="76">
        <f t="shared" si="94"/>
        <v>1154732679.5561943</v>
      </c>
    </row>
    <row r="1876" spans="1:4" x14ac:dyDescent="0.3">
      <c r="A1876">
        <v>905500</v>
      </c>
      <c r="B1876" s="29">
        <f t="shared" si="92"/>
        <v>5816961828.1344652</v>
      </c>
      <c r="C1876" s="39">
        <f t="shared" si="93"/>
        <v>6972350000</v>
      </c>
      <c r="D1876" s="76">
        <f t="shared" si="94"/>
        <v>1155388171.8655348</v>
      </c>
    </row>
    <row r="1877" spans="1:4" x14ac:dyDescent="0.3">
      <c r="A1877">
        <v>906000</v>
      </c>
      <c r="B1877" s="29">
        <f t="shared" si="92"/>
        <v>5820156335.8251257</v>
      </c>
      <c r="C1877" s="39">
        <f t="shared" si="93"/>
        <v>6976200000</v>
      </c>
      <c r="D1877" s="76">
        <f t="shared" si="94"/>
        <v>1156043664.1748743</v>
      </c>
    </row>
    <row r="1878" spans="1:4" x14ac:dyDescent="0.3">
      <c r="A1878">
        <v>906500</v>
      </c>
      <c r="B1878" s="29">
        <f t="shared" si="92"/>
        <v>5823350843.5157852</v>
      </c>
      <c r="C1878" s="39">
        <f t="shared" si="93"/>
        <v>6980050000</v>
      </c>
      <c r="D1878" s="76">
        <f t="shared" si="94"/>
        <v>1156699156.4842148</v>
      </c>
    </row>
    <row r="1879" spans="1:4" x14ac:dyDescent="0.3">
      <c r="A1879">
        <v>907000</v>
      </c>
      <c r="B1879" s="29">
        <f t="shared" si="92"/>
        <v>5826545351.2064457</v>
      </c>
      <c r="C1879" s="39">
        <f t="shared" si="93"/>
        <v>6983900000</v>
      </c>
      <c r="D1879" s="76">
        <f t="shared" si="94"/>
        <v>1157354648.7935543</v>
      </c>
    </row>
    <row r="1880" spans="1:4" x14ac:dyDescent="0.3">
      <c r="A1880">
        <v>907500</v>
      </c>
      <c r="B1880" s="29">
        <f t="shared" si="92"/>
        <v>5829739858.8971052</v>
      </c>
      <c r="C1880" s="39">
        <f t="shared" si="93"/>
        <v>6987750000</v>
      </c>
      <c r="D1880" s="76">
        <f t="shared" si="94"/>
        <v>1158010141.1028948</v>
      </c>
    </row>
    <row r="1881" spans="1:4" x14ac:dyDescent="0.3">
      <c r="A1881">
        <v>908000</v>
      </c>
      <c r="B1881" s="29">
        <f t="shared" si="92"/>
        <v>5832934366.5877657</v>
      </c>
      <c r="C1881" s="39">
        <f t="shared" si="93"/>
        <v>6991600000</v>
      </c>
      <c r="D1881" s="76">
        <f t="shared" si="94"/>
        <v>1158665633.4122343</v>
      </c>
    </row>
    <row r="1882" spans="1:4" x14ac:dyDescent="0.3">
      <c r="A1882">
        <v>908500</v>
      </c>
      <c r="B1882" s="29">
        <f t="shared" si="92"/>
        <v>5836128874.2784252</v>
      </c>
      <c r="C1882" s="39">
        <f t="shared" si="93"/>
        <v>6995450000</v>
      </c>
      <c r="D1882" s="76">
        <f t="shared" si="94"/>
        <v>1159321125.7215748</v>
      </c>
    </row>
    <row r="1883" spans="1:4" x14ac:dyDescent="0.3">
      <c r="A1883">
        <v>909000</v>
      </c>
      <c r="B1883" s="29">
        <f t="shared" si="92"/>
        <v>5839323381.9690857</v>
      </c>
      <c r="C1883" s="39">
        <f t="shared" si="93"/>
        <v>6999300000</v>
      </c>
      <c r="D1883" s="76">
        <f t="shared" si="94"/>
        <v>1159976618.0309143</v>
      </c>
    </row>
    <row r="1884" spans="1:4" x14ac:dyDescent="0.3">
      <c r="A1884">
        <v>909500</v>
      </c>
      <c r="B1884" s="29">
        <f t="shared" si="92"/>
        <v>5842517889.6597452</v>
      </c>
      <c r="C1884" s="39">
        <f t="shared" si="93"/>
        <v>7003150000</v>
      </c>
      <c r="D1884" s="76">
        <f t="shared" si="94"/>
        <v>1160632110.3402548</v>
      </c>
    </row>
    <row r="1885" spans="1:4" x14ac:dyDescent="0.3">
      <c r="A1885">
        <v>910000</v>
      </c>
      <c r="B1885" s="29">
        <f t="shared" si="92"/>
        <v>5845712397.3504057</v>
      </c>
      <c r="C1885" s="39">
        <f t="shared" si="93"/>
        <v>7007000000</v>
      </c>
      <c r="D1885" s="76">
        <f t="shared" si="94"/>
        <v>1161287602.6495943</v>
      </c>
    </row>
    <row r="1886" spans="1:4" x14ac:dyDescent="0.3">
      <c r="A1886">
        <v>910500</v>
      </c>
      <c r="B1886" s="29">
        <f t="shared" si="92"/>
        <v>5848906905.0410652</v>
      </c>
      <c r="C1886" s="39">
        <f t="shared" si="93"/>
        <v>7010850000</v>
      </c>
      <c r="D1886" s="76">
        <f t="shared" si="94"/>
        <v>1161943094.9589348</v>
      </c>
    </row>
    <row r="1887" spans="1:4" x14ac:dyDescent="0.3">
      <c r="A1887">
        <v>911000</v>
      </c>
      <c r="B1887" s="29">
        <f t="shared" si="92"/>
        <v>5852101412.7317257</v>
      </c>
      <c r="C1887" s="39">
        <f t="shared" si="93"/>
        <v>7014700000</v>
      </c>
      <c r="D1887" s="76">
        <f t="shared" si="94"/>
        <v>1162598587.2682743</v>
      </c>
    </row>
    <row r="1888" spans="1:4" x14ac:dyDescent="0.3">
      <c r="A1888">
        <v>911500</v>
      </c>
      <c r="B1888" s="29">
        <f t="shared" si="92"/>
        <v>5855295920.4223852</v>
      </c>
      <c r="C1888" s="39">
        <f t="shared" si="93"/>
        <v>7018550000</v>
      </c>
      <c r="D1888" s="76">
        <f t="shared" si="94"/>
        <v>1163254079.5776148</v>
      </c>
    </row>
    <row r="1889" spans="1:4" x14ac:dyDescent="0.3">
      <c r="A1889">
        <v>912000</v>
      </c>
      <c r="B1889" s="29">
        <f t="shared" si="92"/>
        <v>5858490428.1130457</v>
      </c>
      <c r="C1889" s="39">
        <f t="shared" si="93"/>
        <v>7022400000</v>
      </c>
      <c r="D1889" s="76">
        <f t="shared" si="94"/>
        <v>1163909571.8869543</v>
      </c>
    </row>
    <row r="1890" spans="1:4" x14ac:dyDescent="0.3">
      <c r="A1890">
        <v>912500</v>
      </c>
      <c r="B1890" s="29">
        <f t="shared" si="92"/>
        <v>5861684935.8037052</v>
      </c>
      <c r="C1890" s="39">
        <f t="shared" si="93"/>
        <v>7026250000</v>
      </c>
      <c r="D1890" s="76">
        <f t="shared" si="94"/>
        <v>1164565064.1962948</v>
      </c>
    </row>
    <row r="1891" spans="1:4" x14ac:dyDescent="0.3">
      <c r="A1891">
        <v>913000</v>
      </c>
      <c r="B1891" s="29">
        <f t="shared" si="92"/>
        <v>5864879443.4943657</v>
      </c>
      <c r="C1891" s="39">
        <f t="shared" si="93"/>
        <v>7030100000</v>
      </c>
      <c r="D1891" s="76">
        <f t="shared" si="94"/>
        <v>1165220556.5056343</v>
      </c>
    </row>
    <row r="1892" spans="1:4" x14ac:dyDescent="0.3">
      <c r="A1892">
        <v>913500</v>
      </c>
      <c r="B1892" s="29">
        <f t="shared" si="92"/>
        <v>5868073951.1850252</v>
      </c>
      <c r="C1892" s="39">
        <f t="shared" si="93"/>
        <v>7033950000</v>
      </c>
      <c r="D1892" s="76">
        <f t="shared" si="94"/>
        <v>1165876048.8149748</v>
      </c>
    </row>
    <row r="1893" spans="1:4" x14ac:dyDescent="0.3">
      <c r="A1893">
        <v>914000</v>
      </c>
      <c r="B1893" s="29">
        <f t="shared" si="92"/>
        <v>5871268458.8756857</v>
      </c>
      <c r="C1893" s="39">
        <f t="shared" si="93"/>
        <v>7037800000</v>
      </c>
      <c r="D1893" s="76">
        <f t="shared" si="94"/>
        <v>1166531541.1243143</v>
      </c>
    </row>
    <row r="1894" spans="1:4" x14ac:dyDescent="0.3">
      <c r="A1894">
        <v>914500</v>
      </c>
      <c r="B1894" s="29">
        <f t="shared" si="92"/>
        <v>5874462966.5663452</v>
      </c>
      <c r="C1894" s="39">
        <f t="shared" si="93"/>
        <v>7041650000</v>
      </c>
      <c r="D1894" s="76">
        <f t="shared" si="94"/>
        <v>1167187033.4336548</v>
      </c>
    </row>
    <row r="1895" spans="1:4" x14ac:dyDescent="0.3">
      <c r="A1895">
        <v>915000</v>
      </c>
      <c r="B1895" s="29">
        <f t="shared" si="92"/>
        <v>5877657474.2570057</v>
      </c>
      <c r="C1895" s="39">
        <f t="shared" si="93"/>
        <v>7045500000</v>
      </c>
      <c r="D1895" s="76">
        <f t="shared" si="94"/>
        <v>1167842525.7429943</v>
      </c>
    </row>
    <row r="1896" spans="1:4" x14ac:dyDescent="0.3">
      <c r="A1896">
        <v>915500</v>
      </c>
      <c r="B1896" s="29">
        <f t="shared" si="92"/>
        <v>5880851981.9476652</v>
      </c>
      <c r="C1896" s="39">
        <f t="shared" si="93"/>
        <v>7049350000</v>
      </c>
      <c r="D1896" s="76">
        <f t="shared" si="94"/>
        <v>1168498018.0523348</v>
      </c>
    </row>
    <row r="1897" spans="1:4" x14ac:dyDescent="0.3">
      <c r="A1897">
        <v>916000</v>
      </c>
      <c r="B1897" s="29">
        <f t="shared" si="92"/>
        <v>5884046489.6383257</v>
      </c>
      <c r="C1897" s="39">
        <f t="shared" si="93"/>
        <v>7053200000</v>
      </c>
      <c r="D1897" s="76">
        <f t="shared" si="94"/>
        <v>1169153510.3616743</v>
      </c>
    </row>
    <row r="1898" spans="1:4" x14ac:dyDescent="0.3">
      <c r="A1898">
        <v>916500</v>
      </c>
      <c r="B1898" s="29">
        <f t="shared" si="92"/>
        <v>5887240997.3289852</v>
      </c>
      <c r="C1898" s="39">
        <f t="shared" si="93"/>
        <v>7057050000</v>
      </c>
      <c r="D1898" s="76">
        <f t="shared" si="94"/>
        <v>1169809002.6710148</v>
      </c>
    </row>
    <row r="1899" spans="1:4" x14ac:dyDescent="0.3">
      <c r="A1899">
        <v>917000</v>
      </c>
      <c r="B1899" s="29">
        <f t="shared" si="92"/>
        <v>5890435505.0196457</v>
      </c>
      <c r="C1899" s="39">
        <f t="shared" si="93"/>
        <v>7060900000</v>
      </c>
      <c r="D1899" s="76">
        <f t="shared" si="94"/>
        <v>1170464494.9803543</v>
      </c>
    </row>
    <row r="1900" spans="1:4" x14ac:dyDescent="0.3">
      <c r="A1900">
        <v>917500</v>
      </c>
      <c r="B1900" s="29">
        <f t="shared" si="92"/>
        <v>5893630012.7103052</v>
      </c>
      <c r="C1900" s="39">
        <f t="shared" si="93"/>
        <v>7064750000</v>
      </c>
      <c r="D1900" s="76">
        <f t="shared" si="94"/>
        <v>1171119987.2896948</v>
      </c>
    </row>
    <row r="1901" spans="1:4" x14ac:dyDescent="0.3">
      <c r="A1901">
        <v>918000</v>
      </c>
      <c r="B1901" s="29">
        <f t="shared" si="92"/>
        <v>5896824520.4009657</v>
      </c>
      <c r="C1901" s="39">
        <f t="shared" si="93"/>
        <v>7068600000</v>
      </c>
      <c r="D1901" s="76">
        <f t="shared" si="94"/>
        <v>1171775479.5990343</v>
      </c>
    </row>
    <row r="1902" spans="1:4" x14ac:dyDescent="0.3">
      <c r="A1902">
        <v>918500</v>
      </c>
      <c r="B1902" s="29">
        <f t="shared" si="92"/>
        <v>5900019028.0916252</v>
      </c>
      <c r="C1902" s="39">
        <f t="shared" si="93"/>
        <v>7072450000</v>
      </c>
      <c r="D1902" s="76">
        <f t="shared" si="94"/>
        <v>1172430971.9083748</v>
      </c>
    </row>
    <row r="1903" spans="1:4" x14ac:dyDescent="0.3">
      <c r="A1903">
        <v>919000</v>
      </c>
      <c r="B1903" s="29">
        <f t="shared" si="92"/>
        <v>5903213535.7822857</v>
      </c>
      <c r="C1903" s="39">
        <f t="shared" si="93"/>
        <v>7076300000</v>
      </c>
      <c r="D1903" s="76">
        <f t="shared" si="94"/>
        <v>1173086464.2177143</v>
      </c>
    </row>
    <row r="1904" spans="1:4" x14ac:dyDescent="0.3">
      <c r="A1904">
        <v>919500</v>
      </c>
      <c r="B1904" s="29">
        <f t="shared" si="92"/>
        <v>5906408043.4729452</v>
      </c>
      <c r="C1904" s="39">
        <f t="shared" si="93"/>
        <v>7080150000</v>
      </c>
      <c r="D1904" s="76">
        <f t="shared" si="94"/>
        <v>1173741956.5270548</v>
      </c>
    </row>
    <row r="1905" spans="1:4" x14ac:dyDescent="0.3">
      <c r="A1905">
        <v>920000</v>
      </c>
      <c r="B1905" s="29">
        <f t="shared" si="92"/>
        <v>5909602551.1636057</v>
      </c>
      <c r="C1905" s="39">
        <f t="shared" si="93"/>
        <v>7084000000</v>
      </c>
      <c r="D1905" s="76">
        <f t="shared" si="94"/>
        <v>1174397448.8363943</v>
      </c>
    </row>
    <row r="1906" spans="1:4" x14ac:dyDescent="0.3">
      <c r="A1906">
        <v>920500</v>
      </c>
      <c r="B1906" s="29">
        <f t="shared" si="92"/>
        <v>5912797058.8542652</v>
      </c>
      <c r="C1906" s="39">
        <f t="shared" si="93"/>
        <v>7087850000</v>
      </c>
      <c r="D1906" s="76">
        <f t="shared" si="94"/>
        <v>1175052941.1457348</v>
      </c>
    </row>
    <row r="1907" spans="1:4" x14ac:dyDescent="0.3">
      <c r="A1907">
        <v>921000</v>
      </c>
      <c r="B1907" s="29">
        <f t="shared" si="92"/>
        <v>5915991566.5449257</v>
      </c>
      <c r="C1907" s="39">
        <f t="shared" si="93"/>
        <v>7091700000</v>
      </c>
      <c r="D1907" s="76">
        <f t="shared" si="94"/>
        <v>1175708433.4550743</v>
      </c>
    </row>
    <row r="1908" spans="1:4" x14ac:dyDescent="0.3">
      <c r="A1908">
        <v>921500</v>
      </c>
      <c r="B1908" s="29">
        <f t="shared" si="92"/>
        <v>5919186074.2355852</v>
      </c>
      <c r="C1908" s="39">
        <f t="shared" si="93"/>
        <v>7095550000</v>
      </c>
      <c r="D1908" s="76">
        <f t="shared" si="94"/>
        <v>1176363925.7644148</v>
      </c>
    </row>
    <row r="1909" spans="1:4" x14ac:dyDescent="0.3">
      <c r="A1909">
        <v>922000</v>
      </c>
      <c r="B1909" s="29">
        <f t="shared" si="92"/>
        <v>5922380581.9262457</v>
      </c>
      <c r="C1909" s="39">
        <f t="shared" si="93"/>
        <v>7099400000</v>
      </c>
      <c r="D1909" s="76">
        <f t="shared" si="94"/>
        <v>1177019418.0737543</v>
      </c>
    </row>
    <row r="1910" spans="1:4" x14ac:dyDescent="0.3">
      <c r="A1910">
        <v>922500</v>
      </c>
      <c r="B1910" s="29">
        <f t="shared" si="92"/>
        <v>5925575089.6169052</v>
      </c>
      <c r="C1910" s="39">
        <f t="shared" si="93"/>
        <v>7103250000</v>
      </c>
      <c r="D1910" s="76">
        <f t="shared" si="94"/>
        <v>1177674910.3830948</v>
      </c>
    </row>
    <row r="1911" spans="1:4" x14ac:dyDescent="0.3">
      <c r="A1911">
        <v>923000</v>
      </c>
      <c r="B1911" s="29">
        <f t="shared" si="92"/>
        <v>5928769597.3075657</v>
      </c>
      <c r="C1911" s="39">
        <f t="shared" si="93"/>
        <v>7107100000</v>
      </c>
      <c r="D1911" s="76">
        <f t="shared" si="94"/>
        <v>1178330402.6924343</v>
      </c>
    </row>
    <row r="1912" spans="1:4" x14ac:dyDescent="0.3">
      <c r="A1912">
        <v>923500</v>
      </c>
      <c r="B1912" s="29">
        <f t="shared" si="92"/>
        <v>5931964104.9982252</v>
      </c>
      <c r="C1912" s="39">
        <f t="shared" si="93"/>
        <v>7110950000</v>
      </c>
      <c r="D1912" s="76">
        <f t="shared" si="94"/>
        <v>1178985895.0017748</v>
      </c>
    </row>
    <row r="1913" spans="1:4" x14ac:dyDescent="0.3">
      <c r="A1913">
        <v>924000</v>
      </c>
      <c r="B1913" s="29">
        <f t="shared" si="92"/>
        <v>5935158612.6888857</v>
      </c>
      <c r="C1913" s="39">
        <f t="shared" si="93"/>
        <v>7114800000</v>
      </c>
      <c r="D1913" s="76">
        <f t="shared" si="94"/>
        <v>1179641387.3111143</v>
      </c>
    </row>
    <row r="1914" spans="1:4" x14ac:dyDescent="0.3">
      <c r="A1914">
        <v>924500</v>
      </c>
      <c r="B1914" s="29">
        <f t="shared" si="92"/>
        <v>5938353120.3795452</v>
      </c>
      <c r="C1914" s="39">
        <f t="shared" si="93"/>
        <v>7118650000</v>
      </c>
      <c r="D1914" s="76">
        <f t="shared" si="94"/>
        <v>1180296879.6204548</v>
      </c>
    </row>
    <row r="1915" spans="1:4" x14ac:dyDescent="0.3">
      <c r="A1915">
        <v>925000</v>
      </c>
      <c r="B1915" s="29">
        <f t="shared" si="92"/>
        <v>5941547628.0702057</v>
      </c>
      <c r="C1915" s="39">
        <f t="shared" si="93"/>
        <v>7122500000</v>
      </c>
      <c r="D1915" s="76">
        <f t="shared" si="94"/>
        <v>1180952371.9297943</v>
      </c>
    </row>
    <row r="1916" spans="1:4" x14ac:dyDescent="0.3">
      <c r="A1916">
        <v>925500</v>
      </c>
      <c r="B1916" s="29">
        <f t="shared" si="92"/>
        <v>5944742135.7608652</v>
      </c>
      <c r="C1916" s="39">
        <f t="shared" si="93"/>
        <v>7126350000</v>
      </c>
      <c r="D1916" s="76">
        <f t="shared" si="94"/>
        <v>1181607864.2391348</v>
      </c>
    </row>
    <row r="1917" spans="1:4" x14ac:dyDescent="0.3">
      <c r="A1917">
        <v>926000</v>
      </c>
      <c r="B1917" s="29">
        <f t="shared" si="92"/>
        <v>5947936643.4515257</v>
      </c>
      <c r="C1917" s="39">
        <f t="shared" si="93"/>
        <v>7130200000</v>
      </c>
      <c r="D1917" s="76">
        <f t="shared" si="94"/>
        <v>1182263356.5484743</v>
      </c>
    </row>
    <row r="1918" spans="1:4" x14ac:dyDescent="0.3">
      <c r="A1918">
        <v>926500</v>
      </c>
      <c r="B1918" s="29">
        <f t="shared" si="92"/>
        <v>5951131151.1421852</v>
      </c>
      <c r="C1918" s="39">
        <f t="shared" si="93"/>
        <v>7134050000</v>
      </c>
      <c r="D1918" s="76">
        <f t="shared" si="94"/>
        <v>1182918848.8578148</v>
      </c>
    </row>
    <row r="1919" spans="1:4" x14ac:dyDescent="0.3">
      <c r="A1919">
        <v>927000</v>
      </c>
      <c r="B1919" s="29">
        <f t="shared" si="92"/>
        <v>5954325658.8328457</v>
      </c>
      <c r="C1919" s="39">
        <f t="shared" si="93"/>
        <v>7137900000</v>
      </c>
      <c r="D1919" s="76">
        <f t="shared" si="94"/>
        <v>1183574341.1671543</v>
      </c>
    </row>
    <row r="1920" spans="1:4" x14ac:dyDescent="0.3">
      <c r="A1920">
        <v>927500</v>
      </c>
      <c r="B1920" s="29">
        <f t="shared" si="92"/>
        <v>5957520166.5235052</v>
      </c>
      <c r="C1920" s="39">
        <f t="shared" si="93"/>
        <v>7141750000</v>
      </c>
      <c r="D1920" s="76">
        <f t="shared" si="94"/>
        <v>1184229833.4764948</v>
      </c>
    </row>
    <row r="1921" spans="1:4" x14ac:dyDescent="0.3">
      <c r="A1921">
        <v>928000</v>
      </c>
      <c r="B1921" s="29">
        <f t="shared" si="92"/>
        <v>5960714674.2141657</v>
      </c>
      <c r="C1921" s="39">
        <f t="shared" si="93"/>
        <v>7145600000</v>
      </c>
      <c r="D1921" s="76">
        <f t="shared" si="94"/>
        <v>1184885325.7858343</v>
      </c>
    </row>
    <row r="1922" spans="1:4" x14ac:dyDescent="0.3">
      <c r="A1922">
        <v>928500</v>
      </c>
      <c r="B1922" s="29">
        <f t="shared" ref="B1922:B1985" si="95">$B$54+($B$60*A1922)</f>
        <v>5963909181.9048252</v>
      </c>
      <c r="C1922" s="39">
        <f t="shared" ref="C1922:C1985" si="96">$E$50*A1922</f>
        <v>7149450000</v>
      </c>
      <c r="D1922" s="76">
        <f t="shared" ref="D1922:D1985" si="97">C1922-B1922</f>
        <v>1185540818.0951748</v>
      </c>
    </row>
    <row r="1923" spans="1:4" x14ac:dyDescent="0.3">
      <c r="A1923">
        <v>929000</v>
      </c>
      <c r="B1923" s="29">
        <f t="shared" si="95"/>
        <v>5967103689.5954857</v>
      </c>
      <c r="C1923" s="39">
        <f t="shared" si="96"/>
        <v>7153300000</v>
      </c>
      <c r="D1923" s="76">
        <f t="shared" si="97"/>
        <v>1186196310.4045143</v>
      </c>
    </row>
    <row r="1924" spans="1:4" x14ac:dyDescent="0.3">
      <c r="A1924">
        <v>929500</v>
      </c>
      <c r="B1924" s="29">
        <f t="shared" si="95"/>
        <v>5970298197.2861452</v>
      </c>
      <c r="C1924" s="39">
        <f t="shared" si="96"/>
        <v>7157150000</v>
      </c>
      <c r="D1924" s="76">
        <f t="shared" si="97"/>
        <v>1186851802.7138548</v>
      </c>
    </row>
    <row r="1925" spans="1:4" x14ac:dyDescent="0.3">
      <c r="A1925">
        <v>930000</v>
      </c>
      <c r="B1925" s="29">
        <f t="shared" si="95"/>
        <v>5973492704.9768057</v>
      </c>
      <c r="C1925" s="39">
        <f t="shared" si="96"/>
        <v>7161000000</v>
      </c>
      <c r="D1925" s="76">
        <f t="shared" si="97"/>
        <v>1187507295.0231943</v>
      </c>
    </row>
    <row r="1926" spans="1:4" x14ac:dyDescent="0.3">
      <c r="A1926">
        <v>930500</v>
      </c>
      <c r="B1926" s="29">
        <f t="shared" si="95"/>
        <v>5976687212.6674652</v>
      </c>
      <c r="C1926" s="39">
        <f t="shared" si="96"/>
        <v>7164850000</v>
      </c>
      <c r="D1926" s="76">
        <f t="shared" si="97"/>
        <v>1188162787.3325348</v>
      </c>
    </row>
    <row r="1927" spans="1:4" x14ac:dyDescent="0.3">
      <c r="A1927">
        <v>931000</v>
      </c>
      <c r="B1927" s="29">
        <f t="shared" si="95"/>
        <v>5979881720.3581257</v>
      </c>
      <c r="C1927" s="39">
        <f t="shared" si="96"/>
        <v>7168700000</v>
      </c>
      <c r="D1927" s="76">
        <f t="shared" si="97"/>
        <v>1188818279.6418743</v>
      </c>
    </row>
    <row r="1928" spans="1:4" x14ac:dyDescent="0.3">
      <c r="A1928">
        <v>931500</v>
      </c>
      <c r="B1928" s="29">
        <f t="shared" si="95"/>
        <v>5983076228.0487852</v>
      </c>
      <c r="C1928" s="39">
        <f t="shared" si="96"/>
        <v>7172550000</v>
      </c>
      <c r="D1928" s="76">
        <f t="shared" si="97"/>
        <v>1189473771.9512148</v>
      </c>
    </row>
    <row r="1929" spans="1:4" x14ac:dyDescent="0.3">
      <c r="A1929">
        <v>932000</v>
      </c>
      <c r="B1929" s="29">
        <f t="shared" si="95"/>
        <v>5986270735.7394457</v>
      </c>
      <c r="C1929" s="39">
        <f t="shared" si="96"/>
        <v>7176400000</v>
      </c>
      <c r="D1929" s="76">
        <f t="shared" si="97"/>
        <v>1190129264.2605543</v>
      </c>
    </row>
    <row r="1930" spans="1:4" x14ac:dyDescent="0.3">
      <c r="A1930">
        <v>932500</v>
      </c>
      <c r="B1930" s="29">
        <f t="shared" si="95"/>
        <v>5989465243.4301052</v>
      </c>
      <c r="C1930" s="39">
        <f t="shared" si="96"/>
        <v>7180250000</v>
      </c>
      <c r="D1930" s="76">
        <f t="shared" si="97"/>
        <v>1190784756.5698948</v>
      </c>
    </row>
    <row r="1931" spans="1:4" x14ac:dyDescent="0.3">
      <c r="A1931">
        <v>933000</v>
      </c>
      <c r="B1931" s="29">
        <f t="shared" si="95"/>
        <v>5992659751.1207657</v>
      </c>
      <c r="C1931" s="39">
        <f t="shared" si="96"/>
        <v>7184100000</v>
      </c>
      <c r="D1931" s="76">
        <f t="shared" si="97"/>
        <v>1191440248.8792343</v>
      </c>
    </row>
    <row r="1932" spans="1:4" x14ac:dyDescent="0.3">
      <c r="A1932">
        <v>933500</v>
      </c>
      <c r="B1932" s="29">
        <f t="shared" si="95"/>
        <v>5995854258.8114252</v>
      </c>
      <c r="C1932" s="39">
        <f t="shared" si="96"/>
        <v>7187950000</v>
      </c>
      <c r="D1932" s="76">
        <f t="shared" si="97"/>
        <v>1192095741.1885748</v>
      </c>
    </row>
    <row r="1933" spans="1:4" x14ac:dyDescent="0.3">
      <c r="A1933">
        <v>934000</v>
      </c>
      <c r="B1933" s="29">
        <f t="shared" si="95"/>
        <v>5999048766.5020857</v>
      </c>
      <c r="C1933" s="39">
        <f t="shared" si="96"/>
        <v>7191800000</v>
      </c>
      <c r="D1933" s="76">
        <f t="shared" si="97"/>
        <v>1192751233.4979143</v>
      </c>
    </row>
    <row r="1934" spans="1:4" x14ac:dyDescent="0.3">
      <c r="A1934">
        <v>934500</v>
      </c>
      <c r="B1934" s="29">
        <f t="shared" si="95"/>
        <v>6002243274.1927452</v>
      </c>
      <c r="C1934" s="39">
        <f t="shared" si="96"/>
        <v>7195650000</v>
      </c>
      <c r="D1934" s="76">
        <f t="shared" si="97"/>
        <v>1193406725.8072548</v>
      </c>
    </row>
    <row r="1935" spans="1:4" x14ac:dyDescent="0.3">
      <c r="A1935">
        <v>935000</v>
      </c>
      <c r="B1935" s="29">
        <f t="shared" si="95"/>
        <v>6005437781.8834057</v>
      </c>
      <c r="C1935" s="39">
        <f t="shared" si="96"/>
        <v>7199500000</v>
      </c>
      <c r="D1935" s="76">
        <f t="shared" si="97"/>
        <v>1194062218.1165943</v>
      </c>
    </row>
    <row r="1936" spans="1:4" x14ac:dyDescent="0.3">
      <c r="A1936">
        <v>935500</v>
      </c>
      <c r="B1936" s="29">
        <f t="shared" si="95"/>
        <v>6008632289.5740652</v>
      </c>
      <c r="C1936" s="39">
        <f t="shared" si="96"/>
        <v>7203350000</v>
      </c>
      <c r="D1936" s="76">
        <f t="shared" si="97"/>
        <v>1194717710.4259348</v>
      </c>
    </row>
    <row r="1937" spans="1:4" x14ac:dyDescent="0.3">
      <c r="A1937">
        <v>936000</v>
      </c>
      <c r="B1937" s="29">
        <f t="shared" si="95"/>
        <v>6011826797.2647257</v>
      </c>
      <c r="C1937" s="39">
        <f t="shared" si="96"/>
        <v>7207200000</v>
      </c>
      <c r="D1937" s="76">
        <f t="shared" si="97"/>
        <v>1195373202.7352743</v>
      </c>
    </row>
    <row r="1938" spans="1:4" x14ac:dyDescent="0.3">
      <c r="A1938">
        <v>936500</v>
      </c>
      <c r="B1938" s="29">
        <f t="shared" si="95"/>
        <v>6015021304.9553852</v>
      </c>
      <c r="C1938" s="39">
        <f t="shared" si="96"/>
        <v>7211050000</v>
      </c>
      <c r="D1938" s="76">
        <f t="shared" si="97"/>
        <v>1196028695.0446148</v>
      </c>
    </row>
    <row r="1939" spans="1:4" x14ac:dyDescent="0.3">
      <c r="A1939">
        <v>937000</v>
      </c>
      <c r="B1939" s="29">
        <f t="shared" si="95"/>
        <v>6018215812.6460457</v>
      </c>
      <c r="C1939" s="39">
        <f t="shared" si="96"/>
        <v>7214900000</v>
      </c>
      <c r="D1939" s="76">
        <f t="shared" si="97"/>
        <v>1196684187.3539543</v>
      </c>
    </row>
    <row r="1940" spans="1:4" x14ac:dyDescent="0.3">
      <c r="A1940">
        <v>937500</v>
      </c>
      <c r="B1940" s="29">
        <f t="shared" si="95"/>
        <v>6021410320.3367052</v>
      </c>
      <c r="C1940" s="39">
        <f t="shared" si="96"/>
        <v>7218750000</v>
      </c>
      <c r="D1940" s="76">
        <f t="shared" si="97"/>
        <v>1197339679.6632948</v>
      </c>
    </row>
    <row r="1941" spans="1:4" x14ac:dyDescent="0.3">
      <c r="A1941">
        <v>938000</v>
      </c>
      <c r="B1941" s="29">
        <f t="shared" si="95"/>
        <v>6024604828.0273657</v>
      </c>
      <c r="C1941" s="39">
        <f t="shared" si="96"/>
        <v>7222600000</v>
      </c>
      <c r="D1941" s="76">
        <f t="shared" si="97"/>
        <v>1197995171.9726343</v>
      </c>
    </row>
    <row r="1942" spans="1:4" x14ac:dyDescent="0.3">
      <c r="A1942">
        <v>938500</v>
      </c>
      <c r="B1942" s="29">
        <f t="shared" si="95"/>
        <v>6027799335.7180252</v>
      </c>
      <c r="C1942" s="39">
        <f t="shared" si="96"/>
        <v>7226450000</v>
      </c>
      <c r="D1942" s="76">
        <f t="shared" si="97"/>
        <v>1198650664.2819748</v>
      </c>
    </row>
    <row r="1943" spans="1:4" x14ac:dyDescent="0.3">
      <c r="A1943">
        <v>939000</v>
      </c>
      <c r="B1943" s="29">
        <f t="shared" si="95"/>
        <v>6030993843.4086857</v>
      </c>
      <c r="C1943" s="39">
        <f t="shared" si="96"/>
        <v>7230300000</v>
      </c>
      <c r="D1943" s="76">
        <f t="shared" si="97"/>
        <v>1199306156.5913143</v>
      </c>
    </row>
    <row r="1944" spans="1:4" x14ac:dyDescent="0.3">
      <c r="A1944">
        <v>939500</v>
      </c>
      <c r="B1944" s="29">
        <f t="shared" si="95"/>
        <v>6034188351.0993452</v>
      </c>
      <c r="C1944" s="39">
        <f t="shared" si="96"/>
        <v>7234150000</v>
      </c>
      <c r="D1944" s="76">
        <f t="shared" si="97"/>
        <v>1199961648.9006548</v>
      </c>
    </row>
    <row r="1945" spans="1:4" x14ac:dyDescent="0.3">
      <c r="A1945">
        <v>940000</v>
      </c>
      <c r="B1945" s="29">
        <f t="shared" si="95"/>
        <v>6037382858.7900057</v>
      </c>
      <c r="C1945" s="39">
        <f t="shared" si="96"/>
        <v>7238000000</v>
      </c>
      <c r="D1945" s="76">
        <f t="shared" si="97"/>
        <v>1200617141.2099943</v>
      </c>
    </row>
    <row r="1946" spans="1:4" x14ac:dyDescent="0.3">
      <c r="A1946">
        <v>940500</v>
      </c>
      <c r="B1946" s="29">
        <f t="shared" si="95"/>
        <v>6040577366.4806652</v>
      </c>
      <c r="C1946" s="39">
        <f t="shared" si="96"/>
        <v>7241850000</v>
      </c>
      <c r="D1946" s="76">
        <f t="shared" si="97"/>
        <v>1201272633.5193348</v>
      </c>
    </row>
    <row r="1947" spans="1:4" x14ac:dyDescent="0.3">
      <c r="A1947">
        <v>941000</v>
      </c>
      <c r="B1947" s="29">
        <f t="shared" si="95"/>
        <v>6043771874.1713257</v>
      </c>
      <c r="C1947" s="39">
        <f t="shared" si="96"/>
        <v>7245700000</v>
      </c>
      <c r="D1947" s="76">
        <f t="shared" si="97"/>
        <v>1201928125.8286743</v>
      </c>
    </row>
    <row r="1948" spans="1:4" x14ac:dyDescent="0.3">
      <c r="A1948">
        <v>941500</v>
      </c>
      <c r="B1948" s="29">
        <f t="shared" si="95"/>
        <v>6046966381.8619852</v>
      </c>
      <c r="C1948" s="39">
        <f t="shared" si="96"/>
        <v>7249550000</v>
      </c>
      <c r="D1948" s="76">
        <f t="shared" si="97"/>
        <v>1202583618.1380148</v>
      </c>
    </row>
    <row r="1949" spans="1:4" x14ac:dyDescent="0.3">
      <c r="A1949">
        <v>942000</v>
      </c>
      <c r="B1949" s="29">
        <f t="shared" si="95"/>
        <v>6050160889.5526457</v>
      </c>
      <c r="C1949" s="39">
        <f t="shared" si="96"/>
        <v>7253400000</v>
      </c>
      <c r="D1949" s="76">
        <f t="shared" si="97"/>
        <v>1203239110.4473543</v>
      </c>
    </row>
    <row r="1950" spans="1:4" x14ac:dyDescent="0.3">
      <c r="A1950">
        <v>942500</v>
      </c>
      <c r="B1950" s="29">
        <f t="shared" si="95"/>
        <v>6053355397.2433052</v>
      </c>
      <c r="C1950" s="39">
        <f t="shared" si="96"/>
        <v>7257250000</v>
      </c>
      <c r="D1950" s="76">
        <f t="shared" si="97"/>
        <v>1203894602.7566948</v>
      </c>
    </row>
    <row r="1951" spans="1:4" x14ac:dyDescent="0.3">
      <c r="A1951">
        <v>943000</v>
      </c>
      <c r="B1951" s="29">
        <f t="shared" si="95"/>
        <v>6056549904.9339657</v>
      </c>
      <c r="C1951" s="39">
        <f t="shared" si="96"/>
        <v>7261100000</v>
      </c>
      <c r="D1951" s="76">
        <f t="shared" si="97"/>
        <v>1204550095.0660343</v>
      </c>
    </row>
    <row r="1952" spans="1:4" x14ac:dyDescent="0.3">
      <c r="A1952">
        <v>943500</v>
      </c>
      <c r="B1952" s="29">
        <f t="shared" si="95"/>
        <v>6059744412.6246252</v>
      </c>
      <c r="C1952" s="39">
        <f t="shared" si="96"/>
        <v>7264950000</v>
      </c>
      <c r="D1952" s="76">
        <f t="shared" si="97"/>
        <v>1205205587.3753748</v>
      </c>
    </row>
    <row r="1953" spans="1:4" x14ac:dyDescent="0.3">
      <c r="A1953">
        <v>944000</v>
      </c>
      <c r="B1953" s="29">
        <f t="shared" si="95"/>
        <v>6062938920.3152857</v>
      </c>
      <c r="C1953" s="39">
        <f t="shared" si="96"/>
        <v>7268800000</v>
      </c>
      <c r="D1953" s="76">
        <f t="shared" si="97"/>
        <v>1205861079.6847143</v>
      </c>
    </row>
    <row r="1954" spans="1:4" x14ac:dyDescent="0.3">
      <c r="A1954">
        <v>944500</v>
      </c>
      <c r="B1954" s="29">
        <f t="shared" si="95"/>
        <v>6066133428.0059452</v>
      </c>
      <c r="C1954" s="39">
        <f t="shared" si="96"/>
        <v>7272650000</v>
      </c>
      <c r="D1954" s="76">
        <f t="shared" si="97"/>
        <v>1206516571.9940548</v>
      </c>
    </row>
    <row r="1955" spans="1:4" x14ac:dyDescent="0.3">
      <c r="A1955">
        <v>945000</v>
      </c>
      <c r="B1955" s="29">
        <f t="shared" si="95"/>
        <v>6069327935.6966057</v>
      </c>
      <c r="C1955" s="39">
        <f t="shared" si="96"/>
        <v>7276500000</v>
      </c>
      <c r="D1955" s="76">
        <f t="shared" si="97"/>
        <v>1207172064.3033943</v>
      </c>
    </row>
    <row r="1956" spans="1:4" x14ac:dyDescent="0.3">
      <c r="A1956">
        <v>945500</v>
      </c>
      <c r="B1956" s="29">
        <f t="shared" si="95"/>
        <v>6072522443.3872652</v>
      </c>
      <c r="C1956" s="39">
        <f t="shared" si="96"/>
        <v>7280350000</v>
      </c>
      <c r="D1956" s="76">
        <f t="shared" si="97"/>
        <v>1207827556.6127348</v>
      </c>
    </row>
    <row r="1957" spans="1:4" x14ac:dyDescent="0.3">
      <c r="A1957">
        <v>946000</v>
      </c>
      <c r="B1957" s="29">
        <f t="shared" si="95"/>
        <v>6075716951.0779257</v>
      </c>
      <c r="C1957" s="39">
        <f t="shared" si="96"/>
        <v>7284200000</v>
      </c>
      <c r="D1957" s="76">
        <f t="shared" si="97"/>
        <v>1208483048.9220743</v>
      </c>
    </row>
    <row r="1958" spans="1:4" x14ac:dyDescent="0.3">
      <c r="A1958">
        <v>946500</v>
      </c>
      <c r="B1958" s="29">
        <f t="shared" si="95"/>
        <v>6078911458.7685852</v>
      </c>
      <c r="C1958" s="39">
        <f t="shared" si="96"/>
        <v>7288050000</v>
      </c>
      <c r="D1958" s="76">
        <f t="shared" si="97"/>
        <v>1209138541.2314148</v>
      </c>
    </row>
    <row r="1959" spans="1:4" x14ac:dyDescent="0.3">
      <c r="A1959">
        <v>947000</v>
      </c>
      <c r="B1959" s="29">
        <f t="shared" si="95"/>
        <v>6082105966.4592457</v>
      </c>
      <c r="C1959" s="39">
        <f t="shared" si="96"/>
        <v>7291900000</v>
      </c>
      <c r="D1959" s="76">
        <f t="shared" si="97"/>
        <v>1209794033.5407543</v>
      </c>
    </row>
    <row r="1960" spans="1:4" x14ac:dyDescent="0.3">
      <c r="A1960">
        <v>947500</v>
      </c>
      <c r="B1960" s="29">
        <f t="shared" si="95"/>
        <v>6085300474.1499052</v>
      </c>
      <c r="C1960" s="39">
        <f t="shared" si="96"/>
        <v>7295750000</v>
      </c>
      <c r="D1960" s="76">
        <f t="shared" si="97"/>
        <v>1210449525.8500948</v>
      </c>
    </row>
    <row r="1961" spans="1:4" x14ac:dyDescent="0.3">
      <c r="A1961">
        <v>948000</v>
      </c>
      <c r="B1961" s="29">
        <f t="shared" si="95"/>
        <v>6088494981.8405657</v>
      </c>
      <c r="C1961" s="39">
        <f t="shared" si="96"/>
        <v>7299600000</v>
      </c>
      <c r="D1961" s="76">
        <f t="shared" si="97"/>
        <v>1211105018.1594343</v>
      </c>
    </row>
    <row r="1962" spans="1:4" x14ac:dyDescent="0.3">
      <c r="A1962">
        <v>948500</v>
      </c>
      <c r="B1962" s="29">
        <f t="shared" si="95"/>
        <v>6091689489.5312252</v>
      </c>
      <c r="C1962" s="39">
        <f t="shared" si="96"/>
        <v>7303450000</v>
      </c>
      <c r="D1962" s="76">
        <f t="shared" si="97"/>
        <v>1211760510.4687748</v>
      </c>
    </row>
    <row r="1963" spans="1:4" x14ac:dyDescent="0.3">
      <c r="A1963">
        <v>949000</v>
      </c>
      <c r="B1963" s="29">
        <f t="shared" si="95"/>
        <v>6094883997.2218857</v>
      </c>
      <c r="C1963" s="39">
        <f t="shared" si="96"/>
        <v>7307300000</v>
      </c>
      <c r="D1963" s="76">
        <f t="shared" si="97"/>
        <v>1212416002.7781143</v>
      </c>
    </row>
    <row r="1964" spans="1:4" x14ac:dyDescent="0.3">
      <c r="A1964">
        <v>949500</v>
      </c>
      <c r="B1964" s="29">
        <f t="shared" si="95"/>
        <v>6098078504.9125452</v>
      </c>
      <c r="C1964" s="39">
        <f t="shared" si="96"/>
        <v>7311150000</v>
      </c>
      <c r="D1964" s="76">
        <f t="shared" si="97"/>
        <v>1213071495.0874548</v>
      </c>
    </row>
    <row r="1965" spans="1:4" x14ac:dyDescent="0.3">
      <c r="A1965">
        <v>950000</v>
      </c>
      <c r="B1965" s="29">
        <f t="shared" si="95"/>
        <v>6101273012.6032057</v>
      </c>
      <c r="C1965" s="39">
        <f t="shared" si="96"/>
        <v>7315000000</v>
      </c>
      <c r="D1965" s="76">
        <f t="shared" si="97"/>
        <v>1213726987.3967943</v>
      </c>
    </row>
    <row r="1966" spans="1:4" x14ac:dyDescent="0.3">
      <c r="A1966">
        <v>950500</v>
      </c>
      <c r="B1966" s="29">
        <f t="shared" si="95"/>
        <v>6104467520.2938652</v>
      </c>
      <c r="C1966" s="39">
        <f t="shared" si="96"/>
        <v>7318850000</v>
      </c>
      <c r="D1966" s="76">
        <f t="shared" si="97"/>
        <v>1214382479.7061348</v>
      </c>
    </row>
    <row r="1967" spans="1:4" x14ac:dyDescent="0.3">
      <c r="A1967">
        <v>951000</v>
      </c>
      <c r="B1967" s="29">
        <f t="shared" si="95"/>
        <v>6107662027.9845257</v>
      </c>
      <c r="C1967" s="39">
        <f t="shared" si="96"/>
        <v>7322700000</v>
      </c>
      <c r="D1967" s="76">
        <f t="shared" si="97"/>
        <v>1215037972.0154743</v>
      </c>
    </row>
    <row r="1968" spans="1:4" x14ac:dyDescent="0.3">
      <c r="A1968">
        <v>951500</v>
      </c>
      <c r="B1968" s="29">
        <f t="shared" si="95"/>
        <v>6110856535.6751852</v>
      </c>
      <c r="C1968" s="39">
        <f t="shared" si="96"/>
        <v>7326550000</v>
      </c>
      <c r="D1968" s="76">
        <f t="shared" si="97"/>
        <v>1215693464.3248148</v>
      </c>
    </row>
    <row r="1969" spans="1:4" x14ac:dyDescent="0.3">
      <c r="A1969">
        <v>952000</v>
      </c>
      <c r="B1969" s="29">
        <f t="shared" si="95"/>
        <v>6114051043.3658457</v>
      </c>
      <c r="C1969" s="39">
        <f t="shared" si="96"/>
        <v>7330400000</v>
      </c>
      <c r="D1969" s="76">
        <f t="shared" si="97"/>
        <v>1216348956.6341543</v>
      </c>
    </row>
    <row r="1970" spans="1:4" x14ac:dyDescent="0.3">
      <c r="A1970">
        <v>952500</v>
      </c>
      <c r="B1970" s="29">
        <f t="shared" si="95"/>
        <v>6117245551.0565052</v>
      </c>
      <c r="C1970" s="39">
        <f t="shared" si="96"/>
        <v>7334250000</v>
      </c>
      <c r="D1970" s="76">
        <f t="shared" si="97"/>
        <v>1217004448.9434948</v>
      </c>
    </row>
    <row r="1971" spans="1:4" x14ac:dyDescent="0.3">
      <c r="A1971">
        <v>953000</v>
      </c>
      <c r="B1971" s="29">
        <f t="shared" si="95"/>
        <v>6120440058.7471657</v>
      </c>
      <c r="C1971" s="39">
        <f t="shared" si="96"/>
        <v>7338100000</v>
      </c>
      <c r="D1971" s="76">
        <f t="shared" si="97"/>
        <v>1217659941.2528343</v>
      </c>
    </row>
    <row r="1972" spans="1:4" x14ac:dyDescent="0.3">
      <c r="A1972">
        <v>953500</v>
      </c>
      <c r="B1972" s="29">
        <f t="shared" si="95"/>
        <v>6123634566.4378252</v>
      </c>
      <c r="C1972" s="39">
        <f t="shared" si="96"/>
        <v>7341950000</v>
      </c>
      <c r="D1972" s="76">
        <f t="shared" si="97"/>
        <v>1218315433.5621748</v>
      </c>
    </row>
    <row r="1973" spans="1:4" x14ac:dyDescent="0.3">
      <c r="A1973">
        <v>954000</v>
      </c>
      <c r="B1973" s="29">
        <f t="shared" si="95"/>
        <v>6126829074.1284857</v>
      </c>
      <c r="C1973" s="39">
        <f t="shared" si="96"/>
        <v>7345800000</v>
      </c>
      <c r="D1973" s="76">
        <f t="shared" si="97"/>
        <v>1218970925.8715143</v>
      </c>
    </row>
    <row r="1974" spans="1:4" x14ac:dyDescent="0.3">
      <c r="A1974">
        <v>954500</v>
      </c>
      <c r="B1974" s="29">
        <f t="shared" si="95"/>
        <v>6130023581.8191452</v>
      </c>
      <c r="C1974" s="39">
        <f t="shared" si="96"/>
        <v>7349650000</v>
      </c>
      <c r="D1974" s="76">
        <f t="shared" si="97"/>
        <v>1219626418.1808548</v>
      </c>
    </row>
    <row r="1975" spans="1:4" x14ac:dyDescent="0.3">
      <c r="A1975">
        <v>955000</v>
      </c>
      <c r="B1975" s="29">
        <f t="shared" si="95"/>
        <v>6133218089.5098057</v>
      </c>
      <c r="C1975" s="39">
        <f t="shared" si="96"/>
        <v>7353500000</v>
      </c>
      <c r="D1975" s="76">
        <f t="shared" si="97"/>
        <v>1220281910.4901943</v>
      </c>
    </row>
    <row r="1976" spans="1:4" x14ac:dyDescent="0.3">
      <c r="A1976">
        <v>955500</v>
      </c>
      <c r="B1976" s="29">
        <f t="shared" si="95"/>
        <v>6136412597.2004652</v>
      </c>
      <c r="C1976" s="39">
        <f t="shared" si="96"/>
        <v>7357350000</v>
      </c>
      <c r="D1976" s="76">
        <f t="shared" si="97"/>
        <v>1220937402.7995348</v>
      </c>
    </row>
    <row r="1977" spans="1:4" x14ac:dyDescent="0.3">
      <c r="A1977">
        <v>956000</v>
      </c>
      <c r="B1977" s="29">
        <f t="shared" si="95"/>
        <v>6139607104.8911257</v>
      </c>
      <c r="C1977" s="39">
        <f t="shared" si="96"/>
        <v>7361200000</v>
      </c>
      <c r="D1977" s="76">
        <f t="shared" si="97"/>
        <v>1221592895.1088743</v>
      </c>
    </row>
    <row r="1978" spans="1:4" x14ac:dyDescent="0.3">
      <c r="A1978">
        <v>956500</v>
      </c>
      <c r="B1978" s="29">
        <f t="shared" si="95"/>
        <v>6142801612.5817852</v>
      </c>
      <c r="C1978" s="39">
        <f t="shared" si="96"/>
        <v>7365050000</v>
      </c>
      <c r="D1978" s="76">
        <f t="shared" si="97"/>
        <v>1222248387.4182148</v>
      </c>
    </row>
    <row r="1979" spans="1:4" x14ac:dyDescent="0.3">
      <c r="A1979">
        <v>957000</v>
      </c>
      <c r="B1979" s="29">
        <f t="shared" si="95"/>
        <v>6145996120.2724457</v>
      </c>
      <c r="C1979" s="39">
        <f t="shared" si="96"/>
        <v>7368900000</v>
      </c>
      <c r="D1979" s="76">
        <f t="shared" si="97"/>
        <v>1222903879.7275543</v>
      </c>
    </row>
    <row r="1980" spans="1:4" x14ac:dyDescent="0.3">
      <c r="A1980">
        <v>957500</v>
      </c>
      <c r="B1980" s="29">
        <f t="shared" si="95"/>
        <v>6149190627.9631052</v>
      </c>
      <c r="C1980" s="39">
        <f t="shared" si="96"/>
        <v>7372750000</v>
      </c>
      <c r="D1980" s="76">
        <f t="shared" si="97"/>
        <v>1223559372.0368948</v>
      </c>
    </row>
    <row r="1981" spans="1:4" x14ac:dyDescent="0.3">
      <c r="A1981">
        <v>958000</v>
      </c>
      <c r="B1981" s="29">
        <f t="shared" si="95"/>
        <v>6152385135.6537657</v>
      </c>
      <c r="C1981" s="39">
        <f t="shared" si="96"/>
        <v>7376600000</v>
      </c>
      <c r="D1981" s="76">
        <f t="shared" si="97"/>
        <v>1224214864.3462343</v>
      </c>
    </row>
    <row r="1982" spans="1:4" x14ac:dyDescent="0.3">
      <c r="A1982">
        <v>958500</v>
      </c>
      <c r="B1982" s="29">
        <f t="shared" si="95"/>
        <v>6155579643.3444252</v>
      </c>
      <c r="C1982" s="39">
        <f t="shared" si="96"/>
        <v>7380450000</v>
      </c>
      <c r="D1982" s="76">
        <f t="shared" si="97"/>
        <v>1224870356.6555748</v>
      </c>
    </row>
    <row r="1983" spans="1:4" x14ac:dyDescent="0.3">
      <c r="A1983">
        <v>959000</v>
      </c>
      <c r="B1983" s="29">
        <f t="shared" si="95"/>
        <v>6158774151.0350857</v>
      </c>
      <c r="C1983" s="39">
        <f t="shared" si="96"/>
        <v>7384300000</v>
      </c>
      <c r="D1983" s="76">
        <f t="shared" si="97"/>
        <v>1225525848.9649143</v>
      </c>
    </row>
    <row r="1984" spans="1:4" x14ac:dyDescent="0.3">
      <c r="A1984">
        <v>959500</v>
      </c>
      <c r="B1984" s="29">
        <f t="shared" si="95"/>
        <v>6161968658.7257452</v>
      </c>
      <c r="C1984" s="39">
        <f t="shared" si="96"/>
        <v>7388150000</v>
      </c>
      <c r="D1984" s="76">
        <f t="shared" si="97"/>
        <v>1226181341.2742548</v>
      </c>
    </row>
    <row r="1985" spans="1:4" x14ac:dyDescent="0.3">
      <c r="A1985">
        <v>960000</v>
      </c>
      <c r="B1985" s="29">
        <f t="shared" si="95"/>
        <v>6165163166.4164057</v>
      </c>
      <c r="C1985" s="39">
        <f t="shared" si="96"/>
        <v>7392000000</v>
      </c>
      <c r="D1985" s="76">
        <f t="shared" si="97"/>
        <v>1226836833.5835943</v>
      </c>
    </row>
    <row r="1986" spans="1:4" x14ac:dyDescent="0.3">
      <c r="A1986">
        <v>960500</v>
      </c>
      <c r="B1986" s="29">
        <f t="shared" ref="B1986:B2049" si="98">$B$54+($B$60*A1986)</f>
        <v>6168357674.1070652</v>
      </c>
      <c r="C1986" s="39">
        <f t="shared" ref="C1986:C2049" si="99">$E$50*A1986</f>
        <v>7395850000</v>
      </c>
      <c r="D1986" s="76">
        <f t="shared" ref="D1986:D2049" si="100">C1986-B1986</f>
        <v>1227492325.8929348</v>
      </c>
    </row>
    <row r="1987" spans="1:4" x14ac:dyDescent="0.3">
      <c r="A1987">
        <v>961000</v>
      </c>
      <c r="B1987" s="29">
        <f t="shared" si="98"/>
        <v>6171552181.7977257</v>
      </c>
      <c r="C1987" s="39">
        <f t="shared" si="99"/>
        <v>7399700000</v>
      </c>
      <c r="D1987" s="76">
        <f t="shared" si="100"/>
        <v>1228147818.2022743</v>
      </c>
    </row>
    <row r="1988" spans="1:4" x14ac:dyDescent="0.3">
      <c r="A1988">
        <v>961500</v>
      </c>
      <c r="B1988" s="29">
        <f t="shared" si="98"/>
        <v>6174746689.4883852</v>
      </c>
      <c r="C1988" s="39">
        <f t="shared" si="99"/>
        <v>7403550000</v>
      </c>
      <c r="D1988" s="76">
        <f t="shared" si="100"/>
        <v>1228803310.5116148</v>
      </c>
    </row>
    <row r="1989" spans="1:4" x14ac:dyDescent="0.3">
      <c r="A1989">
        <v>962000</v>
      </c>
      <c r="B1989" s="29">
        <f t="shared" si="98"/>
        <v>6177941197.1790457</v>
      </c>
      <c r="C1989" s="39">
        <f t="shared" si="99"/>
        <v>7407400000</v>
      </c>
      <c r="D1989" s="76">
        <f t="shared" si="100"/>
        <v>1229458802.8209543</v>
      </c>
    </row>
    <row r="1990" spans="1:4" x14ac:dyDescent="0.3">
      <c r="A1990">
        <v>962500</v>
      </c>
      <c r="B1990" s="29">
        <f t="shared" si="98"/>
        <v>6181135704.8697052</v>
      </c>
      <c r="C1990" s="39">
        <f t="shared" si="99"/>
        <v>7411250000</v>
      </c>
      <c r="D1990" s="76">
        <f t="shared" si="100"/>
        <v>1230114295.1302948</v>
      </c>
    </row>
    <row r="1991" spans="1:4" x14ac:dyDescent="0.3">
      <c r="A1991">
        <v>963000</v>
      </c>
      <c r="B1991" s="29">
        <f t="shared" si="98"/>
        <v>6184330212.5603657</v>
      </c>
      <c r="C1991" s="39">
        <f t="shared" si="99"/>
        <v>7415100000</v>
      </c>
      <c r="D1991" s="76">
        <f t="shared" si="100"/>
        <v>1230769787.4396343</v>
      </c>
    </row>
    <row r="1992" spans="1:4" x14ac:dyDescent="0.3">
      <c r="A1992">
        <v>963500</v>
      </c>
      <c r="B1992" s="29">
        <f t="shared" si="98"/>
        <v>6187524720.2510252</v>
      </c>
      <c r="C1992" s="39">
        <f t="shared" si="99"/>
        <v>7418950000</v>
      </c>
      <c r="D1992" s="76">
        <f t="shared" si="100"/>
        <v>1231425279.7489748</v>
      </c>
    </row>
    <row r="1993" spans="1:4" x14ac:dyDescent="0.3">
      <c r="A1993">
        <v>964000</v>
      </c>
      <c r="B1993" s="29">
        <f t="shared" si="98"/>
        <v>6190719227.9416857</v>
      </c>
      <c r="C1993" s="39">
        <f t="shared" si="99"/>
        <v>7422800000</v>
      </c>
      <c r="D1993" s="76">
        <f t="shared" si="100"/>
        <v>1232080772.0583143</v>
      </c>
    </row>
    <row r="1994" spans="1:4" x14ac:dyDescent="0.3">
      <c r="A1994">
        <v>964500</v>
      </c>
      <c r="B1994" s="29">
        <f t="shared" si="98"/>
        <v>6193913735.6323452</v>
      </c>
      <c r="C1994" s="39">
        <f t="shared" si="99"/>
        <v>7426650000</v>
      </c>
      <c r="D1994" s="76">
        <f t="shared" si="100"/>
        <v>1232736264.3676548</v>
      </c>
    </row>
    <row r="1995" spans="1:4" x14ac:dyDescent="0.3">
      <c r="A1995">
        <v>965000</v>
      </c>
      <c r="B1995" s="29">
        <f t="shared" si="98"/>
        <v>6197108243.3230057</v>
      </c>
      <c r="C1995" s="39">
        <f t="shared" si="99"/>
        <v>7430500000</v>
      </c>
      <c r="D1995" s="76">
        <f t="shared" si="100"/>
        <v>1233391756.6769943</v>
      </c>
    </row>
    <row r="1996" spans="1:4" x14ac:dyDescent="0.3">
      <c r="A1996">
        <v>965500</v>
      </c>
      <c r="B1996" s="29">
        <f t="shared" si="98"/>
        <v>6200302751.0136652</v>
      </c>
      <c r="C1996" s="39">
        <f t="shared" si="99"/>
        <v>7434350000</v>
      </c>
      <c r="D1996" s="76">
        <f t="shared" si="100"/>
        <v>1234047248.9863348</v>
      </c>
    </row>
    <row r="1997" spans="1:4" x14ac:dyDescent="0.3">
      <c r="A1997">
        <v>966000</v>
      </c>
      <c r="B1997" s="29">
        <f t="shared" si="98"/>
        <v>6203497258.7043257</v>
      </c>
      <c r="C1997" s="39">
        <f t="shared" si="99"/>
        <v>7438200000</v>
      </c>
      <c r="D1997" s="76">
        <f t="shared" si="100"/>
        <v>1234702741.2956743</v>
      </c>
    </row>
    <row r="1998" spans="1:4" x14ac:dyDescent="0.3">
      <c r="A1998">
        <v>966500</v>
      </c>
      <c r="B1998" s="29">
        <f t="shared" si="98"/>
        <v>6206691766.3949852</v>
      </c>
      <c r="C1998" s="39">
        <f t="shared" si="99"/>
        <v>7442050000</v>
      </c>
      <c r="D1998" s="76">
        <f t="shared" si="100"/>
        <v>1235358233.6050148</v>
      </c>
    </row>
    <row r="1999" spans="1:4" x14ac:dyDescent="0.3">
      <c r="A1999">
        <v>967000</v>
      </c>
      <c r="B1999" s="29">
        <f t="shared" si="98"/>
        <v>6209886274.0856457</v>
      </c>
      <c r="C1999" s="39">
        <f t="shared" si="99"/>
        <v>7445900000</v>
      </c>
      <c r="D1999" s="76">
        <f t="shared" si="100"/>
        <v>1236013725.9143543</v>
      </c>
    </row>
    <row r="2000" spans="1:4" x14ac:dyDescent="0.3">
      <c r="A2000">
        <v>967500</v>
      </c>
      <c r="B2000" s="29">
        <f t="shared" si="98"/>
        <v>6213080781.7763052</v>
      </c>
      <c r="C2000" s="39">
        <f t="shared" si="99"/>
        <v>7449750000</v>
      </c>
      <c r="D2000" s="76">
        <f t="shared" si="100"/>
        <v>1236669218.2236948</v>
      </c>
    </row>
    <row r="2001" spans="1:4" x14ac:dyDescent="0.3">
      <c r="A2001">
        <v>968000</v>
      </c>
      <c r="B2001" s="29">
        <f t="shared" si="98"/>
        <v>6216275289.4669657</v>
      </c>
      <c r="C2001" s="39">
        <f t="shared" si="99"/>
        <v>7453600000</v>
      </c>
      <c r="D2001" s="76">
        <f t="shared" si="100"/>
        <v>1237324710.5330343</v>
      </c>
    </row>
    <row r="2002" spans="1:4" x14ac:dyDescent="0.3">
      <c r="A2002">
        <v>968500</v>
      </c>
      <c r="B2002" s="29">
        <f t="shared" si="98"/>
        <v>6219469797.1576252</v>
      </c>
      <c r="C2002" s="39">
        <f t="shared" si="99"/>
        <v>7457450000</v>
      </c>
      <c r="D2002" s="76">
        <f t="shared" si="100"/>
        <v>1237980202.8423748</v>
      </c>
    </row>
    <row r="2003" spans="1:4" x14ac:dyDescent="0.3">
      <c r="A2003">
        <v>969000</v>
      </c>
      <c r="B2003" s="29">
        <f t="shared" si="98"/>
        <v>6222664304.8482857</v>
      </c>
      <c r="C2003" s="39">
        <f t="shared" si="99"/>
        <v>7461300000</v>
      </c>
      <c r="D2003" s="76">
        <f t="shared" si="100"/>
        <v>1238635695.1517143</v>
      </c>
    </row>
    <row r="2004" spans="1:4" x14ac:dyDescent="0.3">
      <c r="A2004">
        <v>969500</v>
      </c>
      <c r="B2004" s="29">
        <f t="shared" si="98"/>
        <v>6225858812.5389452</v>
      </c>
      <c r="C2004" s="39">
        <f t="shared" si="99"/>
        <v>7465150000</v>
      </c>
      <c r="D2004" s="76">
        <f t="shared" si="100"/>
        <v>1239291187.4610548</v>
      </c>
    </row>
    <row r="2005" spans="1:4" x14ac:dyDescent="0.3">
      <c r="A2005">
        <v>970000</v>
      </c>
      <c r="B2005" s="29">
        <f t="shared" si="98"/>
        <v>6229053320.2296057</v>
      </c>
      <c r="C2005" s="39">
        <f t="shared" si="99"/>
        <v>7469000000</v>
      </c>
      <c r="D2005" s="76">
        <f t="shared" si="100"/>
        <v>1239946679.7703943</v>
      </c>
    </row>
    <row r="2006" spans="1:4" x14ac:dyDescent="0.3">
      <c r="A2006">
        <v>970500</v>
      </c>
      <c r="B2006" s="29">
        <f t="shared" si="98"/>
        <v>6232247827.9202652</v>
      </c>
      <c r="C2006" s="39">
        <f t="shared" si="99"/>
        <v>7472850000</v>
      </c>
      <c r="D2006" s="76">
        <f t="shared" si="100"/>
        <v>1240602172.0797348</v>
      </c>
    </row>
    <row r="2007" spans="1:4" x14ac:dyDescent="0.3">
      <c r="A2007">
        <v>971000</v>
      </c>
      <c r="B2007" s="29">
        <f t="shared" si="98"/>
        <v>6235442335.6109257</v>
      </c>
      <c r="C2007" s="39">
        <f t="shared" si="99"/>
        <v>7476700000</v>
      </c>
      <c r="D2007" s="76">
        <f t="shared" si="100"/>
        <v>1241257664.3890743</v>
      </c>
    </row>
    <row r="2008" spans="1:4" x14ac:dyDescent="0.3">
      <c r="A2008">
        <v>971500</v>
      </c>
      <c r="B2008" s="29">
        <f t="shared" si="98"/>
        <v>6238636843.3015852</v>
      </c>
      <c r="C2008" s="39">
        <f t="shared" si="99"/>
        <v>7480550000</v>
      </c>
      <c r="D2008" s="76">
        <f t="shared" si="100"/>
        <v>1241913156.6984148</v>
      </c>
    </row>
    <row r="2009" spans="1:4" x14ac:dyDescent="0.3">
      <c r="A2009">
        <v>972000</v>
      </c>
      <c r="B2009" s="29">
        <f t="shared" si="98"/>
        <v>6241831350.9922457</v>
      </c>
      <c r="C2009" s="39">
        <f t="shared" si="99"/>
        <v>7484400000</v>
      </c>
      <c r="D2009" s="76">
        <f t="shared" si="100"/>
        <v>1242568649.0077543</v>
      </c>
    </row>
    <row r="2010" spans="1:4" x14ac:dyDescent="0.3">
      <c r="A2010">
        <v>972500</v>
      </c>
      <c r="B2010" s="29">
        <f t="shared" si="98"/>
        <v>6245025858.6829052</v>
      </c>
      <c r="C2010" s="39">
        <f t="shared" si="99"/>
        <v>7488250000</v>
      </c>
      <c r="D2010" s="76">
        <f t="shared" si="100"/>
        <v>1243224141.3170948</v>
      </c>
    </row>
    <row r="2011" spans="1:4" x14ac:dyDescent="0.3">
      <c r="A2011">
        <v>973000</v>
      </c>
      <c r="B2011" s="29">
        <f t="shared" si="98"/>
        <v>6248220366.3735657</v>
      </c>
      <c r="C2011" s="39">
        <f t="shared" si="99"/>
        <v>7492100000</v>
      </c>
      <c r="D2011" s="76">
        <f t="shared" si="100"/>
        <v>1243879633.6264343</v>
      </c>
    </row>
    <row r="2012" spans="1:4" x14ac:dyDescent="0.3">
      <c r="A2012">
        <v>973500</v>
      </c>
      <c r="B2012" s="29">
        <f t="shared" si="98"/>
        <v>6251414874.0642252</v>
      </c>
      <c r="C2012" s="39">
        <f t="shared" si="99"/>
        <v>7495950000</v>
      </c>
      <c r="D2012" s="76">
        <f t="shared" si="100"/>
        <v>1244535125.9357748</v>
      </c>
    </row>
    <row r="2013" spans="1:4" x14ac:dyDescent="0.3">
      <c r="A2013">
        <v>974000</v>
      </c>
      <c r="B2013" s="29">
        <f t="shared" si="98"/>
        <v>6254609381.7548857</v>
      </c>
      <c r="C2013" s="39">
        <f t="shared" si="99"/>
        <v>7499800000</v>
      </c>
      <c r="D2013" s="76">
        <f t="shared" si="100"/>
        <v>1245190618.2451143</v>
      </c>
    </row>
    <row r="2014" spans="1:4" x14ac:dyDescent="0.3">
      <c r="A2014">
        <v>974500</v>
      </c>
      <c r="B2014" s="29">
        <f t="shared" si="98"/>
        <v>6257803889.4455452</v>
      </c>
      <c r="C2014" s="39">
        <f t="shared" si="99"/>
        <v>7503650000</v>
      </c>
      <c r="D2014" s="76">
        <f t="shared" si="100"/>
        <v>1245846110.5544548</v>
      </c>
    </row>
    <row r="2015" spans="1:4" x14ac:dyDescent="0.3">
      <c r="A2015">
        <v>975000</v>
      </c>
      <c r="B2015" s="29">
        <f t="shared" si="98"/>
        <v>6260998397.1362057</v>
      </c>
      <c r="C2015" s="39">
        <f t="shared" si="99"/>
        <v>7507500000</v>
      </c>
      <c r="D2015" s="76">
        <f t="shared" si="100"/>
        <v>1246501602.8637943</v>
      </c>
    </row>
    <row r="2016" spans="1:4" x14ac:dyDescent="0.3">
      <c r="A2016">
        <v>975500</v>
      </c>
      <c r="B2016" s="29">
        <f t="shared" si="98"/>
        <v>6264192904.8268652</v>
      </c>
      <c r="C2016" s="39">
        <f t="shared" si="99"/>
        <v>7511350000</v>
      </c>
      <c r="D2016" s="76">
        <f t="shared" si="100"/>
        <v>1247157095.1731348</v>
      </c>
    </row>
    <row r="2017" spans="1:4" x14ac:dyDescent="0.3">
      <c r="A2017">
        <v>976000</v>
      </c>
      <c r="B2017" s="29">
        <f t="shared" si="98"/>
        <v>6267387412.5175257</v>
      </c>
      <c r="C2017" s="39">
        <f t="shared" si="99"/>
        <v>7515200000</v>
      </c>
      <c r="D2017" s="76">
        <f t="shared" si="100"/>
        <v>1247812587.4824743</v>
      </c>
    </row>
    <row r="2018" spans="1:4" x14ac:dyDescent="0.3">
      <c r="A2018">
        <v>976500</v>
      </c>
      <c r="B2018" s="29">
        <f t="shared" si="98"/>
        <v>6270581920.2081852</v>
      </c>
      <c r="C2018" s="39">
        <f t="shared" si="99"/>
        <v>7519050000</v>
      </c>
      <c r="D2018" s="76">
        <f t="shared" si="100"/>
        <v>1248468079.7918148</v>
      </c>
    </row>
    <row r="2019" spans="1:4" x14ac:dyDescent="0.3">
      <c r="A2019">
        <v>977000</v>
      </c>
      <c r="B2019" s="29">
        <f t="shared" si="98"/>
        <v>6273776427.8988457</v>
      </c>
      <c r="C2019" s="39">
        <f t="shared" si="99"/>
        <v>7522900000</v>
      </c>
      <c r="D2019" s="76">
        <f t="shared" si="100"/>
        <v>1249123572.1011543</v>
      </c>
    </row>
    <row r="2020" spans="1:4" x14ac:dyDescent="0.3">
      <c r="A2020">
        <v>977500</v>
      </c>
      <c r="B2020" s="29">
        <f t="shared" si="98"/>
        <v>6276970935.5895052</v>
      </c>
      <c r="C2020" s="39">
        <f t="shared" si="99"/>
        <v>7526750000</v>
      </c>
      <c r="D2020" s="76">
        <f t="shared" si="100"/>
        <v>1249779064.4104948</v>
      </c>
    </row>
    <row r="2021" spans="1:4" x14ac:dyDescent="0.3">
      <c r="A2021">
        <v>978000</v>
      </c>
      <c r="B2021" s="29">
        <f t="shared" si="98"/>
        <v>6280165443.2801657</v>
      </c>
      <c r="C2021" s="39">
        <f t="shared" si="99"/>
        <v>7530600000</v>
      </c>
      <c r="D2021" s="76">
        <f t="shared" si="100"/>
        <v>1250434556.7198343</v>
      </c>
    </row>
    <row r="2022" spans="1:4" x14ac:dyDescent="0.3">
      <c r="A2022">
        <v>978500</v>
      </c>
      <c r="B2022" s="29">
        <f t="shared" si="98"/>
        <v>6283359950.9708252</v>
      </c>
      <c r="C2022" s="39">
        <f t="shared" si="99"/>
        <v>7534450000</v>
      </c>
      <c r="D2022" s="76">
        <f t="shared" si="100"/>
        <v>1251090049.0291748</v>
      </c>
    </row>
    <row r="2023" spans="1:4" x14ac:dyDescent="0.3">
      <c r="A2023">
        <v>979000</v>
      </c>
      <c r="B2023" s="29">
        <f t="shared" si="98"/>
        <v>6286554458.6614857</v>
      </c>
      <c r="C2023" s="39">
        <f t="shared" si="99"/>
        <v>7538300000</v>
      </c>
      <c r="D2023" s="76">
        <f t="shared" si="100"/>
        <v>1251745541.3385143</v>
      </c>
    </row>
    <row r="2024" spans="1:4" x14ac:dyDescent="0.3">
      <c r="A2024">
        <v>979500</v>
      </c>
      <c r="B2024" s="29">
        <f t="shared" si="98"/>
        <v>6289748966.3521452</v>
      </c>
      <c r="C2024" s="39">
        <f t="shared" si="99"/>
        <v>7542150000</v>
      </c>
      <c r="D2024" s="76">
        <f t="shared" si="100"/>
        <v>1252401033.6478548</v>
      </c>
    </row>
    <row r="2025" spans="1:4" x14ac:dyDescent="0.3">
      <c r="A2025">
        <v>980000</v>
      </c>
      <c r="B2025" s="29">
        <f t="shared" si="98"/>
        <v>6292943474.0428057</v>
      </c>
      <c r="C2025" s="39">
        <f t="shared" si="99"/>
        <v>7546000000</v>
      </c>
      <c r="D2025" s="76">
        <f t="shared" si="100"/>
        <v>1253056525.9571943</v>
      </c>
    </row>
    <row r="2026" spans="1:4" x14ac:dyDescent="0.3">
      <c r="A2026">
        <v>980500</v>
      </c>
      <c r="B2026" s="29">
        <f t="shared" si="98"/>
        <v>6296137981.7334652</v>
      </c>
      <c r="C2026" s="39">
        <f t="shared" si="99"/>
        <v>7549850000</v>
      </c>
      <c r="D2026" s="76">
        <f t="shared" si="100"/>
        <v>1253712018.2665348</v>
      </c>
    </row>
    <row r="2027" spans="1:4" x14ac:dyDescent="0.3">
      <c r="A2027">
        <v>981000</v>
      </c>
      <c r="B2027" s="29">
        <f t="shared" si="98"/>
        <v>6299332489.4241257</v>
      </c>
      <c r="C2027" s="39">
        <f t="shared" si="99"/>
        <v>7553700000</v>
      </c>
      <c r="D2027" s="76">
        <f t="shared" si="100"/>
        <v>1254367510.5758743</v>
      </c>
    </row>
    <row r="2028" spans="1:4" x14ac:dyDescent="0.3">
      <c r="A2028">
        <v>981500</v>
      </c>
      <c r="B2028" s="29">
        <f t="shared" si="98"/>
        <v>6302526997.1147852</v>
      </c>
      <c r="C2028" s="39">
        <f t="shared" si="99"/>
        <v>7557550000</v>
      </c>
      <c r="D2028" s="76">
        <f t="shared" si="100"/>
        <v>1255023002.8852148</v>
      </c>
    </row>
    <row r="2029" spans="1:4" x14ac:dyDescent="0.3">
      <c r="A2029">
        <v>982000</v>
      </c>
      <c r="B2029" s="29">
        <f t="shared" si="98"/>
        <v>6305721504.8054457</v>
      </c>
      <c r="C2029" s="39">
        <f t="shared" si="99"/>
        <v>7561400000</v>
      </c>
      <c r="D2029" s="76">
        <f t="shared" si="100"/>
        <v>1255678495.1945543</v>
      </c>
    </row>
    <row r="2030" spans="1:4" x14ac:dyDescent="0.3">
      <c r="A2030">
        <v>982500</v>
      </c>
      <c r="B2030" s="29">
        <f t="shared" si="98"/>
        <v>6308916012.4961052</v>
      </c>
      <c r="C2030" s="39">
        <f t="shared" si="99"/>
        <v>7565250000</v>
      </c>
      <c r="D2030" s="76">
        <f t="shared" si="100"/>
        <v>1256333987.5038948</v>
      </c>
    </row>
    <row r="2031" spans="1:4" x14ac:dyDescent="0.3">
      <c r="A2031">
        <v>983000</v>
      </c>
      <c r="B2031" s="29">
        <f t="shared" si="98"/>
        <v>6312110520.1867657</v>
      </c>
      <c r="C2031" s="39">
        <f t="shared" si="99"/>
        <v>7569100000</v>
      </c>
      <c r="D2031" s="76">
        <f t="shared" si="100"/>
        <v>1256989479.8132343</v>
      </c>
    </row>
    <row r="2032" spans="1:4" x14ac:dyDescent="0.3">
      <c r="A2032">
        <v>983500</v>
      </c>
      <c r="B2032" s="29">
        <f t="shared" si="98"/>
        <v>6315305027.8774252</v>
      </c>
      <c r="C2032" s="39">
        <f t="shared" si="99"/>
        <v>7572950000</v>
      </c>
      <c r="D2032" s="76">
        <f t="shared" si="100"/>
        <v>1257644972.1225748</v>
      </c>
    </row>
    <row r="2033" spans="1:4" x14ac:dyDescent="0.3">
      <c r="A2033">
        <v>984000</v>
      </c>
      <c r="B2033" s="29">
        <f t="shared" si="98"/>
        <v>6318499535.5680857</v>
      </c>
      <c r="C2033" s="39">
        <f t="shared" si="99"/>
        <v>7576800000</v>
      </c>
      <c r="D2033" s="76">
        <f t="shared" si="100"/>
        <v>1258300464.4319143</v>
      </c>
    </row>
    <row r="2034" spans="1:4" x14ac:dyDescent="0.3">
      <c r="A2034">
        <v>984500</v>
      </c>
      <c r="B2034" s="29">
        <f t="shared" si="98"/>
        <v>6321694043.2587452</v>
      </c>
      <c r="C2034" s="39">
        <f t="shared" si="99"/>
        <v>7580650000</v>
      </c>
      <c r="D2034" s="76">
        <f t="shared" si="100"/>
        <v>1258955956.7412548</v>
      </c>
    </row>
    <row r="2035" spans="1:4" x14ac:dyDescent="0.3">
      <c r="A2035">
        <v>985000</v>
      </c>
      <c r="B2035" s="29">
        <f t="shared" si="98"/>
        <v>6324888550.9494057</v>
      </c>
      <c r="C2035" s="39">
        <f t="shared" si="99"/>
        <v>7584500000</v>
      </c>
      <c r="D2035" s="76">
        <f t="shared" si="100"/>
        <v>1259611449.0505943</v>
      </c>
    </row>
    <row r="2036" spans="1:4" x14ac:dyDescent="0.3">
      <c r="A2036">
        <v>985500</v>
      </c>
      <c r="B2036" s="29">
        <f t="shared" si="98"/>
        <v>6328083058.6400652</v>
      </c>
      <c r="C2036" s="39">
        <f t="shared" si="99"/>
        <v>7588350000</v>
      </c>
      <c r="D2036" s="76">
        <f t="shared" si="100"/>
        <v>1260266941.3599348</v>
      </c>
    </row>
    <row r="2037" spans="1:4" x14ac:dyDescent="0.3">
      <c r="A2037">
        <v>986000</v>
      </c>
      <c r="B2037" s="29">
        <f t="shared" si="98"/>
        <v>6331277566.3307257</v>
      </c>
      <c r="C2037" s="39">
        <f t="shared" si="99"/>
        <v>7592200000</v>
      </c>
      <c r="D2037" s="76">
        <f t="shared" si="100"/>
        <v>1260922433.6692743</v>
      </c>
    </row>
    <row r="2038" spans="1:4" x14ac:dyDescent="0.3">
      <c r="A2038">
        <v>986500</v>
      </c>
      <c r="B2038" s="29">
        <f t="shared" si="98"/>
        <v>6334472074.0213852</v>
      </c>
      <c r="C2038" s="39">
        <f t="shared" si="99"/>
        <v>7596050000</v>
      </c>
      <c r="D2038" s="76">
        <f t="shared" si="100"/>
        <v>1261577925.9786148</v>
      </c>
    </row>
    <row r="2039" spans="1:4" x14ac:dyDescent="0.3">
      <c r="A2039">
        <v>987000</v>
      </c>
      <c r="B2039" s="29">
        <f t="shared" si="98"/>
        <v>6337666581.7120457</v>
      </c>
      <c r="C2039" s="39">
        <f t="shared" si="99"/>
        <v>7599900000</v>
      </c>
      <c r="D2039" s="76">
        <f t="shared" si="100"/>
        <v>1262233418.2879543</v>
      </c>
    </row>
    <row r="2040" spans="1:4" x14ac:dyDescent="0.3">
      <c r="A2040">
        <v>987500</v>
      </c>
      <c r="B2040" s="29">
        <f t="shared" si="98"/>
        <v>6340861089.4027052</v>
      </c>
      <c r="C2040" s="39">
        <f t="shared" si="99"/>
        <v>7603750000</v>
      </c>
      <c r="D2040" s="76">
        <f t="shared" si="100"/>
        <v>1262888910.5972948</v>
      </c>
    </row>
    <row r="2041" spans="1:4" x14ac:dyDescent="0.3">
      <c r="A2041">
        <v>988000</v>
      </c>
      <c r="B2041" s="29">
        <f t="shared" si="98"/>
        <v>6344055597.0933657</v>
      </c>
      <c r="C2041" s="39">
        <f t="shared" si="99"/>
        <v>7607600000</v>
      </c>
      <c r="D2041" s="76">
        <f t="shared" si="100"/>
        <v>1263544402.9066343</v>
      </c>
    </row>
    <row r="2042" spans="1:4" x14ac:dyDescent="0.3">
      <c r="A2042">
        <v>988500</v>
      </c>
      <c r="B2042" s="29">
        <f t="shared" si="98"/>
        <v>6347250104.7840252</v>
      </c>
      <c r="C2042" s="39">
        <f t="shared" si="99"/>
        <v>7611450000</v>
      </c>
      <c r="D2042" s="76">
        <f t="shared" si="100"/>
        <v>1264199895.2159748</v>
      </c>
    </row>
    <row r="2043" spans="1:4" x14ac:dyDescent="0.3">
      <c r="A2043">
        <v>989000</v>
      </c>
      <c r="B2043" s="29">
        <f t="shared" si="98"/>
        <v>6350444612.4746857</v>
      </c>
      <c r="C2043" s="39">
        <f t="shared" si="99"/>
        <v>7615300000</v>
      </c>
      <c r="D2043" s="76">
        <f t="shared" si="100"/>
        <v>1264855387.5253143</v>
      </c>
    </row>
    <row r="2044" spans="1:4" x14ac:dyDescent="0.3">
      <c r="A2044">
        <v>989500</v>
      </c>
      <c r="B2044" s="29">
        <f t="shared" si="98"/>
        <v>6353639120.1653452</v>
      </c>
      <c r="C2044" s="39">
        <f t="shared" si="99"/>
        <v>7619150000</v>
      </c>
      <c r="D2044" s="76">
        <f t="shared" si="100"/>
        <v>1265510879.8346548</v>
      </c>
    </row>
    <row r="2045" spans="1:4" x14ac:dyDescent="0.3">
      <c r="A2045">
        <v>990000</v>
      </c>
      <c r="B2045" s="29">
        <f t="shared" si="98"/>
        <v>6356833627.8560057</v>
      </c>
      <c r="C2045" s="39">
        <f t="shared" si="99"/>
        <v>7623000000</v>
      </c>
      <c r="D2045" s="76">
        <f t="shared" si="100"/>
        <v>1266166372.1439943</v>
      </c>
    </row>
    <row r="2046" spans="1:4" x14ac:dyDescent="0.3">
      <c r="A2046">
        <v>990500</v>
      </c>
      <c r="B2046" s="29">
        <f t="shared" si="98"/>
        <v>6360028135.5466652</v>
      </c>
      <c r="C2046" s="39">
        <f t="shared" si="99"/>
        <v>7626850000</v>
      </c>
      <c r="D2046" s="76">
        <f t="shared" si="100"/>
        <v>1266821864.4533348</v>
      </c>
    </row>
    <row r="2047" spans="1:4" x14ac:dyDescent="0.3">
      <c r="A2047">
        <v>991000</v>
      </c>
      <c r="B2047" s="29">
        <f t="shared" si="98"/>
        <v>6363222643.2373257</v>
      </c>
      <c r="C2047" s="39">
        <f t="shared" si="99"/>
        <v>7630700000</v>
      </c>
      <c r="D2047" s="76">
        <f t="shared" si="100"/>
        <v>1267477356.7626743</v>
      </c>
    </row>
    <row r="2048" spans="1:4" x14ac:dyDescent="0.3">
      <c r="A2048">
        <v>991500</v>
      </c>
      <c r="B2048" s="29">
        <f t="shared" si="98"/>
        <v>6366417150.9279852</v>
      </c>
      <c r="C2048" s="39">
        <f t="shared" si="99"/>
        <v>7634550000</v>
      </c>
      <c r="D2048" s="76">
        <f t="shared" si="100"/>
        <v>1268132849.0720148</v>
      </c>
    </row>
    <row r="2049" spans="1:4" x14ac:dyDescent="0.3">
      <c r="A2049">
        <v>992000</v>
      </c>
      <c r="B2049" s="29">
        <f t="shared" si="98"/>
        <v>6369611658.6186457</v>
      </c>
      <c r="C2049" s="39">
        <f t="shared" si="99"/>
        <v>7638400000</v>
      </c>
      <c r="D2049" s="76">
        <f t="shared" si="100"/>
        <v>1268788341.3813543</v>
      </c>
    </row>
    <row r="2050" spans="1:4" x14ac:dyDescent="0.3">
      <c r="A2050">
        <v>992500</v>
      </c>
      <c r="B2050" s="29">
        <f t="shared" ref="B2050:B2113" si="101">$B$54+($B$60*A2050)</f>
        <v>6372806166.3093052</v>
      </c>
      <c r="C2050" s="39">
        <f t="shared" ref="C2050:C2113" si="102">$E$50*A2050</f>
        <v>7642250000</v>
      </c>
      <c r="D2050" s="76">
        <f t="shared" ref="D2050:D2113" si="103">C2050-B2050</f>
        <v>1269443833.6906948</v>
      </c>
    </row>
    <row r="2051" spans="1:4" x14ac:dyDescent="0.3">
      <c r="A2051">
        <v>993000</v>
      </c>
      <c r="B2051" s="29">
        <f t="shared" si="101"/>
        <v>6376000673.9999657</v>
      </c>
      <c r="C2051" s="39">
        <f t="shared" si="102"/>
        <v>7646100000</v>
      </c>
      <c r="D2051" s="76">
        <f t="shared" si="103"/>
        <v>1270099326.0000343</v>
      </c>
    </row>
    <row r="2052" spans="1:4" x14ac:dyDescent="0.3">
      <c r="A2052">
        <v>993500</v>
      </c>
      <c r="B2052" s="29">
        <f t="shared" si="101"/>
        <v>6379195181.6906252</v>
      </c>
      <c r="C2052" s="39">
        <f t="shared" si="102"/>
        <v>7649950000</v>
      </c>
      <c r="D2052" s="76">
        <f t="shared" si="103"/>
        <v>1270754818.3093748</v>
      </c>
    </row>
    <row r="2053" spans="1:4" x14ac:dyDescent="0.3">
      <c r="A2053">
        <v>994000</v>
      </c>
      <c r="B2053" s="29">
        <f t="shared" si="101"/>
        <v>6382389689.3812857</v>
      </c>
      <c r="C2053" s="39">
        <f t="shared" si="102"/>
        <v>7653800000</v>
      </c>
      <c r="D2053" s="76">
        <f t="shared" si="103"/>
        <v>1271410310.6187143</v>
      </c>
    </row>
    <row r="2054" spans="1:4" x14ac:dyDescent="0.3">
      <c r="A2054">
        <v>994500</v>
      </c>
      <c r="B2054" s="29">
        <f t="shared" si="101"/>
        <v>6385584197.0719452</v>
      </c>
      <c r="C2054" s="39">
        <f t="shared" si="102"/>
        <v>7657650000</v>
      </c>
      <c r="D2054" s="76">
        <f t="shared" si="103"/>
        <v>1272065802.9280548</v>
      </c>
    </row>
    <row r="2055" spans="1:4" x14ac:dyDescent="0.3">
      <c r="A2055">
        <v>995000</v>
      </c>
      <c r="B2055" s="29">
        <f t="shared" si="101"/>
        <v>6388778704.7626057</v>
      </c>
      <c r="C2055" s="39">
        <f t="shared" si="102"/>
        <v>7661500000</v>
      </c>
      <c r="D2055" s="76">
        <f t="shared" si="103"/>
        <v>1272721295.2373943</v>
      </c>
    </row>
    <row r="2056" spans="1:4" x14ac:dyDescent="0.3">
      <c r="A2056">
        <v>995500</v>
      </c>
      <c r="B2056" s="29">
        <f t="shared" si="101"/>
        <v>6391973212.4532652</v>
      </c>
      <c r="C2056" s="39">
        <f t="shared" si="102"/>
        <v>7665350000</v>
      </c>
      <c r="D2056" s="76">
        <f t="shared" si="103"/>
        <v>1273376787.5467348</v>
      </c>
    </row>
    <row r="2057" spans="1:4" x14ac:dyDescent="0.3">
      <c r="A2057">
        <v>996000</v>
      </c>
      <c r="B2057" s="29">
        <f t="shared" si="101"/>
        <v>6395167720.1439257</v>
      </c>
      <c r="C2057" s="39">
        <f t="shared" si="102"/>
        <v>7669200000</v>
      </c>
      <c r="D2057" s="76">
        <f t="shared" si="103"/>
        <v>1274032279.8560743</v>
      </c>
    </row>
    <row r="2058" spans="1:4" x14ac:dyDescent="0.3">
      <c r="A2058">
        <v>996500</v>
      </c>
      <c r="B2058" s="29">
        <f t="shared" si="101"/>
        <v>6398362227.8345852</v>
      </c>
      <c r="C2058" s="39">
        <f t="shared" si="102"/>
        <v>7673050000</v>
      </c>
      <c r="D2058" s="76">
        <f t="shared" si="103"/>
        <v>1274687772.1654148</v>
      </c>
    </row>
    <row r="2059" spans="1:4" x14ac:dyDescent="0.3">
      <c r="A2059">
        <v>997000</v>
      </c>
      <c r="B2059" s="29">
        <f t="shared" si="101"/>
        <v>6401556735.5252457</v>
      </c>
      <c r="C2059" s="39">
        <f t="shared" si="102"/>
        <v>7676900000</v>
      </c>
      <c r="D2059" s="76">
        <f t="shared" si="103"/>
        <v>1275343264.4747543</v>
      </c>
    </row>
    <row r="2060" spans="1:4" x14ac:dyDescent="0.3">
      <c r="A2060">
        <v>997500</v>
      </c>
      <c r="B2060" s="29">
        <f t="shared" si="101"/>
        <v>6404751243.2159052</v>
      </c>
      <c r="C2060" s="39">
        <f t="shared" si="102"/>
        <v>7680750000</v>
      </c>
      <c r="D2060" s="76">
        <f t="shared" si="103"/>
        <v>1275998756.7840948</v>
      </c>
    </row>
    <row r="2061" spans="1:4" x14ac:dyDescent="0.3">
      <c r="A2061">
        <v>998000</v>
      </c>
      <c r="B2061" s="29">
        <f t="shared" si="101"/>
        <v>6407945750.9065657</v>
      </c>
      <c r="C2061" s="39">
        <f t="shared" si="102"/>
        <v>7684600000</v>
      </c>
      <c r="D2061" s="76">
        <f t="shared" si="103"/>
        <v>1276654249.0934343</v>
      </c>
    </row>
    <row r="2062" spans="1:4" x14ac:dyDescent="0.3">
      <c r="A2062">
        <v>998500</v>
      </c>
      <c r="B2062" s="29">
        <f t="shared" si="101"/>
        <v>6411140258.5972252</v>
      </c>
      <c r="C2062" s="39">
        <f t="shared" si="102"/>
        <v>7688450000</v>
      </c>
      <c r="D2062" s="76">
        <f t="shared" si="103"/>
        <v>1277309741.4027748</v>
      </c>
    </row>
    <row r="2063" spans="1:4" x14ac:dyDescent="0.3">
      <c r="A2063">
        <v>999000</v>
      </c>
      <c r="B2063" s="29">
        <f t="shared" si="101"/>
        <v>6414334766.2878857</v>
      </c>
      <c r="C2063" s="39">
        <f t="shared" si="102"/>
        <v>7692300000</v>
      </c>
      <c r="D2063" s="76">
        <f t="shared" si="103"/>
        <v>1277965233.7121143</v>
      </c>
    </row>
    <row r="2064" spans="1:4" x14ac:dyDescent="0.3">
      <c r="A2064">
        <v>999500</v>
      </c>
      <c r="B2064" s="29">
        <f t="shared" si="101"/>
        <v>6417529273.9785452</v>
      </c>
      <c r="C2064" s="39">
        <f t="shared" si="102"/>
        <v>7696150000</v>
      </c>
      <c r="D2064" s="76">
        <f t="shared" si="103"/>
        <v>1278620726.0214548</v>
      </c>
    </row>
    <row r="2065" spans="1:4" x14ac:dyDescent="0.3">
      <c r="A2065">
        <v>1000000</v>
      </c>
      <c r="B2065" s="29">
        <f t="shared" si="101"/>
        <v>6420723781.6692057</v>
      </c>
      <c r="C2065" s="39">
        <f t="shared" si="102"/>
        <v>7700000000</v>
      </c>
      <c r="D2065" s="76">
        <f t="shared" si="103"/>
        <v>1279276218.3307943</v>
      </c>
    </row>
    <row r="2066" spans="1:4" x14ac:dyDescent="0.3">
      <c r="A2066">
        <v>1000500</v>
      </c>
      <c r="B2066" s="29">
        <f t="shared" si="101"/>
        <v>6423918289.3598652</v>
      </c>
      <c r="C2066" s="39">
        <f t="shared" si="102"/>
        <v>7703850000</v>
      </c>
      <c r="D2066" s="76">
        <f t="shared" si="103"/>
        <v>1279931710.6401348</v>
      </c>
    </row>
    <row r="2067" spans="1:4" x14ac:dyDescent="0.3">
      <c r="A2067">
        <v>1001000</v>
      </c>
      <c r="B2067" s="29">
        <f t="shared" si="101"/>
        <v>6427112797.0505257</v>
      </c>
      <c r="C2067" s="39">
        <f t="shared" si="102"/>
        <v>7707700000</v>
      </c>
      <c r="D2067" s="76">
        <f t="shared" si="103"/>
        <v>1280587202.9494743</v>
      </c>
    </row>
    <row r="2068" spans="1:4" x14ac:dyDescent="0.3">
      <c r="A2068">
        <v>1001500</v>
      </c>
      <c r="B2068" s="29">
        <f t="shared" si="101"/>
        <v>6430307304.7411852</v>
      </c>
      <c r="C2068" s="39">
        <f t="shared" si="102"/>
        <v>7711550000</v>
      </c>
      <c r="D2068" s="76">
        <f t="shared" si="103"/>
        <v>1281242695.2588148</v>
      </c>
    </row>
    <row r="2069" spans="1:4" x14ac:dyDescent="0.3">
      <c r="A2069">
        <v>1002000</v>
      </c>
      <c r="B2069" s="29">
        <f t="shared" si="101"/>
        <v>6433501812.4318457</v>
      </c>
      <c r="C2069" s="39">
        <f t="shared" si="102"/>
        <v>7715400000</v>
      </c>
      <c r="D2069" s="76">
        <f t="shared" si="103"/>
        <v>1281898187.5681543</v>
      </c>
    </row>
    <row r="2070" spans="1:4" x14ac:dyDescent="0.3">
      <c r="A2070">
        <v>1002500</v>
      </c>
      <c r="B2070" s="29">
        <f t="shared" si="101"/>
        <v>6436696320.1225052</v>
      </c>
      <c r="C2070" s="39">
        <f t="shared" si="102"/>
        <v>7719250000</v>
      </c>
      <c r="D2070" s="76">
        <f t="shared" si="103"/>
        <v>1282553679.8774948</v>
      </c>
    </row>
    <row r="2071" spans="1:4" x14ac:dyDescent="0.3">
      <c r="A2071">
        <v>1003000</v>
      </c>
      <c r="B2071" s="29">
        <f t="shared" si="101"/>
        <v>6439890827.8131657</v>
      </c>
      <c r="C2071" s="39">
        <f t="shared" si="102"/>
        <v>7723100000</v>
      </c>
      <c r="D2071" s="76">
        <f t="shared" si="103"/>
        <v>1283209172.1868343</v>
      </c>
    </row>
    <row r="2072" spans="1:4" x14ac:dyDescent="0.3">
      <c r="A2072">
        <v>1003500</v>
      </c>
      <c r="B2072" s="29">
        <f t="shared" si="101"/>
        <v>6443085335.5038252</v>
      </c>
      <c r="C2072" s="39">
        <f t="shared" si="102"/>
        <v>7726950000</v>
      </c>
      <c r="D2072" s="76">
        <f t="shared" si="103"/>
        <v>1283864664.4961748</v>
      </c>
    </row>
    <row r="2073" spans="1:4" x14ac:dyDescent="0.3">
      <c r="A2073">
        <v>1004000</v>
      </c>
      <c r="B2073" s="29">
        <f t="shared" si="101"/>
        <v>6446279843.1944857</v>
      </c>
      <c r="C2073" s="39">
        <f t="shared" si="102"/>
        <v>7730800000</v>
      </c>
      <c r="D2073" s="76">
        <f t="shared" si="103"/>
        <v>1284520156.8055143</v>
      </c>
    </row>
    <row r="2074" spans="1:4" x14ac:dyDescent="0.3">
      <c r="A2074">
        <v>1004500</v>
      </c>
      <c r="B2074" s="29">
        <f t="shared" si="101"/>
        <v>6449474350.8851452</v>
      </c>
      <c r="C2074" s="39">
        <f t="shared" si="102"/>
        <v>7734650000</v>
      </c>
      <c r="D2074" s="76">
        <f t="shared" si="103"/>
        <v>1285175649.1148548</v>
      </c>
    </row>
    <row r="2075" spans="1:4" x14ac:dyDescent="0.3">
      <c r="A2075">
        <v>1005000</v>
      </c>
      <c r="B2075" s="29">
        <f t="shared" si="101"/>
        <v>6452668858.5758057</v>
      </c>
      <c r="C2075" s="39">
        <f t="shared" si="102"/>
        <v>7738500000</v>
      </c>
      <c r="D2075" s="76">
        <f t="shared" si="103"/>
        <v>1285831141.4241943</v>
      </c>
    </row>
    <row r="2076" spans="1:4" x14ac:dyDescent="0.3">
      <c r="A2076">
        <v>1005500</v>
      </c>
      <c r="B2076" s="29">
        <f t="shared" si="101"/>
        <v>6455863366.2664652</v>
      </c>
      <c r="C2076" s="39">
        <f t="shared" si="102"/>
        <v>7742350000</v>
      </c>
      <c r="D2076" s="76">
        <f t="shared" si="103"/>
        <v>1286486633.7335348</v>
      </c>
    </row>
    <row r="2077" spans="1:4" x14ac:dyDescent="0.3">
      <c r="A2077">
        <v>1006000</v>
      </c>
      <c r="B2077" s="29">
        <f t="shared" si="101"/>
        <v>6459057873.9571257</v>
      </c>
      <c r="C2077" s="39">
        <f t="shared" si="102"/>
        <v>7746200000</v>
      </c>
      <c r="D2077" s="76">
        <f t="shared" si="103"/>
        <v>1287142126.0428743</v>
      </c>
    </row>
    <row r="2078" spans="1:4" x14ac:dyDescent="0.3">
      <c r="A2078">
        <v>1006500</v>
      </c>
      <c r="B2078" s="29">
        <f t="shared" si="101"/>
        <v>6462252381.6477852</v>
      </c>
      <c r="C2078" s="39">
        <f t="shared" si="102"/>
        <v>7750050000</v>
      </c>
      <c r="D2078" s="76">
        <f t="shared" si="103"/>
        <v>1287797618.3522148</v>
      </c>
    </row>
    <row r="2079" spans="1:4" x14ac:dyDescent="0.3">
      <c r="A2079">
        <v>1007000</v>
      </c>
      <c r="B2079" s="29">
        <f t="shared" si="101"/>
        <v>6465446889.3384457</v>
      </c>
      <c r="C2079" s="39">
        <f t="shared" si="102"/>
        <v>7753900000</v>
      </c>
      <c r="D2079" s="76">
        <f t="shared" si="103"/>
        <v>1288453110.6615543</v>
      </c>
    </row>
    <row r="2080" spans="1:4" x14ac:dyDescent="0.3">
      <c r="A2080">
        <v>1007500</v>
      </c>
      <c r="B2080" s="29">
        <f t="shared" si="101"/>
        <v>6468641397.0291052</v>
      </c>
      <c r="C2080" s="39">
        <f t="shared" si="102"/>
        <v>7757750000</v>
      </c>
      <c r="D2080" s="76">
        <f t="shared" si="103"/>
        <v>1289108602.9708948</v>
      </c>
    </row>
    <row r="2081" spans="1:4" x14ac:dyDescent="0.3">
      <c r="A2081">
        <v>1008000</v>
      </c>
      <c r="B2081" s="29">
        <f t="shared" si="101"/>
        <v>6471835904.7197657</v>
      </c>
      <c r="C2081" s="39">
        <f t="shared" si="102"/>
        <v>7761600000</v>
      </c>
      <c r="D2081" s="76">
        <f t="shared" si="103"/>
        <v>1289764095.2802343</v>
      </c>
    </row>
    <row r="2082" spans="1:4" x14ac:dyDescent="0.3">
      <c r="A2082">
        <v>1008500</v>
      </c>
      <c r="B2082" s="29">
        <f t="shared" si="101"/>
        <v>6475030412.4104252</v>
      </c>
      <c r="C2082" s="39">
        <f t="shared" si="102"/>
        <v>7765450000</v>
      </c>
      <c r="D2082" s="76">
        <f t="shared" si="103"/>
        <v>1290419587.5895748</v>
      </c>
    </row>
    <row r="2083" spans="1:4" x14ac:dyDescent="0.3">
      <c r="A2083">
        <v>1009000</v>
      </c>
      <c r="B2083" s="29">
        <f t="shared" si="101"/>
        <v>6478224920.1010857</v>
      </c>
      <c r="C2083" s="39">
        <f t="shared" si="102"/>
        <v>7769300000</v>
      </c>
      <c r="D2083" s="76">
        <f t="shared" si="103"/>
        <v>1291075079.8989143</v>
      </c>
    </row>
    <row r="2084" spans="1:4" x14ac:dyDescent="0.3">
      <c r="A2084">
        <v>1009500</v>
      </c>
      <c r="B2084" s="29">
        <f t="shared" si="101"/>
        <v>6481419427.7917452</v>
      </c>
      <c r="C2084" s="39">
        <f t="shared" si="102"/>
        <v>7773150000</v>
      </c>
      <c r="D2084" s="76">
        <f t="shared" si="103"/>
        <v>1291730572.2082548</v>
      </c>
    </row>
    <row r="2085" spans="1:4" x14ac:dyDescent="0.3">
      <c r="A2085">
        <v>1010000</v>
      </c>
      <c r="B2085" s="29">
        <f t="shared" si="101"/>
        <v>6484613935.4824057</v>
      </c>
      <c r="C2085" s="39">
        <f t="shared" si="102"/>
        <v>7777000000</v>
      </c>
      <c r="D2085" s="76">
        <f t="shared" si="103"/>
        <v>1292386064.5175943</v>
      </c>
    </row>
    <row r="2086" spans="1:4" x14ac:dyDescent="0.3">
      <c r="A2086">
        <v>1010500</v>
      </c>
      <c r="B2086" s="29">
        <f t="shared" si="101"/>
        <v>6487808443.1730652</v>
      </c>
      <c r="C2086" s="39">
        <f t="shared" si="102"/>
        <v>7780850000</v>
      </c>
      <c r="D2086" s="76">
        <f t="shared" si="103"/>
        <v>1293041556.8269348</v>
      </c>
    </row>
    <row r="2087" spans="1:4" x14ac:dyDescent="0.3">
      <c r="A2087">
        <v>1011000</v>
      </c>
      <c r="B2087" s="29">
        <f t="shared" si="101"/>
        <v>6491002950.8637257</v>
      </c>
      <c r="C2087" s="39">
        <f t="shared" si="102"/>
        <v>7784700000</v>
      </c>
      <c r="D2087" s="76">
        <f t="shared" si="103"/>
        <v>1293697049.1362743</v>
      </c>
    </row>
    <row r="2088" spans="1:4" x14ac:dyDescent="0.3">
      <c r="A2088">
        <v>1011500</v>
      </c>
      <c r="B2088" s="29">
        <f t="shared" si="101"/>
        <v>6494197458.5543852</v>
      </c>
      <c r="C2088" s="39">
        <f t="shared" si="102"/>
        <v>7788550000</v>
      </c>
      <c r="D2088" s="76">
        <f t="shared" si="103"/>
        <v>1294352541.4456148</v>
      </c>
    </row>
    <row r="2089" spans="1:4" x14ac:dyDescent="0.3">
      <c r="A2089">
        <v>1012000</v>
      </c>
      <c r="B2089" s="29">
        <f t="shared" si="101"/>
        <v>6497391966.2450457</v>
      </c>
      <c r="C2089" s="39">
        <f t="shared" si="102"/>
        <v>7792400000</v>
      </c>
      <c r="D2089" s="76">
        <f t="shared" si="103"/>
        <v>1295008033.7549543</v>
      </c>
    </row>
    <row r="2090" spans="1:4" x14ac:dyDescent="0.3">
      <c r="A2090">
        <v>1012500</v>
      </c>
      <c r="B2090" s="29">
        <f t="shared" si="101"/>
        <v>6500586473.9357052</v>
      </c>
      <c r="C2090" s="39">
        <f t="shared" si="102"/>
        <v>7796250000</v>
      </c>
      <c r="D2090" s="76">
        <f t="shared" si="103"/>
        <v>1295663526.0642948</v>
      </c>
    </row>
    <row r="2091" spans="1:4" x14ac:dyDescent="0.3">
      <c r="A2091">
        <v>1013000</v>
      </c>
      <c r="B2091" s="29">
        <f t="shared" si="101"/>
        <v>6503780981.6263657</v>
      </c>
      <c r="C2091" s="39">
        <f t="shared" si="102"/>
        <v>7800100000</v>
      </c>
      <c r="D2091" s="76">
        <f t="shared" si="103"/>
        <v>1296319018.3736343</v>
      </c>
    </row>
    <row r="2092" spans="1:4" x14ac:dyDescent="0.3">
      <c r="A2092">
        <v>1013500</v>
      </c>
      <c r="B2092" s="29">
        <f t="shared" si="101"/>
        <v>6506975489.3170252</v>
      </c>
      <c r="C2092" s="39">
        <f t="shared" si="102"/>
        <v>7803950000</v>
      </c>
      <c r="D2092" s="76">
        <f t="shared" si="103"/>
        <v>1296974510.6829748</v>
      </c>
    </row>
    <row r="2093" spans="1:4" x14ac:dyDescent="0.3">
      <c r="A2093">
        <v>1014000</v>
      </c>
      <c r="B2093" s="29">
        <f t="shared" si="101"/>
        <v>6510169997.0076857</v>
      </c>
      <c r="C2093" s="39">
        <f t="shared" si="102"/>
        <v>7807800000</v>
      </c>
      <c r="D2093" s="76">
        <f t="shared" si="103"/>
        <v>1297630002.9923143</v>
      </c>
    </row>
    <row r="2094" spans="1:4" x14ac:dyDescent="0.3">
      <c r="A2094">
        <v>1014500</v>
      </c>
      <c r="B2094" s="29">
        <f t="shared" si="101"/>
        <v>6513364504.6983452</v>
      </c>
      <c r="C2094" s="39">
        <f t="shared" si="102"/>
        <v>7811650000</v>
      </c>
      <c r="D2094" s="76">
        <f t="shared" si="103"/>
        <v>1298285495.3016548</v>
      </c>
    </row>
    <row r="2095" spans="1:4" x14ac:dyDescent="0.3">
      <c r="A2095">
        <v>1015000</v>
      </c>
      <c r="B2095" s="29">
        <f t="shared" si="101"/>
        <v>6516559012.3890057</v>
      </c>
      <c r="C2095" s="39">
        <f t="shared" si="102"/>
        <v>7815500000</v>
      </c>
      <c r="D2095" s="76">
        <f t="shared" si="103"/>
        <v>1298940987.6109943</v>
      </c>
    </row>
    <row r="2096" spans="1:4" x14ac:dyDescent="0.3">
      <c r="A2096">
        <v>1015500</v>
      </c>
      <c r="B2096" s="29">
        <f t="shared" si="101"/>
        <v>6519753520.0796652</v>
      </c>
      <c r="C2096" s="39">
        <f t="shared" si="102"/>
        <v>7819350000</v>
      </c>
      <c r="D2096" s="76">
        <f t="shared" si="103"/>
        <v>1299596479.9203348</v>
      </c>
    </row>
    <row r="2097" spans="1:4" x14ac:dyDescent="0.3">
      <c r="A2097">
        <v>1016000</v>
      </c>
      <c r="B2097" s="29">
        <f t="shared" si="101"/>
        <v>6522948027.7703257</v>
      </c>
      <c r="C2097" s="39">
        <f t="shared" si="102"/>
        <v>7823200000</v>
      </c>
      <c r="D2097" s="76">
        <f t="shared" si="103"/>
        <v>1300251972.2296743</v>
      </c>
    </row>
    <row r="2098" spans="1:4" x14ac:dyDescent="0.3">
      <c r="A2098">
        <v>1016500</v>
      </c>
      <c r="B2098" s="29">
        <f t="shared" si="101"/>
        <v>6526142535.4609852</v>
      </c>
      <c r="C2098" s="39">
        <f t="shared" si="102"/>
        <v>7827050000</v>
      </c>
      <c r="D2098" s="76">
        <f t="shared" si="103"/>
        <v>1300907464.5390148</v>
      </c>
    </row>
    <row r="2099" spans="1:4" x14ac:dyDescent="0.3">
      <c r="A2099">
        <v>1017000</v>
      </c>
      <c r="B2099" s="29">
        <f t="shared" si="101"/>
        <v>6529337043.1516457</v>
      </c>
      <c r="C2099" s="39">
        <f t="shared" si="102"/>
        <v>7830900000</v>
      </c>
      <c r="D2099" s="76">
        <f t="shared" si="103"/>
        <v>1301562956.8483543</v>
      </c>
    </row>
    <row r="2100" spans="1:4" x14ac:dyDescent="0.3">
      <c r="A2100">
        <v>1017500</v>
      </c>
      <c r="B2100" s="29">
        <f t="shared" si="101"/>
        <v>6532531550.8423052</v>
      </c>
      <c r="C2100" s="39">
        <f t="shared" si="102"/>
        <v>7834750000</v>
      </c>
      <c r="D2100" s="76">
        <f t="shared" si="103"/>
        <v>1302218449.1576948</v>
      </c>
    </row>
    <row r="2101" spans="1:4" x14ac:dyDescent="0.3">
      <c r="A2101">
        <v>1018000</v>
      </c>
      <c r="B2101" s="29">
        <f t="shared" si="101"/>
        <v>6535726058.5329657</v>
      </c>
      <c r="C2101" s="39">
        <f t="shared" si="102"/>
        <v>7838600000</v>
      </c>
      <c r="D2101" s="76">
        <f t="shared" si="103"/>
        <v>1302873941.4670343</v>
      </c>
    </row>
    <row r="2102" spans="1:4" x14ac:dyDescent="0.3">
      <c r="A2102">
        <v>1018500</v>
      </c>
      <c r="B2102" s="29">
        <f t="shared" si="101"/>
        <v>6538920566.2236252</v>
      </c>
      <c r="C2102" s="39">
        <f t="shared" si="102"/>
        <v>7842450000</v>
      </c>
      <c r="D2102" s="76">
        <f t="shared" si="103"/>
        <v>1303529433.7763748</v>
      </c>
    </row>
    <row r="2103" spans="1:4" x14ac:dyDescent="0.3">
      <c r="A2103">
        <v>1019000</v>
      </c>
      <c r="B2103" s="29">
        <f t="shared" si="101"/>
        <v>6542115073.9142857</v>
      </c>
      <c r="C2103" s="39">
        <f t="shared" si="102"/>
        <v>7846300000</v>
      </c>
      <c r="D2103" s="76">
        <f t="shared" si="103"/>
        <v>1304184926.0857143</v>
      </c>
    </row>
    <row r="2104" spans="1:4" x14ac:dyDescent="0.3">
      <c r="A2104">
        <v>1019500</v>
      </c>
      <c r="B2104" s="29">
        <f t="shared" si="101"/>
        <v>6545309581.6049452</v>
      </c>
      <c r="C2104" s="39">
        <f t="shared" si="102"/>
        <v>7850150000</v>
      </c>
      <c r="D2104" s="76">
        <f t="shared" si="103"/>
        <v>1304840418.3950548</v>
      </c>
    </row>
    <row r="2105" spans="1:4" x14ac:dyDescent="0.3">
      <c r="A2105">
        <v>1020000</v>
      </c>
      <c r="B2105" s="29">
        <f t="shared" si="101"/>
        <v>6548504089.2956057</v>
      </c>
      <c r="C2105" s="39">
        <f t="shared" si="102"/>
        <v>7854000000</v>
      </c>
      <c r="D2105" s="76">
        <f t="shared" si="103"/>
        <v>1305495910.7043943</v>
      </c>
    </row>
    <row r="2106" spans="1:4" x14ac:dyDescent="0.3">
      <c r="A2106">
        <v>1020500</v>
      </c>
      <c r="B2106" s="29">
        <f t="shared" si="101"/>
        <v>6551698596.9862652</v>
      </c>
      <c r="C2106" s="39">
        <f t="shared" si="102"/>
        <v>7857850000</v>
      </c>
      <c r="D2106" s="76">
        <f t="shared" si="103"/>
        <v>1306151403.0137348</v>
      </c>
    </row>
    <row r="2107" spans="1:4" x14ac:dyDescent="0.3">
      <c r="A2107">
        <v>1021000</v>
      </c>
      <c r="B2107" s="29">
        <f t="shared" si="101"/>
        <v>6554893104.6769257</v>
      </c>
      <c r="C2107" s="39">
        <f t="shared" si="102"/>
        <v>7861700000</v>
      </c>
      <c r="D2107" s="76">
        <f t="shared" si="103"/>
        <v>1306806895.3230743</v>
      </c>
    </row>
    <row r="2108" spans="1:4" x14ac:dyDescent="0.3">
      <c r="A2108">
        <v>1021500</v>
      </c>
      <c r="B2108" s="29">
        <f t="shared" si="101"/>
        <v>6558087612.3675852</v>
      </c>
      <c r="C2108" s="39">
        <f t="shared" si="102"/>
        <v>7865550000</v>
      </c>
      <c r="D2108" s="76">
        <f t="shared" si="103"/>
        <v>1307462387.6324148</v>
      </c>
    </row>
    <row r="2109" spans="1:4" x14ac:dyDescent="0.3">
      <c r="A2109">
        <v>1022000</v>
      </c>
      <c r="B2109" s="29">
        <f t="shared" si="101"/>
        <v>6561282120.0582457</v>
      </c>
      <c r="C2109" s="39">
        <f t="shared" si="102"/>
        <v>7869400000</v>
      </c>
      <c r="D2109" s="76">
        <f t="shared" si="103"/>
        <v>1308117879.9417543</v>
      </c>
    </row>
    <row r="2110" spans="1:4" x14ac:dyDescent="0.3">
      <c r="A2110">
        <v>1022500</v>
      </c>
      <c r="B2110" s="29">
        <f t="shared" si="101"/>
        <v>6564476627.7489052</v>
      </c>
      <c r="C2110" s="39">
        <f t="shared" si="102"/>
        <v>7873250000</v>
      </c>
      <c r="D2110" s="76">
        <f t="shared" si="103"/>
        <v>1308773372.2510948</v>
      </c>
    </row>
    <row r="2111" spans="1:4" x14ac:dyDescent="0.3">
      <c r="A2111">
        <v>1023000</v>
      </c>
      <c r="B2111" s="29">
        <f t="shared" si="101"/>
        <v>6567671135.4395657</v>
      </c>
      <c r="C2111" s="39">
        <f t="shared" si="102"/>
        <v>7877100000</v>
      </c>
      <c r="D2111" s="76">
        <f t="shared" si="103"/>
        <v>1309428864.5604343</v>
      </c>
    </row>
    <row r="2112" spans="1:4" x14ac:dyDescent="0.3">
      <c r="A2112">
        <v>1023500</v>
      </c>
      <c r="B2112" s="29">
        <f t="shared" si="101"/>
        <v>6570865643.1302252</v>
      </c>
      <c r="C2112" s="39">
        <f t="shared" si="102"/>
        <v>7880950000</v>
      </c>
      <c r="D2112" s="76">
        <f t="shared" si="103"/>
        <v>1310084356.8697748</v>
      </c>
    </row>
    <row r="2113" spans="1:4" x14ac:dyDescent="0.3">
      <c r="A2113">
        <v>1024000</v>
      </c>
      <c r="B2113" s="29">
        <f t="shared" si="101"/>
        <v>6574060150.8208857</v>
      </c>
      <c r="C2113" s="39">
        <f t="shared" si="102"/>
        <v>7884800000</v>
      </c>
      <c r="D2113" s="76">
        <f t="shared" si="103"/>
        <v>1310739849.1791143</v>
      </c>
    </row>
    <row r="2114" spans="1:4" x14ac:dyDescent="0.3">
      <c r="A2114">
        <v>1024500</v>
      </c>
      <c r="B2114" s="29">
        <f t="shared" ref="B2114:B2131" si="104">$B$54+($B$60*A2114)</f>
        <v>6577254658.5115452</v>
      </c>
      <c r="C2114" s="39">
        <f t="shared" ref="C2114:C2131" si="105">$E$50*A2114</f>
        <v>7888650000</v>
      </c>
      <c r="D2114" s="76">
        <f t="shared" ref="D2114:D2131" si="106">C2114-B2114</f>
        <v>1311395341.4884548</v>
      </c>
    </row>
    <row r="2115" spans="1:4" x14ac:dyDescent="0.3">
      <c r="A2115">
        <v>1025000</v>
      </c>
      <c r="B2115" s="29">
        <f t="shared" si="104"/>
        <v>6580449166.2022057</v>
      </c>
      <c r="C2115" s="39">
        <f t="shared" si="105"/>
        <v>7892500000</v>
      </c>
      <c r="D2115" s="76">
        <f t="shared" si="106"/>
        <v>1312050833.7977943</v>
      </c>
    </row>
    <row r="2116" spans="1:4" x14ac:dyDescent="0.3">
      <c r="A2116">
        <v>1025500</v>
      </c>
      <c r="B2116" s="29">
        <f t="shared" si="104"/>
        <v>6583643673.8928652</v>
      </c>
      <c r="C2116" s="39">
        <f t="shared" si="105"/>
        <v>7896350000</v>
      </c>
      <c r="D2116" s="76">
        <f t="shared" si="106"/>
        <v>1312706326.1071348</v>
      </c>
    </row>
    <row r="2117" spans="1:4" x14ac:dyDescent="0.3">
      <c r="A2117">
        <v>1026000</v>
      </c>
      <c r="B2117" s="29">
        <f t="shared" si="104"/>
        <v>6586838181.5835257</v>
      </c>
      <c r="C2117" s="39">
        <f t="shared" si="105"/>
        <v>7900200000</v>
      </c>
      <c r="D2117" s="76">
        <f t="shared" si="106"/>
        <v>1313361818.4164743</v>
      </c>
    </row>
    <row r="2118" spans="1:4" x14ac:dyDescent="0.3">
      <c r="A2118">
        <v>1026500</v>
      </c>
      <c r="B2118" s="29">
        <f t="shared" si="104"/>
        <v>6590032689.2741852</v>
      </c>
      <c r="C2118" s="39">
        <f t="shared" si="105"/>
        <v>7904050000</v>
      </c>
      <c r="D2118" s="76">
        <f t="shared" si="106"/>
        <v>1314017310.7258148</v>
      </c>
    </row>
    <row r="2119" spans="1:4" x14ac:dyDescent="0.3">
      <c r="A2119">
        <v>1027000</v>
      </c>
      <c r="B2119" s="29">
        <f t="shared" si="104"/>
        <v>6593227196.9648457</v>
      </c>
      <c r="C2119" s="39">
        <f t="shared" si="105"/>
        <v>7907900000</v>
      </c>
      <c r="D2119" s="76">
        <f t="shared" si="106"/>
        <v>1314672803.0351543</v>
      </c>
    </row>
    <row r="2120" spans="1:4" x14ac:dyDescent="0.3">
      <c r="A2120">
        <v>1027500</v>
      </c>
      <c r="B2120" s="29">
        <f t="shared" si="104"/>
        <v>6596421704.6555052</v>
      </c>
      <c r="C2120" s="39">
        <f t="shared" si="105"/>
        <v>7911750000</v>
      </c>
      <c r="D2120" s="76">
        <f t="shared" si="106"/>
        <v>1315328295.3444948</v>
      </c>
    </row>
    <row r="2121" spans="1:4" x14ac:dyDescent="0.3">
      <c r="A2121">
        <v>1028000</v>
      </c>
      <c r="B2121" s="29">
        <f t="shared" si="104"/>
        <v>6599616212.3461657</v>
      </c>
      <c r="C2121" s="39">
        <f t="shared" si="105"/>
        <v>7915600000</v>
      </c>
      <c r="D2121" s="76">
        <f t="shared" si="106"/>
        <v>1315983787.6538343</v>
      </c>
    </row>
    <row r="2122" spans="1:4" x14ac:dyDescent="0.3">
      <c r="A2122">
        <v>1028500</v>
      </c>
      <c r="B2122" s="29">
        <f t="shared" si="104"/>
        <v>6602810720.0368252</v>
      </c>
      <c r="C2122" s="39">
        <f t="shared" si="105"/>
        <v>7919450000</v>
      </c>
      <c r="D2122" s="76">
        <f t="shared" si="106"/>
        <v>1316639279.9631748</v>
      </c>
    </row>
    <row r="2123" spans="1:4" x14ac:dyDescent="0.3">
      <c r="A2123">
        <v>1029000</v>
      </c>
      <c r="B2123" s="29">
        <f t="shared" si="104"/>
        <v>6606005227.7274857</v>
      </c>
      <c r="C2123" s="39">
        <f t="shared" si="105"/>
        <v>7923300000</v>
      </c>
      <c r="D2123" s="76">
        <f t="shared" si="106"/>
        <v>1317294772.2725143</v>
      </c>
    </row>
    <row r="2124" spans="1:4" x14ac:dyDescent="0.3">
      <c r="A2124">
        <v>1029500</v>
      </c>
      <c r="B2124" s="29">
        <f t="shared" si="104"/>
        <v>6609199735.4181452</v>
      </c>
      <c r="C2124" s="39">
        <f t="shared" si="105"/>
        <v>7927150000</v>
      </c>
      <c r="D2124" s="76">
        <f t="shared" si="106"/>
        <v>1317950264.5818548</v>
      </c>
    </row>
    <row r="2125" spans="1:4" x14ac:dyDescent="0.3">
      <c r="A2125">
        <v>1030000</v>
      </c>
      <c r="B2125" s="29">
        <f t="shared" si="104"/>
        <v>6612394243.1088057</v>
      </c>
      <c r="C2125" s="39">
        <f t="shared" si="105"/>
        <v>7931000000</v>
      </c>
      <c r="D2125" s="76">
        <f t="shared" si="106"/>
        <v>1318605756.8911943</v>
      </c>
    </row>
    <row r="2126" spans="1:4" x14ac:dyDescent="0.3">
      <c r="A2126">
        <v>1030500</v>
      </c>
      <c r="B2126" s="29">
        <f t="shared" si="104"/>
        <v>6615588750.7994652</v>
      </c>
      <c r="C2126" s="39">
        <f t="shared" si="105"/>
        <v>7934850000</v>
      </c>
      <c r="D2126" s="76">
        <f t="shared" si="106"/>
        <v>1319261249.2005348</v>
      </c>
    </row>
    <row r="2127" spans="1:4" x14ac:dyDescent="0.3">
      <c r="A2127">
        <v>1031000</v>
      </c>
      <c r="B2127" s="29">
        <f t="shared" si="104"/>
        <v>6618783258.4901257</v>
      </c>
      <c r="C2127" s="39">
        <f t="shared" si="105"/>
        <v>7938700000</v>
      </c>
      <c r="D2127" s="76">
        <f t="shared" si="106"/>
        <v>1319916741.5098743</v>
      </c>
    </row>
    <row r="2128" spans="1:4" x14ac:dyDescent="0.3">
      <c r="A2128">
        <v>1031500</v>
      </c>
      <c r="B2128" s="29">
        <f t="shared" si="104"/>
        <v>6621977766.1807852</v>
      </c>
      <c r="C2128" s="39">
        <f t="shared" si="105"/>
        <v>7942550000</v>
      </c>
      <c r="D2128" s="76">
        <f t="shared" si="106"/>
        <v>1320572233.8192148</v>
      </c>
    </row>
    <row r="2129" spans="1:4" x14ac:dyDescent="0.3">
      <c r="A2129">
        <v>1032000</v>
      </c>
      <c r="B2129" s="29">
        <f t="shared" si="104"/>
        <v>6625172273.8714457</v>
      </c>
      <c r="C2129" s="39">
        <f t="shared" si="105"/>
        <v>7946400000</v>
      </c>
      <c r="D2129" s="76">
        <f t="shared" si="106"/>
        <v>1321227726.1285543</v>
      </c>
    </row>
    <row r="2130" spans="1:4" x14ac:dyDescent="0.3">
      <c r="A2130">
        <v>1032500</v>
      </c>
      <c r="B2130" s="29">
        <f t="shared" si="104"/>
        <v>6628366781.5621052</v>
      </c>
      <c r="C2130" s="39">
        <f t="shared" si="105"/>
        <v>7950250000</v>
      </c>
      <c r="D2130" s="76">
        <f t="shared" si="106"/>
        <v>1321883218.4378948</v>
      </c>
    </row>
    <row r="2131" spans="1:4" x14ac:dyDescent="0.3">
      <c r="A2131">
        <v>1033000</v>
      </c>
      <c r="B2131" s="29">
        <f t="shared" si="104"/>
        <v>6631561289.2527657</v>
      </c>
      <c r="C2131" s="39">
        <f t="shared" si="105"/>
        <v>7954100000</v>
      </c>
      <c r="D2131" s="76">
        <f t="shared" si="106"/>
        <v>1322538710.7472343</v>
      </c>
    </row>
    <row r="2132" spans="1:4" x14ac:dyDescent="0.3">
      <c r="A2132">
        <v>1033500</v>
      </c>
    </row>
    <row r="2133" spans="1:4" x14ac:dyDescent="0.3">
      <c r="A2133">
        <v>1034000</v>
      </c>
    </row>
    <row r="2134" spans="1:4" x14ac:dyDescent="0.3">
      <c r="A2134">
        <v>1034500</v>
      </c>
    </row>
    <row r="2135" spans="1:4" x14ac:dyDescent="0.3">
      <c r="A2135">
        <v>1035000</v>
      </c>
    </row>
    <row r="2136" spans="1:4" x14ac:dyDescent="0.3">
      <c r="A2136">
        <v>1035500</v>
      </c>
    </row>
    <row r="2137" spans="1:4" x14ac:dyDescent="0.3">
      <c r="A2137">
        <v>1036000</v>
      </c>
    </row>
    <row r="2138" spans="1:4" x14ac:dyDescent="0.3">
      <c r="A2138">
        <v>1036500</v>
      </c>
    </row>
    <row r="2139" spans="1:4" x14ac:dyDescent="0.3">
      <c r="A2139">
        <v>1037000</v>
      </c>
    </row>
    <row r="2140" spans="1:4" x14ac:dyDescent="0.3">
      <c r="A2140">
        <v>1037500</v>
      </c>
    </row>
    <row r="2141" spans="1:4" x14ac:dyDescent="0.3">
      <c r="A2141">
        <v>1038000</v>
      </c>
    </row>
    <row r="2142" spans="1:4" x14ac:dyDescent="0.3">
      <c r="A2142">
        <v>1038500</v>
      </c>
    </row>
    <row r="2143" spans="1:4" x14ac:dyDescent="0.3">
      <c r="A2143">
        <v>1039000</v>
      </c>
    </row>
    <row r="2144" spans="1:4" x14ac:dyDescent="0.3">
      <c r="A2144">
        <v>1039500</v>
      </c>
    </row>
    <row r="2145" spans="1:1" x14ac:dyDescent="0.3">
      <c r="A2145">
        <v>1040000</v>
      </c>
    </row>
    <row r="2146" spans="1:1" x14ac:dyDescent="0.3">
      <c r="A2146">
        <v>1040500</v>
      </c>
    </row>
    <row r="2147" spans="1:1" x14ac:dyDescent="0.3">
      <c r="A2147">
        <v>1041000</v>
      </c>
    </row>
    <row r="2148" spans="1:1" x14ac:dyDescent="0.3">
      <c r="A2148">
        <v>1041500</v>
      </c>
    </row>
    <row r="2149" spans="1:1" x14ac:dyDescent="0.3">
      <c r="A2149">
        <v>1042000</v>
      </c>
    </row>
    <row r="2150" spans="1:1" x14ac:dyDescent="0.3">
      <c r="A2150">
        <v>1042500</v>
      </c>
    </row>
    <row r="2151" spans="1:1" x14ac:dyDescent="0.3">
      <c r="A2151">
        <v>1043000</v>
      </c>
    </row>
    <row r="2152" spans="1:1" x14ac:dyDescent="0.3">
      <c r="A2152">
        <v>1043500</v>
      </c>
    </row>
    <row r="2153" spans="1:1" x14ac:dyDescent="0.3">
      <c r="A2153">
        <v>1044000</v>
      </c>
    </row>
    <row r="2154" spans="1:1" x14ac:dyDescent="0.3">
      <c r="A2154">
        <v>1044500</v>
      </c>
    </row>
    <row r="2155" spans="1:1" x14ac:dyDescent="0.3">
      <c r="A2155">
        <v>1045000</v>
      </c>
    </row>
    <row r="2156" spans="1:1" x14ac:dyDescent="0.3">
      <c r="A2156">
        <v>1045500</v>
      </c>
    </row>
    <row r="2157" spans="1:1" x14ac:dyDescent="0.3">
      <c r="A2157">
        <v>1046000</v>
      </c>
    </row>
    <row r="2158" spans="1:1" x14ac:dyDescent="0.3">
      <c r="A2158">
        <v>1046500</v>
      </c>
    </row>
    <row r="2159" spans="1:1" x14ac:dyDescent="0.3">
      <c r="A2159">
        <v>1047000</v>
      </c>
    </row>
    <row r="2160" spans="1:1" x14ac:dyDescent="0.3">
      <c r="A2160">
        <v>1047500</v>
      </c>
    </row>
    <row r="2161" spans="1:1" x14ac:dyDescent="0.3">
      <c r="A2161">
        <v>1048000</v>
      </c>
    </row>
    <row r="2162" spans="1:1" x14ac:dyDescent="0.3">
      <c r="A2162">
        <v>1048500</v>
      </c>
    </row>
    <row r="2163" spans="1:1" x14ac:dyDescent="0.3">
      <c r="A2163">
        <v>1049000</v>
      </c>
    </row>
    <row r="2164" spans="1:1" x14ac:dyDescent="0.3">
      <c r="A2164">
        <v>1049500</v>
      </c>
    </row>
    <row r="2165" spans="1:1" x14ac:dyDescent="0.3">
      <c r="A2165">
        <v>1050000</v>
      </c>
    </row>
    <row r="2166" spans="1:1" x14ac:dyDescent="0.3">
      <c r="A2166">
        <v>1050500</v>
      </c>
    </row>
    <row r="2167" spans="1:1" x14ac:dyDescent="0.3">
      <c r="A2167">
        <v>1051000</v>
      </c>
    </row>
    <row r="2168" spans="1:1" x14ac:dyDescent="0.3">
      <c r="A2168">
        <v>1051500</v>
      </c>
    </row>
    <row r="2169" spans="1:1" x14ac:dyDescent="0.3">
      <c r="A2169">
        <v>1052000</v>
      </c>
    </row>
    <row r="2170" spans="1:1" x14ac:dyDescent="0.3">
      <c r="A2170">
        <v>1052500</v>
      </c>
    </row>
    <row r="2171" spans="1:1" x14ac:dyDescent="0.3">
      <c r="A2171">
        <v>1053000</v>
      </c>
    </row>
    <row r="2172" spans="1:1" x14ac:dyDescent="0.3">
      <c r="A2172">
        <v>1053500</v>
      </c>
    </row>
    <row r="2173" spans="1:1" x14ac:dyDescent="0.3">
      <c r="A2173">
        <v>1054000</v>
      </c>
    </row>
    <row r="2174" spans="1:1" x14ac:dyDescent="0.3">
      <c r="A2174">
        <v>1054500</v>
      </c>
    </row>
    <row r="2175" spans="1:1" x14ac:dyDescent="0.3">
      <c r="A2175">
        <v>1055000</v>
      </c>
    </row>
    <row r="2176" spans="1:1" x14ac:dyDescent="0.3">
      <c r="A2176">
        <v>1055500</v>
      </c>
    </row>
    <row r="2177" spans="1:1" x14ac:dyDescent="0.3">
      <c r="A2177">
        <v>1056000</v>
      </c>
    </row>
    <row r="2178" spans="1:1" x14ac:dyDescent="0.3">
      <c r="A2178">
        <v>1056500</v>
      </c>
    </row>
    <row r="2179" spans="1:1" x14ac:dyDescent="0.3">
      <c r="A2179">
        <v>1057000</v>
      </c>
    </row>
    <row r="2180" spans="1:1" x14ac:dyDescent="0.3">
      <c r="A2180">
        <v>1057500</v>
      </c>
    </row>
    <row r="2181" spans="1:1" x14ac:dyDescent="0.3">
      <c r="A2181">
        <v>1058000</v>
      </c>
    </row>
    <row r="2182" spans="1:1" x14ac:dyDescent="0.3">
      <c r="A2182">
        <v>1058500</v>
      </c>
    </row>
    <row r="2183" spans="1:1" x14ac:dyDescent="0.3">
      <c r="A2183">
        <v>1059000</v>
      </c>
    </row>
    <row r="2184" spans="1:1" x14ac:dyDescent="0.3">
      <c r="A2184">
        <v>1059500</v>
      </c>
    </row>
    <row r="2185" spans="1:1" x14ac:dyDescent="0.3">
      <c r="A2185">
        <v>1060000</v>
      </c>
    </row>
    <row r="2186" spans="1:1" x14ac:dyDescent="0.3">
      <c r="A2186">
        <v>1060500</v>
      </c>
    </row>
    <row r="2187" spans="1:1" x14ac:dyDescent="0.3">
      <c r="A2187">
        <v>1061000</v>
      </c>
    </row>
    <row r="2188" spans="1:1" x14ac:dyDescent="0.3">
      <c r="A2188">
        <v>1061500</v>
      </c>
    </row>
    <row r="2189" spans="1:1" x14ac:dyDescent="0.3">
      <c r="A2189">
        <v>1062000</v>
      </c>
    </row>
    <row r="2190" spans="1:1" x14ac:dyDescent="0.3">
      <c r="A2190">
        <v>1062500</v>
      </c>
    </row>
    <row r="2191" spans="1:1" x14ac:dyDescent="0.3">
      <c r="A2191">
        <v>1063000</v>
      </c>
    </row>
    <row r="2192" spans="1:1" x14ac:dyDescent="0.3">
      <c r="A2192">
        <v>1063500</v>
      </c>
    </row>
    <row r="2193" spans="1:1" x14ac:dyDescent="0.3">
      <c r="A2193">
        <v>1064000</v>
      </c>
    </row>
    <row r="2194" spans="1:1" x14ac:dyDescent="0.3">
      <c r="A2194">
        <v>1064500</v>
      </c>
    </row>
    <row r="2195" spans="1:1" x14ac:dyDescent="0.3">
      <c r="A2195">
        <v>1065000</v>
      </c>
    </row>
    <row r="2196" spans="1:1" x14ac:dyDescent="0.3">
      <c r="A2196">
        <v>1065500</v>
      </c>
    </row>
    <row r="2197" spans="1:1" x14ac:dyDescent="0.3">
      <c r="A2197">
        <v>1066000</v>
      </c>
    </row>
    <row r="2198" spans="1:1" x14ac:dyDescent="0.3">
      <c r="A2198">
        <v>1066500</v>
      </c>
    </row>
    <row r="2199" spans="1:1" x14ac:dyDescent="0.3">
      <c r="A2199">
        <v>1067000</v>
      </c>
    </row>
    <row r="2200" spans="1:1" x14ac:dyDescent="0.3">
      <c r="A2200">
        <v>1067500</v>
      </c>
    </row>
    <row r="2201" spans="1:1" x14ac:dyDescent="0.3">
      <c r="A2201">
        <v>1068000</v>
      </c>
    </row>
    <row r="2202" spans="1:1" x14ac:dyDescent="0.3">
      <c r="A2202">
        <v>1068500</v>
      </c>
    </row>
    <row r="2203" spans="1:1" x14ac:dyDescent="0.3">
      <c r="A2203">
        <v>1069000</v>
      </c>
    </row>
    <row r="2204" spans="1:1" x14ac:dyDescent="0.3">
      <c r="A2204">
        <v>1069500</v>
      </c>
    </row>
    <row r="2205" spans="1:1" x14ac:dyDescent="0.3">
      <c r="A2205">
        <v>1070000</v>
      </c>
    </row>
    <row r="2206" spans="1:1" x14ac:dyDescent="0.3">
      <c r="A2206">
        <v>1070500</v>
      </c>
    </row>
    <row r="2207" spans="1:1" x14ac:dyDescent="0.3">
      <c r="A2207">
        <v>1071000</v>
      </c>
    </row>
    <row r="2208" spans="1:1" x14ac:dyDescent="0.3">
      <c r="A2208">
        <v>1071500</v>
      </c>
    </row>
    <row r="2209" spans="1:1" x14ac:dyDescent="0.3">
      <c r="A2209">
        <v>1072000</v>
      </c>
    </row>
    <row r="2210" spans="1:1" x14ac:dyDescent="0.3">
      <c r="A2210">
        <v>1072500</v>
      </c>
    </row>
    <row r="2211" spans="1:1" x14ac:dyDescent="0.3">
      <c r="A2211">
        <v>1073000</v>
      </c>
    </row>
    <row r="2212" spans="1:1" x14ac:dyDescent="0.3">
      <c r="A2212">
        <v>1073500</v>
      </c>
    </row>
    <row r="2213" spans="1:1" x14ac:dyDescent="0.3">
      <c r="A2213">
        <v>1074000</v>
      </c>
    </row>
    <row r="2214" spans="1:1" x14ac:dyDescent="0.3">
      <c r="A2214">
        <v>1074500</v>
      </c>
    </row>
    <row r="2215" spans="1:1" x14ac:dyDescent="0.3">
      <c r="A2215">
        <v>1075000</v>
      </c>
    </row>
    <row r="2216" spans="1:1" x14ac:dyDescent="0.3">
      <c r="A2216">
        <v>1075500</v>
      </c>
    </row>
    <row r="2217" spans="1:1" x14ac:dyDescent="0.3">
      <c r="A2217">
        <v>1076000</v>
      </c>
    </row>
    <row r="2218" spans="1:1" x14ac:dyDescent="0.3">
      <c r="A2218">
        <v>1076500</v>
      </c>
    </row>
    <row r="2219" spans="1:1" x14ac:dyDescent="0.3">
      <c r="A2219">
        <v>1077000</v>
      </c>
    </row>
    <row r="2220" spans="1:1" x14ac:dyDescent="0.3">
      <c r="A2220">
        <v>1077500</v>
      </c>
    </row>
    <row r="2221" spans="1:1" x14ac:dyDescent="0.3">
      <c r="A2221">
        <v>1078000</v>
      </c>
    </row>
    <row r="2222" spans="1:1" x14ac:dyDescent="0.3">
      <c r="A2222">
        <v>1078500</v>
      </c>
    </row>
    <row r="2223" spans="1:1" x14ac:dyDescent="0.3">
      <c r="A2223">
        <v>1079000</v>
      </c>
    </row>
    <row r="2224" spans="1:1" x14ac:dyDescent="0.3">
      <c r="A2224">
        <v>1079500</v>
      </c>
    </row>
    <row r="2225" spans="1:1" x14ac:dyDescent="0.3">
      <c r="A2225">
        <v>1080000</v>
      </c>
    </row>
    <row r="2226" spans="1:1" x14ac:dyDescent="0.3">
      <c r="A2226">
        <v>1080500</v>
      </c>
    </row>
    <row r="2227" spans="1:1" x14ac:dyDescent="0.3">
      <c r="A2227">
        <v>1081000</v>
      </c>
    </row>
    <row r="2228" spans="1:1" x14ac:dyDescent="0.3">
      <c r="A2228">
        <v>1081500</v>
      </c>
    </row>
    <row r="2229" spans="1:1" x14ac:dyDescent="0.3">
      <c r="A2229">
        <v>1082000</v>
      </c>
    </row>
    <row r="2230" spans="1:1" x14ac:dyDescent="0.3">
      <c r="A2230">
        <v>1082500</v>
      </c>
    </row>
    <row r="2231" spans="1:1" x14ac:dyDescent="0.3">
      <c r="A2231">
        <v>1083000</v>
      </c>
    </row>
    <row r="2232" spans="1:1" x14ac:dyDescent="0.3">
      <c r="A2232">
        <v>1083500</v>
      </c>
    </row>
    <row r="2233" spans="1:1" x14ac:dyDescent="0.3">
      <c r="A2233">
        <v>1084000</v>
      </c>
    </row>
    <row r="2234" spans="1:1" x14ac:dyDescent="0.3">
      <c r="A2234">
        <v>1084500</v>
      </c>
    </row>
    <row r="2235" spans="1:1" x14ac:dyDescent="0.3">
      <c r="A2235">
        <v>1085000</v>
      </c>
    </row>
    <row r="2236" spans="1:1" x14ac:dyDescent="0.3">
      <c r="A2236">
        <v>1085500</v>
      </c>
    </row>
    <row r="2237" spans="1:1" x14ac:dyDescent="0.3">
      <c r="A2237">
        <v>1086000</v>
      </c>
    </row>
    <row r="2238" spans="1:1" x14ac:dyDescent="0.3">
      <c r="A2238">
        <v>1086500</v>
      </c>
    </row>
    <row r="2239" spans="1:1" x14ac:dyDescent="0.3">
      <c r="A2239">
        <v>1087000</v>
      </c>
    </row>
    <row r="2240" spans="1:1" x14ac:dyDescent="0.3">
      <c r="A2240">
        <v>1087500</v>
      </c>
    </row>
    <row r="2241" spans="1:1" x14ac:dyDescent="0.3">
      <c r="A2241">
        <v>1088000</v>
      </c>
    </row>
    <row r="2242" spans="1:1" x14ac:dyDescent="0.3">
      <c r="A2242">
        <v>1088500</v>
      </c>
    </row>
    <row r="2243" spans="1:1" x14ac:dyDescent="0.3">
      <c r="A2243">
        <v>1089000</v>
      </c>
    </row>
    <row r="2244" spans="1:1" x14ac:dyDescent="0.3">
      <c r="A2244">
        <v>1089500</v>
      </c>
    </row>
    <row r="2245" spans="1:1" x14ac:dyDescent="0.3">
      <c r="A2245">
        <v>1090000</v>
      </c>
    </row>
    <row r="2246" spans="1:1" x14ac:dyDescent="0.3">
      <c r="A2246">
        <v>1090500</v>
      </c>
    </row>
    <row r="2247" spans="1:1" x14ac:dyDescent="0.3">
      <c r="A2247">
        <v>1091000</v>
      </c>
    </row>
    <row r="2248" spans="1:1" x14ac:dyDescent="0.3">
      <c r="A2248">
        <v>1091500</v>
      </c>
    </row>
    <row r="2249" spans="1:1" x14ac:dyDescent="0.3">
      <c r="A2249">
        <v>1092000</v>
      </c>
    </row>
    <row r="2250" spans="1:1" x14ac:dyDescent="0.3">
      <c r="A2250">
        <v>1092500</v>
      </c>
    </row>
    <row r="2251" spans="1:1" x14ac:dyDescent="0.3">
      <c r="A2251">
        <v>1093000</v>
      </c>
    </row>
    <row r="2252" spans="1:1" x14ac:dyDescent="0.3">
      <c r="A2252">
        <v>1093500</v>
      </c>
    </row>
    <row r="2253" spans="1:1" x14ac:dyDescent="0.3">
      <c r="A2253">
        <v>1094000</v>
      </c>
    </row>
    <row r="2254" spans="1:1" x14ac:dyDescent="0.3">
      <c r="A2254">
        <v>1094500</v>
      </c>
    </row>
    <row r="2255" spans="1:1" x14ac:dyDescent="0.3">
      <c r="A2255">
        <v>1095000</v>
      </c>
    </row>
    <row r="2256" spans="1:1" x14ac:dyDescent="0.3">
      <c r="A2256">
        <v>1095500</v>
      </c>
    </row>
    <row r="2257" spans="1:1" x14ac:dyDescent="0.3">
      <c r="A2257">
        <v>1096000</v>
      </c>
    </row>
    <row r="2258" spans="1:1" x14ac:dyDescent="0.3">
      <c r="A2258">
        <v>1096500</v>
      </c>
    </row>
    <row r="2259" spans="1:1" x14ac:dyDescent="0.3">
      <c r="A2259">
        <v>1097000</v>
      </c>
    </row>
    <row r="2260" spans="1:1" x14ac:dyDescent="0.3">
      <c r="A2260">
        <v>1097500</v>
      </c>
    </row>
    <row r="2261" spans="1:1" x14ac:dyDescent="0.3">
      <c r="A2261">
        <v>1098000</v>
      </c>
    </row>
    <row r="2262" spans="1:1" x14ac:dyDescent="0.3">
      <c r="A2262">
        <v>1098500</v>
      </c>
    </row>
    <row r="2263" spans="1:1" x14ac:dyDescent="0.3">
      <c r="A2263">
        <v>1099000</v>
      </c>
    </row>
    <row r="2264" spans="1:1" x14ac:dyDescent="0.3">
      <c r="A2264">
        <v>1099500</v>
      </c>
    </row>
    <row r="2265" spans="1:1" x14ac:dyDescent="0.3">
      <c r="A2265">
        <v>1100000</v>
      </c>
    </row>
    <row r="2266" spans="1:1" x14ac:dyDescent="0.3">
      <c r="A2266">
        <v>1100500</v>
      </c>
    </row>
    <row r="2267" spans="1:1" x14ac:dyDescent="0.3">
      <c r="A2267">
        <v>1101000</v>
      </c>
    </row>
    <row r="2268" spans="1:1" x14ac:dyDescent="0.3">
      <c r="A2268">
        <v>1101500</v>
      </c>
    </row>
    <row r="2269" spans="1:1" x14ac:dyDescent="0.3">
      <c r="A2269">
        <v>1102000</v>
      </c>
    </row>
    <row r="2270" spans="1:1" x14ac:dyDescent="0.3">
      <c r="A2270">
        <v>1102500</v>
      </c>
    </row>
    <row r="2271" spans="1:1" x14ac:dyDescent="0.3">
      <c r="A2271">
        <v>1103000</v>
      </c>
    </row>
    <row r="2272" spans="1:1" x14ac:dyDescent="0.3">
      <c r="A2272">
        <v>1103500</v>
      </c>
    </row>
    <row r="2273" spans="1:1" x14ac:dyDescent="0.3">
      <c r="A2273">
        <v>1104000</v>
      </c>
    </row>
    <row r="2274" spans="1:1" x14ac:dyDescent="0.3">
      <c r="A2274">
        <v>1104500</v>
      </c>
    </row>
    <row r="2275" spans="1:1" x14ac:dyDescent="0.3">
      <c r="A2275">
        <v>1105000</v>
      </c>
    </row>
    <row r="2276" spans="1:1" x14ac:dyDescent="0.3">
      <c r="A2276">
        <v>1105500</v>
      </c>
    </row>
    <row r="2277" spans="1:1" x14ac:dyDescent="0.3">
      <c r="A2277">
        <v>1106000</v>
      </c>
    </row>
    <row r="2278" spans="1:1" x14ac:dyDescent="0.3">
      <c r="A2278">
        <v>1106500</v>
      </c>
    </row>
    <row r="2279" spans="1:1" x14ac:dyDescent="0.3">
      <c r="A2279">
        <v>1107000</v>
      </c>
    </row>
    <row r="2280" spans="1:1" x14ac:dyDescent="0.3">
      <c r="A2280">
        <v>1107500</v>
      </c>
    </row>
    <row r="2281" spans="1:1" x14ac:dyDescent="0.3">
      <c r="A2281">
        <v>1108000</v>
      </c>
    </row>
    <row r="2282" spans="1:1" x14ac:dyDescent="0.3">
      <c r="A2282">
        <v>1108500</v>
      </c>
    </row>
    <row r="2283" spans="1:1" x14ac:dyDescent="0.3">
      <c r="A2283">
        <v>1109000</v>
      </c>
    </row>
    <row r="2284" spans="1:1" x14ac:dyDescent="0.3">
      <c r="A2284">
        <v>1109500</v>
      </c>
    </row>
    <row r="2285" spans="1:1" x14ac:dyDescent="0.3">
      <c r="A2285">
        <v>1110000</v>
      </c>
    </row>
    <row r="2286" spans="1:1" x14ac:dyDescent="0.3">
      <c r="A2286">
        <v>1110500</v>
      </c>
    </row>
    <row r="2287" spans="1:1" x14ac:dyDescent="0.3">
      <c r="A2287">
        <v>1111000</v>
      </c>
    </row>
    <row r="2288" spans="1:1" x14ac:dyDescent="0.3">
      <c r="A2288">
        <v>1111500</v>
      </c>
    </row>
    <row r="2289" spans="1:1" x14ac:dyDescent="0.3">
      <c r="A2289">
        <v>1112000</v>
      </c>
    </row>
    <row r="2290" spans="1:1" x14ac:dyDescent="0.3">
      <c r="A2290">
        <v>1112500</v>
      </c>
    </row>
    <row r="2291" spans="1:1" x14ac:dyDescent="0.3">
      <c r="A2291">
        <v>1113000</v>
      </c>
    </row>
    <row r="2292" spans="1:1" x14ac:dyDescent="0.3">
      <c r="A2292">
        <v>1113500</v>
      </c>
    </row>
    <row r="2293" spans="1:1" x14ac:dyDescent="0.3">
      <c r="A2293">
        <v>1114000</v>
      </c>
    </row>
    <row r="2294" spans="1:1" x14ac:dyDescent="0.3">
      <c r="A2294">
        <v>1114500</v>
      </c>
    </row>
    <row r="2295" spans="1:1" x14ac:dyDescent="0.3">
      <c r="A2295">
        <v>1115000</v>
      </c>
    </row>
    <row r="2296" spans="1:1" x14ac:dyDescent="0.3">
      <c r="A2296">
        <v>1115500</v>
      </c>
    </row>
    <row r="2297" spans="1:1" x14ac:dyDescent="0.3">
      <c r="A2297">
        <v>1116000</v>
      </c>
    </row>
    <row r="2298" spans="1:1" x14ac:dyDescent="0.3">
      <c r="A2298">
        <v>1116500</v>
      </c>
    </row>
    <row r="2299" spans="1:1" x14ac:dyDescent="0.3">
      <c r="A2299">
        <v>1117000</v>
      </c>
    </row>
    <row r="2300" spans="1:1" x14ac:dyDescent="0.3">
      <c r="A2300">
        <v>1117500</v>
      </c>
    </row>
    <row r="2301" spans="1:1" x14ac:dyDescent="0.3">
      <c r="A2301">
        <v>1118000</v>
      </c>
    </row>
    <row r="2302" spans="1:1" x14ac:dyDescent="0.3">
      <c r="A2302">
        <v>1118500</v>
      </c>
    </row>
    <row r="2303" spans="1:1" x14ac:dyDescent="0.3">
      <c r="A2303">
        <v>1119000</v>
      </c>
    </row>
    <row r="2304" spans="1:1" x14ac:dyDescent="0.3">
      <c r="A2304">
        <v>1119500</v>
      </c>
    </row>
    <row r="2305" spans="1:1" x14ac:dyDescent="0.3">
      <c r="A2305">
        <v>1120000</v>
      </c>
    </row>
    <row r="2306" spans="1:1" x14ac:dyDescent="0.3">
      <c r="A2306">
        <v>1120500</v>
      </c>
    </row>
    <row r="2307" spans="1:1" x14ac:dyDescent="0.3">
      <c r="A2307">
        <v>1121000</v>
      </c>
    </row>
    <row r="2308" spans="1:1" x14ac:dyDescent="0.3">
      <c r="A2308">
        <v>1121500</v>
      </c>
    </row>
    <row r="2309" spans="1:1" x14ac:dyDescent="0.3">
      <c r="A2309">
        <v>1122000</v>
      </c>
    </row>
    <row r="2310" spans="1:1" x14ac:dyDescent="0.3">
      <c r="A2310">
        <v>1122500</v>
      </c>
    </row>
    <row r="2311" spans="1:1" x14ac:dyDescent="0.3">
      <c r="A2311">
        <v>1123000</v>
      </c>
    </row>
    <row r="2312" spans="1:1" x14ac:dyDescent="0.3">
      <c r="A2312">
        <v>1123500</v>
      </c>
    </row>
    <row r="2313" spans="1:1" x14ac:dyDescent="0.3">
      <c r="A2313">
        <v>1124000</v>
      </c>
    </row>
    <row r="2314" spans="1:1" x14ac:dyDescent="0.3">
      <c r="A2314">
        <v>1124500</v>
      </c>
    </row>
    <row r="2315" spans="1:1" x14ac:dyDescent="0.3">
      <c r="A2315">
        <v>1125000</v>
      </c>
    </row>
    <row r="2316" spans="1:1" x14ac:dyDescent="0.3">
      <c r="A2316">
        <v>1125500</v>
      </c>
    </row>
    <row r="2317" spans="1:1" x14ac:dyDescent="0.3">
      <c r="A2317">
        <v>1126000</v>
      </c>
    </row>
    <row r="2318" spans="1:1" x14ac:dyDescent="0.3">
      <c r="A2318">
        <v>1126500</v>
      </c>
    </row>
    <row r="2319" spans="1:1" x14ac:dyDescent="0.3">
      <c r="A2319">
        <v>1127000</v>
      </c>
    </row>
    <row r="2320" spans="1:1" x14ac:dyDescent="0.3">
      <c r="A2320">
        <v>1127500</v>
      </c>
    </row>
    <row r="2321" spans="1:1" x14ac:dyDescent="0.3">
      <c r="A2321">
        <v>1128000</v>
      </c>
    </row>
    <row r="2322" spans="1:1" x14ac:dyDescent="0.3">
      <c r="A2322">
        <v>1128500</v>
      </c>
    </row>
    <row r="2323" spans="1:1" x14ac:dyDescent="0.3">
      <c r="A2323">
        <v>1129000</v>
      </c>
    </row>
    <row r="2324" spans="1:1" x14ac:dyDescent="0.3">
      <c r="A2324">
        <v>1129500</v>
      </c>
    </row>
    <row r="2325" spans="1:1" x14ac:dyDescent="0.3">
      <c r="A2325">
        <v>1130000</v>
      </c>
    </row>
    <row r="2326" spans="1:1" x14ac:dyDescent="0.3">
      <c r="A2326">
        <v>1130500</v>
      </c>
    </row>
    <row r="2327" spans="1:1" x14ac:dyDescent="0.3">
      <c r="A2327">
        <v>1131000</v>
      </c>
    </row>
    <row r="2328" spans="1:1" x14ac:dyDescent="0.3">
      <c r="A2328">
        <v>1131500</v>
      </c>
    </row>
    <row r="2329" spans="1:1" x14ac:dyDescent="0.3">
      <c r="A2329">
        <v>1132000</v>
      </c>
    </row>
    <row r="2330" spans="1:1" x14ac:dyDescent="0.3">
      <c r="A2330">
        <v>1132500</v>
      </c>
    </row>
    <row r="2331" spans="1:1" x14ac:dyDescent="0.3">
      <c r="A2331">
        <v>1133000</v>
      </c>
    </row>
    <row r="2332" spans="1:1" x14ac:dyDescent="0.3">
      <c r="A2332">
        <v>1133500</v>
      </c>
    </row>
    <row r="2333" spans="1:1" x14ac:dyDescent="0.3">
      <c r="A2333">
        <v>1134000</v>
      </c>
    </row>
    <row r="2334" spans="1:1" x14ac:dyDescent="0.3">
      <c r="A2334">
        <v>1134500</v>
      </c>
    </row>
    <row r="2335" spans="1:1" x14ac:dyDescent="0.3">
      <c r="A2335">
        <v>1135000</v>
      </c>
    </row>
    <row r="2336" spans="1:1" x14ac:dyDescent="0.3">
      <c r="A2336">
        <v>1135500</v>
      </c>
    </row>
    <row r="2337" spans="1:1" x14ac:dyDescent="0.3">
      <c r="A2337">
        <v>1136000</v>
      </c>
    </row>
    <row r="2338" spans="1:1" x14ac:dyDescent="0.3">
      <c r="A2338">
        <v>1136500</v>
      </c>
    </row>
    <row r="2339" spans="1:1" x14ac:dyDescent="0.3">
      <c r="A2339">
        <v>1137000</v>
      </c>
    </row>
    <row r="2340" spans="1:1" x14ac:dyDescent="0.3">
      <c r="A2340">
        <v>1137500</v>
      </c>
    </row>
    <row r="2341" spans="1:1" x14ac:dyDescent="0.3">
      <c r="A2341">
        <v>1138000</v>
      </c>
    </row>
    <row r="2342" spans="1:1" x14ac:dyDescent="0.3">
      <c r="A2342">
        <v>1138500</v>
      </c>
    </row>
    <row r="2343" spans="1:1" x14ac:dyDescent="0.3">
      <c r="A2343">
        <v>1139000</v>
      </c>
    </row>
    <row r="2344" spans="1:1" x14ac:dyDescent="0.3">
      <c r="A2344">
        <v>1139500</v>
      </c>
    </row>
    <row r="2345" spans="1:1" x14ac:dyDescent="0.3">
      <c r="A2345">
        <v>1140000</v>
      </c>
    </row>
    <row r="2346" spans="1:1" x14ac:dyDescent="0.3">
      <c r="A2346">
        <v>1140500</v>
      </c>
    </row>
    <row r="2347" spans="1:1" x14ac:dyDescent="0.3">
      <c r="A2347">
        <v>1141000</v>
      </c>
    </row>
    <row r="2348" spans="1:1" x14ac:dyDescent="0.3">
      <c r="A2348">
        <v>1141500</v>
      </c>
    </row>
    <row r="2349" spans="1:1" x14ac:dyDescent="0.3">
      <c r="A2349">
        <v>1142000</v>
      </c>
    </row>
    <row r="2350" spans="1:1" x14ac:dyDescent="0.3">
      <c r="A2350">
        <v>1142500</v>
      </c>
    </row>
    <row r="2351" spans="1:1" x14ac:dyDescent="0.3">
      <c r="A2351">
        <v>1143000</v>
      </c>
    </row>
    <row r="2352" spans="1:1" x14ac:dyDescent="0.3">
      <c r="A2352">
        <v>1143500</v>
      </c>
    </row>
    <row r="2353" spans="1:1" x14ac:dyDescent="0.3">
      <c r="A2353">
        <v>1144000</v>
      </c>
    </row>
    <row r="2354" spans="1:1" x14ac:dyDescent="0.3">
      <c r="A2354">
        <v>1144500</v>
      </c>
    </row>
    <row r="2355" spans="1:1" x14ac:dyDescent="0.3">
      <c r="A2355">
        <v>1145000</v>
      </c>
    </row>
    <row r="2356" spans="1:1" x14ac:dyDescent="0.3">
      <c r="A2356">
        <v>1145500</v>
      </c>
    </row>
    <row r="2357" spans="1:1" x14ac:dyDescent="0.3">
      <c r="A2357">
        <v>1146000</v>
      </c>
    </row>
    <row r="2358" spans="1:1" x14ac:dyDescent="0.3">
      <c r="A2358">
        <v>1146500</v>
      </c>
    </row>
    <row r="2359" spans="1:1" x14ac:dyDescent="0.3">
      <c r="A2359">
        <v>1147000</v>
      </c>
    </row>
    <row r="2360" spans="1:1" x14ac:dyDescent="0.3">
      <c r="A2360">
        <v>1147500</v>
      </c>
    </row>
    <row r="2361" spans="1:1" x14ac:dyDescent="0.3">
      <c r="A2361">
        <v>1148000</v>
      </c>
    </row>
    <row r="2362" spans="1:1" x14ac:dyDescent="0.3">
      <c r="A2362">
        <v>1148500</v>
      </c>
    </row>
    <row r="2363" spans="1:1" x14ac:dyDescent="0.3">
      <c r="A2363">
        <v>1149000</v>
      </c>
    </row>
    <row r="2364" spans="1:1" x14ac:dyDescent="0.3">
      <c r="A2364">
        <v>1149500</v>
      </c>
    </row>
    <row r="2365" spans="1:1" x14ac:dyDescent="0.3">
      <c r="A2365">
        <v>1150000</v>
      </c>
    </row>
    <row r="2366" spans="1:1" x14ac:dyDescent="0.3">
      <c r="A2366">
        <v>1150500</v>
      </c>
    </row>
    <row r="2367" spans="1:1" x14ac:dyDescent="0.3">
      <c r="A2367">
        <v>1151000</v>
      </c>
    </row>
    <row r="2368" spans="1:1" x14ac:dyDescent="0.3">
      <c r="A2368">
        <v>1151500</v>
      </c>
    </row>
    <row r="2369" spans="1:1" x14ac:dyDescent="0.3">
      <c r="A2369">
        <v>1152000</v>
      </c>
    </row>
    <row r="2370" spans="1:1" x14ac:dyDescent="0.3">
      <c r="A2370">
        <v>1152500</v>
      </c>
    </row>
    <row r="2371" spans="1:1" x14ac:dyDescent="0.3">
      <c r="A2371">
        <v>1153000</v>
      </c>
    </row>
    <row r="2372" spans="1:1" x14ac:dyDescent="0.3">
      <c r="A2372">
        <v>1153500</v>
      </c>
    </row>
    <row r="2373" spans="1:1" x14ac:dyDescent="0.3">
      <c r="A2373">
        <v>1154000</v>
      </c>
    </row>
    <row r="2374" spans="1:1" x14ac:dyDescent="0.3">
      <c r="A2374">
        <v>1154500</v>
      </c>
    </row>
    <row r="2375" spans="1:1" x14ac:dyDescent="0.3">
      <c r="A2375">
        <v>1155000</v>
      </c>
    </row>
    <row r="2376" spans="1:1" x14ac:dyDescent="0.3">
      <c r="A2376">
        <v>1155500</v>
      </c>
    </row>
    <row r="2377" spans="1:1" x14ac:dyDescent="0.3">
      <c r="A2377">
        <v>1156000</v>
      </c>
    </row>
    <row r="2378" spans="1:1" x14ac:dyDescent="0.3">
      <c r="A2378">
        <v>1156500</v>
      </c>
    </row>
    <row r="2379" spans="1:1" x14ac:dyDescent="0.3">
      <c r="A2379">
        <v>1157000</v>
      </c>
    </row>
    <row r="2380" spans="1:1" x14ac:dyDescent="0.3">
      <c r="A2380">
        <v>1157500</v>
      </c>
    </row>
    <row r="2381" spans="1:1" x14ac:dyDescent="0.3">
      <c r="A2381">
        <v>1158000</v>
      </c>
    </row>
    <row r="2382" spans="1:1" x14ac:dyDescent="0.3">
      <c r="A2382">
        <v>1158500</v>
      </c>
    </row>
    <row r="2383" spans="1:1" x14ac:dyDescent="0.3">
      <c r="A2383">
        <v>1159000</v>
      </c>
    </row>
    <row r="2384" spans="1:1" x14ac:dyDescent="0.3">
      <c r="A2384">
        <v>1159500</v>
      </c>
    </row>
    <row r="2385" spans="1:1" x14ac:dyDescent="0.3">
      <c r="A2385">
        <v>1160000</v>
      </c>
    </row>
    <row r="2386" spans="1:1" x14ac:dyDescent="0.3">
      <c r="A2386">
        <v>1160500</v>
      </c>
    </row>
    <row r="2387" spans="1:1" x14ac:dyDescent="0.3">
      <c r="A2387">
        <v>1161000</v>
      </c>
    </row>
    <row r="2388" spans="1:1" x14ac:dyDescent="0.3">
      <c r="A2388">
        <v>1161500</v>
      </c>
    </row>
    <row r="2389" spans="1:1" x14ac:dyDescent="0.3">
      <c r="A2389">
        <v>1162000</v>
      </c>
    </row>
    <row r="2390" spans="1:1" x14ac:dyDescent="0.3">
      <c r="A2390">
        <v>1162500</v>
      </c>
    </row>
    <row r="2391" spans="1:1" x14ac:dyDescent="0.3">
      <c r="A2391">
        <v>1163000</v>
      </c>
    </row>
    <row r="2392" spans="1:1" x14ac:dyDescent="0.3">
      <c r="A2392">
        <v>1163500</v>
      </c>
    </row>
    <row r="2393" spans="1:1" x14ac:dyDescent="0.3">
      <c r="A2393">
        <v>1164000</v>
      </c>
    </row>
    <row r="2394" spans="1:1" x14ac:dyDescent="0.3">
      <c r="A2394">
        <v>1164500</v>
      </c>
    </row>
    <row r="2395" spans="1:1" x14ac:dyDescent="0.3">
      <c r="A2395">
        <v>1165000</v>
      </c>
    </row>
    <row r="2396" spans="1:1" x14ac:dyDescent="0.3">
      <c r="A2396">
        <v>1165500</v>
      </c>
    </row>
    <row r="2397" spans="1:1" x14ac:dyDescent="0.3">
      <c r="A2397">
        <v>1166000</v>
      </c>
    </row>
    <row r="2398" spans="1:1" x14ac:dyDescent="0.3">
      <c r="A2398">
        <v>1166500</v>
      </c>
    </row>
    <row r="2399" spans="1:1" x14ac:dyDescent="0.3">
      <c r="A2399">
        <v>1167000</v>
      </c>
    </row>
    <row r="2400" spans="1:1" x14ac:dyDescent="0.3">
      <c r="A2400">
        <v>1167500</v>
      </c>
    </row>
    <row r="2401" spans="1:1" x14ac:dyDescent="0.3">
      <c r="A2401">
        <v>1168000</v>
      </c>
    </row>
    <row r="2402" spans="1:1" x14ac:dyDescent="0.3">
      <c r="A2402">
        <v>1168500</v>
      </c>
    </row>
    <row r="2403" spans="1:1" x14ac:dyDescent="0.3">
      <c r="A2403">
        <v>1169000</v>
      </c>
    </row>
    <row r="2404" spans="1:1" x14ac:dyDescent="0.3">
      <c r="A2404">
        <v>1169500</v>
      </c>
    </row>
    <row r="2405" spans="1:1" x14ac:dyDescent="0.3">
      <c r="A2405">
        <v>1170000</v>
      </c>
    </row>
    <row r="2406" spans="1:1" x14ac:dyDescent="0.3">
      <c r="A2406">
        <v>1170500</v>
      </c>
    </row>
    <row r="2407" spans="1:1" x14ac:dyDescent="0.3">
      <c r="A2407">
        <v>1171000</v>
      </c>
    </row>
    <row r="2408" spans="1:1" x14ac:dyDescent="0.3">
      <c r="A2408">
        <v>1171500</v>
      </c>
    </row>
    <row r="2409" spans="1:1" x14ac:dyDescent="0.3">
      <c r="A2409">
        <v>1172000</v>
      </c>
    </row>
    <row r="2410" spans="1:1" x14ac:dyDescent="0.3">
      <c r="A2410">
        <v>1172500</v>
      </c>
    </row>
    <row r="2411" spans="1:1" x14ac:dyDescent="0.3">
      <c r="A2411">
        <v>1173000</v>
      </c>
    </row>
    <row r="2412" spans="1:1" x14ac:dyDescent="0.3">
      <c r="A2412">
        <v>1173500</v>
      </c>
    </row>
    <row r="2413" spans="1:1" x14ac:dyDescent="0.3">
      <c r="A2413">
        <v>1174000</v>
      </c>
    </row>
    <row r="2414" spans="1:1" x14ac:dyDescent="0.3">
      <c r="A2414">
        <v>1174500</v>
      </c>
    </row>
    <row r="2415" spans="1:1" x14ac:dyDescent="0.3">
      <c r="A2415">
        <v>1175000</v>
      </c>
    </row>
    <row r="2416" spans="1:1" x14ac:dyDescent="0.3">
      <c r="A2416">
        <v>1175500</v>
      </c>
    </row>
    <row r="2417" spans="1:1" x14ac:dyDescent="0.3">
      <c r="A2417">
        <v>1176000</v>
      </c>
    </row>
    <row r="2418" spans="1:1" x14ac:dyDescent="0.3">
      <c r="A2418">
        <v>1176500</v>
      </c>
    </row>
    <row r="2419" spans="1:1" x14ac:dyDescent="0.3">
      <c r="A2419">
        <v>1177000</v>
      </c>
    </row>
    <row r="2420" spans="1:1" x14ac:dyDescent="0.3">
      <c r="A2420">
        <v>1177500</v>
      </c>
    </row>
    <row r="2421" spans="1:1" x14ac:dyDescent="0.3">
      <c r="A2421">
        <v>1178000</v>
      </c>
    </row>
    <row r="2422" spans="1:1" x14ac:dyDescent="0.3">
      <c r="A2422">
        <v>1178500</v>
      </c>
    </row>
    <row r="2423" spans="1:1" x14ac:dyDescent="0.3">
      <c r="A2423">
        <v>1179000</v>
      </c>
    </row>
    <row r="2424" spans="1:1" x14ac:dyDescent="0.3">
      <c r="A2424">
        <v>1179500</v>
      </c>
    </row>
    <row r="2425" spans="1:1" x14ac:dyDescent="0.3">
      <c r="A2425">
        <v>1180000</v>
      </c>
    </row>
    <row r="2426" spans="1:1" x14ac:dyDescent="0.3">
      <c r="A2426">
        <v>1180500</v>
      </c>
    </row>
    <row r="2427" spans="1:1" x14ac:dyDescent="0.3">
      <c r="A2427">
        <v>1181000</v>
      </c>
    </row>
    <row r="2428" spans="1:1" x14ac:dyDescent="0.3">
      <c r="A2428">
        <v>1181500</v>
      </c>
    </row>
    <row r="2429" spans="1:1" x14ac:dyDescent="0.3">
      <c r="A2429">
        <v>1182000</v>
      </c>
    </row>
    <row r="2430" spans="1:1" x14ac:dyDescent="0.3">
      <c r="A2430">
        <v>1182500</v>
      </c>
    </row>
    <row r="2431" spans="1:1" x14ac:dyDescent="0.3">
      <c r="A2431">
        <v>1183000</v>
      </c>
    </row>
    <row r="2432" spans="1:1" x14ac:dyDescent="0.3">
      <c r="A2432">
        <v>1183500</v>
      </c>
    </row>
    <row r="2433" spans="1:1" x14ac:dyDescent="0.3">
      <c r="A2433">
        <v>1184000</v>
      </c>
    </row>
    <row r="2434" spans="1:1" x14ac:dyDescent="0.3">
      <c r="A2434">
        <v>1184500</v>
      </c>
    </row>
    <row r="2435" spans="1:1" x14ac:dyDescent="0.3">
      <c r="A2435">
        <v>1185000</v>
      </c>
    </row>
    <row r="2436" spans="1:1" x14ac:dyDescent="0.3">
      <c r="A2436">
        <v>1185500</v>
      </c>
    </row>
    <row r="2437" spans="1:1" x14ac:dyDescent="0.3">
      <c r="A2437">
        <v>1186000</v>
      </c>
    </row>
    <row r="2438" spans="1:1" x14ac:dyDescent="0.3">
      <c r="A2438">
        <v>1186500</v>
      </c>
    </row>
    <row r="2439" spans="1:1" x14ac:dyDescent="0.3">
      <c r="A2439">
        <v>1187000</v>
      </c>
    </row>
    <row r="2440" spans="1:1" x14ac:dyDescent="0.3">
      <c r="A2440">
        <v>1187500</v>
      </c>
    </row>
    <row r="2441" spans="1:1" x14ac:dyDescent="0.3">
      <c r="A2441">
        <v>1188000</v>
      </c>
    </row>
    <row r="2442" spans="1:1" x14ac:dyDescent="0.3">
      <c r="A2442">
        <v>1188500</v>
      </c>
    </row>
    <row r="2443" spans="1:1" x14ac:dyDescent="0.3">
      <c r="A2443">
        <v>1189000</v>
      </c>
    </row>
    <row r="2444" spans="1:1" x14ac:dyDescent="0.3">
      <c r="A2444">
        <v>1189500</v>
      </c>
    </row>
    <row r="2445" spans="1:1" x14ac:dyDescent="0.3">
      <c r="A2445">
        <v>1190000</v>
      </c>
    </row>
    <row r="2446" spans="1:1" x14ac:dyDescent="0.3">
      <c r="A2446">
        <v>1190500</v>
      </c>
    </row>
    <row r="2447" spans="1:1" x14ac:dyDescent="0.3">
      <c r="A2447">
        <v>1191000</v>
      </c>
    </row>
    <row r="2448" spans="1:1" x14ac:dyDescent="0.3">
      <c r="A2448">
        <v>1191500</v>
      </c>
    </row>
    <row r="2449" spans="1:1" x14ac:dyDescent="0.3">
      <c r="A2449">
        <v>1192000</v>
      </c>
    </row>
    <row r="2450" spans="1:1" x14ac:dyDescent="0.3">
      <c r="A2450">
        <v>1192500</v>
      </c>
    </row>
    <row r="2451" spans="1:1" x14ac:dyDescent="0.3">
      <c r="A2451">
        <v>1193000</v>
      </c>
    </row>
    <row r="2452" spans="1:1" x14ac:dyDescent="0.3">
      <c r="A2452">
        <v>1193500</v>
      </c>
    </row>
    <row r="2453" spans="1:1" x14ac:dyDescent="0.3">
      <c r="A2453">
        <v>1194000</v>
      </c>
    </row>
    <row r="2454" spans="1:1" x14ac:dyDescent="0.3">
      <c r="A2454">
        <v>1194500</v>
      </c>
    </row>
    <row r="2455" spans="1:1" x14ac:dyDescent="0.3">
      <c r="A2455">
        <v>1195000</v>
      </c>
    </row>
    <row r="2456" spans="1:1" x14ac:dyDescent="0.3">
      <c r="A2456">
        <v>1195500</v>
      </c>
    </row>
    <row r="2457" spans="1:1" x14ac:dyDescent="0.3">
      <c r="A2457">
        <v>1196000</v>
      </c>
    </row>
    <row r="2458" spans="1:1" x14ac:dyDescent="0.3">
      <c r="A2458">
        <v>1196500</v>
      </c>
    </row>
    <row r="2459" spans="1:1" x14ac:dyDescent="0.3">
      <c r="A2459">
        <v>1197000</v>
      </c>
    </row>
    <row r="2460" spans="1:1" x14ac:dyDescent="0.3">
      <c r="A2460">
        <v>1197500</v>
      </c>
    </row>
    <row r="2461" spans="1:1" x14ac:dyDescent="0.3">
      <c r="A2461">
        <v>1198000</v>
      </c>
    </row>
    <row r="2462" spans="1:1" x14ac:dyDescent="0.3">
      <c r="A2462">
        <v>1198500</v>
      </c>
    </row>
    <row r="2463" spans="1:1" x14ac:dyDescent="0.3">
      <c r="A2463">
        <v>1199000</v>
      </c>
    </row>
    <row r="2464" spans="1:1" x14ac:dyDescent="0.3">
      <c r="A2464">
        <v>1199500</v>
      </c>
    </row>
    <row r="2465" spans="1:1" x14ac:dyDescent="0.3">
      <c r="A2465">
        <v>1200000</v>
      </c>
    </row>
    <row r="2466" spans="1:1" x14ac:dyDescent="0.3">
      <c r="A2466">
        <v>1200500</v>
      </c>
    </row>
    <row r="2467" spans="1:1" x14ac:dyDescent="0.3">
      <c r="A2467">
        <v>1201000</v>
      </c>
    </row>
    <row r="2468" spans="1:1" x14ac:dyDescent="0.3">
      <c r="A2468">
        <v>1201500</v>
      </c>
    </row>
    <row r="2469" spans="1:1" x14ac:dyDescent="0.3">
      <c r="A2469">
        <v>1202000</v>
      </c>
    </row>
    <row r="2470" spans="1:1" x14ac:dyDescent="0.3">
      <c r="A2470">
        <v>1202500</v>
      </c>
    </row>
    <row r="2471" spans="1:1" x14ac:dyDescent="0.3">
      <c r="A2471">
        <v>1203000</v>
      </c>
    </row>
    <row r="2472" spans="1:1" x14ac:dyDescent="0.3">
      <c r="A2472">
        <v>1203500</v>
      </c>
    </row>
    <row r="2473" spans="1:1" x14ac:dyDescent="0.3">
      <c r="A2473">
        <v>1204000</v>
      </c>
    </row>
    <row r="2474" spans="1:1" x14ac:dyDescent="0.3">
      <c r="A2474">
        <v>1204500</v>
      </c>
    </row>
    <row r="2475" spans="1:1" x14ac:dyDescent="0.3">
      <c r="A2475">
        <v>1205000</v>
      </c>
    </row>
    <row r="2476" spans="1:1" x14ac:dyDescent="0.3">
      <c r="A2476">
        <v>1205500</v>
      </c>
    </row>
    <row r="2477" spans="1:1" x14ac:dyDescent="0.3">
      <c r="A2477">
        <v>1206000</v>
      </c>
    </row>
    <row r="2478" spans="1:1" x14ac:dyDescent="0.3">
      <c r="A2478">
        <v>1206500</v>
      </c>
    </row>
    <row r="2479" spans="1:1" x14ac:dyDescent="0.3">
      <c r="A2479">
        <v>1207000</v>
      </c>
    </row>
    <row r="2480" spans="1:1" x14ac:dyDescent="0.3">
      <c r="A2480">
        <v>1207500</v>
      </c>
    </row>
    <row r="2481" spans="1:1" x14ac:dyDescent="0.3">
      <c r="A2481">
        <v>1208000</v>
      </c>
    </row>
    <row r="2482" spans="1:1" x14ac:dyDescent="0.3">
      <c r="A2482">
        <v>1208500</v>
      </c>
    </row>
    <row r="2483" spans="1:1" x14ac:dyDescent="0.3">
      <c r="A2483">
        <v>1209000</v>
      </c>
    </row>
    <row r="2484" spans="1:1" x14ac:dyDescent="0.3">
      <c r="A2484">
        <v>1209500</v>
      </c>
    </row>
    <row r="2485" spans="1:1" x14ac:dyDescent="0.3">
      <c r="A2485">
        <v>1210000</v>
      </c>
    </row>
    <row r="2486" spans="1:1" x14ac:dyDescent="0.3">
      <c r="A2486">
        <v>1210500</v>
      </c>
    </row>
    <row r="2487" spans="1:1" x14ac:dyDescent="0.3">
      <c r="A2487">
        <v>1211000</v>
      </c>
    </row>
    <row r="2488" spans="1:1" x14ac:dyDescent="0.3">
      <c r="A2488">
        <v>1211500</v>
      </c>
    </row>
    <row r="2489" spans="1:1" x14ac:dyDescent="0.3">
      <c r="A2489">
        <v>1212000</v>
      </c>
    </row>
    <row r="2490" spans="1:1" x14ac:dyDescent="0.3">
      <c r="A2490">
        <v>1212500</v>
      </c>
    </row>
    <row r="2491" spans="1:1" x14ac:dyDescent="0.3">
      <c r="A2491">
        <v>1213000</v>
      </c>
    </row>
    <row r="2492" spans="1:1" x14ac:dyDescent="0.3">
      <c r="A2492">
        <v>1213500</v>
      </c>
    </row>
    <row r="2493" spans="1:1" x14ac:dyDescent="0.3">
      <c r="A2493">
        <v>1214000</v>
      </c>
    </row>
    <row r="2494" spans="1:1" x14ac:dyDescent="0.3">
      <c r="A2494">
        <v>1214500</v>
      </c>
    </row>
    <row r="2495" spans="1:1" x14ac:dyDescent="0.3">
      <c r="A2495">
        <v>1215000</v>
      </c>
    </row>
    <row r="2496" spans="1:1" x14ac:dyDescent="0.3">
      <c r="A2496">
        <v>1215500</v>
      </c>
    </row>
    <row r="2497" spans="1:1" x14ac:dyDescent="0.3">
      <c r="A2497">
        <v>1216000</v>
      </c>
    </row>
    <row r="2498" spans="1:1" x14ac:dyDescent="0.3">
      <c r="A2498">
        <v>1216500</v>
      </c>
    </row>
    <row r="2499" spans="1:1" x14ac:dyDescent="0.3">
      <c r="A2499">
        <v>1217000</v>
      </c>
    </row>
    <row r="2500" spans="1:1" x14ac:dyDescent="0.3">
      <c r="A2500">
        <v>1217500</v>
      </c>
    </row>
    <row r="2501" spans="1:1" x14ac:dyDescent="0.3">
      <c r="A2501">
        <v>1218000</v>
      </c>
    </row>
    <row r="2502" spans="1:1" x14ac:dyDescent="0.3">
      <c r="A2502">
        <v>1218500</v>
      </c>
    </row>
    <row r="2503" spans="1:1" x14ac:dyDescent="0.3">
      <c r="A2503">
        <v>1219000</v>
      </c>
    </row>
    <row r="2504" spans="1:1" x14ac:dyDescent="0.3">
      <c r="A2504">
        <v>1219500</v>
      </c>
    </row>
    <row r="2505" spans="1:1" x14ac:dyDescent="0.3">
      <c r="A2505">
        <v>1220000</v>
      </c>
    </row>
    <row r="2506" spans="1:1" x14ac:dyDescent="0.3">
      <c r="A2506">
        <v>1220500</v>
      </c>
    </row>
    <row r="2507" spans="1:1" x14ac:dyDescent="0.3">
      <c r="A2507">
        <v>1221000</v>
      </c>
    </row>
    <row r="2508" spans="1:1" x14ac:dyDescent="0.3">
      <c r="A2508">
        <v>1221500</v>
      </c>
    </row>
    <row r="2509" spans="1:1" x14ac:dyDescent="0.3">
      <c r="A2509">
        <v>1222000</v>
      </c>
    </row>
    <row r="2510" spans="1:1" x14ac:dyDescent="0.3">
      <c r="A2510">
        <v>1222500</v>
      </c>
    </row>
    <row r="2511" spans="1:1" x14ac:dyDescent="0.3">
      <c r="A2511">
        <v>1223000</v>
      </c>
    </row>
    <row r="2512" spans="1:1" x14ac:dyDescent="0.3">
      <c r="A2512">
        <v>1223500</v>
      </c>
    </row>
    <row r="2513" spans="1:1" x14ac:dyDescent="0.3">
      <c r="A2513">
        <v>1224000</v>
      </c>
    </row>
    <row r="2514" spans="1:1" x14ac:dyDescent="0.3">
      <c r="A2514">
        <v>1224500</v>
      </c>
    </row>
    <row r="2515" spans="1:1" x14ac:dyDescent="0.3">
      <c r="A2515">
        <v>1225000</v>
      </c>
    </row>
    <row r="2516" spans="1:1" x14ac:dyDescent="0.3">
      <c r="A2516">
        <v>1225500</v>
      </c>
    </row>
    <row r="2517" spans="1:1" x14ac:dyDescent="0.3">
      <c r="A2517">
        <v>1226000</v>
      </c>
    </row>
    <row r="2518" spans="1:1" x14ac:dyDescent="0.3">
      <c r="A2518">
        <v>1226500</v>
      </c>
    </row>
    <row r="2519" spans="1:1" x14ac:dyDescent="0.3">
      <c r="A2519">
        <v>1227000</v>
      </c>
    </row>
    <row r="2520" spans="1:1" x14ac:dyDescent="0.3">
      <c r="A2520">
        <v>1227500</v>
      </c>
    </row>
    <row r="2521" spans="1:1" x14ac:dyDescent="0.3">
      <c r="A2521">
        <v>1228000</v>
      </c>
    </row>
    <row r="2522" spans="1:1" x14ac:dyDescent="0.3">
      <c r="A2522">
        <v>1228500</v>
      </c>
    </row>
    <row r="2523" spans="1:1" x14ac:dyDescent="0.3">
      <c r="A2523">
        <v>1229000</v>
      </c>
    </row>
    <row r="2524" spans="1:1" x14ac:dyDescent="0.3">
      <c r="A2524">
        <v>1229500</v>
      </c>
    </row>
    <row r="2525" spans="1:1" x14ac:dyDescent="0.3">
      <c r="A2525">
        <v>1230000</v>
      </c>
    </row>
    <row r="2526" spans="1:1" x14ac:dyDescent="0.3">
      <c r="A2526">
        <v>1230500</v>
      </c>
    </row>
    <row r="2527" spans="1:1" x14ac:dyDescent="0.3">
      <c r="A2527">
        <v>1231000</v>
      </c>
    </row>
    <row r="2528" spans="1:1" x14ac:dyDescent="0.3">
      <c r="A2528">
        <v>1231500</v>
      </c>
    </row>
    <row r="2529" spans="1:1" x14ac:dyDescent="0.3">
      <c r="A2529">
        <v>1232000</v>
      </c>
    </row>
    <row r="2530" spans="1:1" x14ac:dyDescent="0.3">
      <c r="A2530">
        <v>1232500</v>
      </c>
    </row>
    <row r="2531" spans="1:1" x14ac:dyDescent="0.3">
      <c r="A2531">
        <v>1233000</v>
      </c>
    </row>
    <row r="2532" spans="1:1" x14ac:dyDescent="0.3">
      <c r="A2532">
        <v>1233500</v>
      </c>
    </row>
    <row r="2533" spans="1:1" x14ac:dyDescent="0.3">
      <c r="A2533">
        <v>1234000</v>
      </c>
    </row>
    <row r="2534" spans="1:1" x14ac:dyDescent="0.3">
      <c r="A2534">
        <v>1234500</v>
      </c>
    </row>
    <row r="2535" spans="1:1" x14ac:dyDescent="0.3">
      <c r="A2535">
        <v>1235000</v>
      </c>
    </row>
    <row r="2536" spans="1:1" x14ac:dyDescent="0.3">
      <c r="A2536">
        <v>1235500</v>
      </c>
    </row>
    <row r="2537" spans="1:1" x14ac:dyDescent="0.3">
      <c r="A2537">
        <v>1236000</v>
      </c>
    </row>
    <row r="2538" spans="1:1" x14ac:dyDescent="0.3">
      <c r="A2538">
        <v>1236500</v>
      </c>
    </row>
    <row r="2539" spans="1:1" x14ac:dyDescent="0.3">
      <c r="A2539">
        <v>1237000</v>
      </c>
    </row>
    <row r="2540" spans="1:1" x14ac:dyDescent="0.3">
      <c r="A2540">
        <v>1237500</v>
      </c>
    </row>
    <row r="2541" spans="1:1" x14ac:dyDescent="0.3">
      <c r="A2541">
        <v>1238000</v>
      </c>
    </row>
    <row r="2542" spans="1:1" x14ac:dyDescent="0.3">
      <c r="A2542">
        <v>1238500</v>
      </c>
    </row>
    <row r="2543" spans="1:1" x14ac:dyDescent="0.3">
      <c r="A2543">
        <v>1239000</v>
      </c>
    </row>
    <row r="2544" spans="1:1" x14ac:dyDescent="0.3">
      <c r="A2544">
        <v>1239500</v>
      </c>
    </row>
    <row r="2545" spans="1:1" x14ac:dyDescent="0.3">
      <c r="A2545">
        <v>1240000</v>
      </c>
    </row>
    <row r="2546" spans="1:1" x14ac:dyDescent="0.3">
      <c r="A2546">
        <v>1240500</v>
      </c>
    </row>
    <row r="2547" spans="1:1" x14ac:dyDescent="0.3">
      <c r="A2547">
        <v>1241000</v>
      </c>
    </row>
    <row r="2548" spans="1:1" x14ac:dyDescent="0.3">
      <c r="A2548">
        <v>1241500</v>
      </c>
    </row>
    <row r="2549" spans="1:1" x14ac:dyDescent="0.3">
      <c r="A2549">
        <v>1242000</v>
      </c>
    </row>
    <row r="2550" spans="1:1" x14ac:dyDescent="0.3">
      <c r="A2550">
        <v>1242500</v>
      </c>
    </row>
    <row r="2551" spans="1:1" x14ac:dyDescent="0.3">
      <c r="A2551">
        <v>1243000</v>
      </c>
    </row>
    <row r="2552" spans="1:1" x14ac:dyDescent="0.3">
      <c r="A2552">
        <v>1243500</v>
      </c>
    </row>
    <row r="2553" spans="1:1" x14ac:dyDescent="0.3">
      <c r="A2553">
        <v>1244000</v>
      </c>
    </row>
    <row r="2554" spans="1:1" x14ac:dyDescent="0.3">
      <c r="A2554">
        <v>1244500</v>
      </c>
    </row>
    <row r="2555" spans="1:1" x14ac:dyDescent="0.3">
      <c r="A2555">
        <v>1245000</v>
      </c>
    </row>
    <row r="2556" spans="1:1" x14ac:dyDescent="0.3">
      <c r="A2556">
        <v>1245500</v>
      </c>
    </row>
    <row r="2557" spans="1:1" x14ac:dyDescent="0.3">
      <c r="A2557">
        <v>1246000</v>
      </c>
    </row>
    <row r="2558" spans="1:1" x14ac:dyDescent="0.3">
      <c r="A2558">
        <v>1246500</v>
      </c>
    </row>
    <row r="2559" spans="1:1" x14ac:dyDescent="0.3">
      <c r="A2559">
        <v>1247000</v>
      </c>
    </row>
    <row r="2560" spans="1:1" x14ac:dyDescent="0.3">
      <c r="A2560">
        <v>1247500</v>
      </c>
    </row>
    <row r="2561" spans="1:1" x14ac:dyDescent="0.3">
      <c r="A2561">
        <v>1248000</v>
      </c>
    </row>
    <row r="2562" spans="1:1" x14ac:dyDescent="0.3">
      <c r="A2562">
        <v>1248500</v>
      </c>
    </row>
    <row r="2563" spans="1:1" x14ac:dyDescent="0.3">
      <c r="A2563">
        <v>1249000</v>
      </c>
    </row>
    <row r="2564" spans="1:1" x14ac:dyDescent="0.3">
      <c r="A2564">
        <v>1249500</v>
      </c>
    </row>
    <row r="2565" spans="1:1" x14ac:dyDescent="0.3">
      <c r="A2565">
        <v>1250000</v>
      </c>
    </row>
    <row r="2566" spans="1:1" x14ac:dyDescent="0.3">
      <c r="A2566">
        <v>1250500</v>
      </c>
    </row>
    <row r="2567" spans="1:1" x14ac:dyDescent="0.3">
      <c r="A2567">
        <v>1251000</v>
      </c>
    </row>
    <row r="2568" spans="1:1" x14ac:dyDescent="0.3">
      <c r="A2568">
        <v>1251500</v>
      </c>
    </row>
    <row r="2569" spans="1:1" x14ac:dyDescent="0.3">
      <c r="A2569">
        <v>1252000</v>
      </c>
    </row>
    <row r="2570" spans="1:1" x14ac:dyDescent="0.3">
      <c r="A2570">
        <v>1252500</v>
      </c>
    </row>
    <row r="2571" spans="1:1" x14ac:dyDescent="0.3">
      <c r="A2571">
        <v>1253000</v>
      </c>
    </row>
    <row r="2572" spans="1:1" x14ac:dyDescent="0.3">
      <c r="A2572">
        <v>1253500</v>
      </c>
    </row>
    <row r="2573" spans="1:1" x14ac:dyDescent="0.3">
      <c r="A2573">
        <v>1254000</v>
      </c>
    </row>
    <row r="2574" spans="1:1" x14ac:dyDescent="0.3">
      <c r="A2574">
        <v>1254500</v>
      </c>
    </row>
    <row r="2575" spans="1:1" x14ac:dyDescent="0.3">
      <c r="A2575">
        <v>1255000</v>
      </c>
    </row>
    <row r="2576" spans="1:1" x14ac:dyDescent="0.3">
      <c r="A2576">
        <v>1255500</v>
      </c>
    </row>
    <row r="2577" spans="1:1" x14ac:dyDescent="0.3">
      <c r="A2577">
        <v>1256000</v>
      </c>
    </row>
    <row r="2578" spans="1:1" x14ac:dyDescent="0.3">
      <c r="A2578">
        <v>1256500</v>
      </c>
    </row>
    <row r="2579" spans="1:1" x14ac:dyDescent="0.3">
      <c r="A2579">
        <v>1257000</v>
      </c>
    </row>
    <row r="2580" spans="1:1" x14ac:dyDescent="0.3">
      <c r="A2580">
        <v>1257500</v>
      </c>
    </row>
    <row r="2581" spans="1:1" x14ac:dyDescent="0.3">
      <c r="A2581">
        <v>1258000</v>
      </c>
    </row>
    <row r="2582" spans="1:1" x14ac:dyDescent="0.3">
      <c r="A2582">
        <v>1258500</v>
      </c>
    </row>
    <row r="2583" spans="1:1" x14ac:dyDescent="0.3">
      <c r="A2583">
        <v>1259000</v>
      </c>
    </row>
    <row r="2584" spans="1:1" x14ac:dyDescent="0.3">
      <c r="A2584">
        <v>1259500</v>
      </c>
    </row>
    <row r="2585" spans="1:1" x14ac:dyDescent="0.3">
      <c r="A2585">
        <v>1260000</v>
      </c>
    </row>
    <row r="2586" spans="1:1" x14ac:dyDescent="0.3">
      <c r="A2586">
        <v>1260500</v>
      </c>
    </row>
    <row r="2587" spans="1:1" x14ac:dyDescent="0.3">
      <c r="A2587">
        <v>1261000</v>
      </c>
    </row>
    <row r="2588" spans="1:1" x14ac:dyDescent="0.3">
      <c r="A2588">
        <v>1261500</v>
      </c>
    </row>
    <row r="2589" spans="1:1" x14ac:dyDescent="0.3">
      <c r="A2589">
        <v>1262000</v>
      </c>
    </row>
    <row r="2590" spans="1:1" x14ac:dyDescent="0.3">
      <c r="A2590">
        <v>1262500</v>
      </c>
    </row>
    <row r="2591" spans="1:1" x14ac:dyDescent="0.3">
      <c r="A2591">
        <v>1263000</v>
      </c>
    </row>
    <row r="2592" spans="1:1" x14ac:dyDescent="0.3">
      <c r="A2592">
        <v>1263500</v>
      </c>
    </row>
    <row r="2593" spans="1:1" x14ac:dyDescent="0.3">
      <c r="A2593">
        <v>1264000</v>
      </c>
    </row>
    <row r="2594" spans="1:1" x14ac:dyDescent="0.3">
      <c r="A2594">
        <v>1264500</v>
      </c>
    </row>
    <row r="2595" spans="1:1" x14ac:dyDescent="0.3">
      <c r="A2595">
        <v>1265000</v>
      </c>
    </row>
    <row r="2596" spans="1:1" x14ac:dyDescent="0.3">
      <c r="A2596">
        <v>1265500</v>
      </c>
    </row>
    <row r="2597" spans="1:1" x14ac:dyDescent="0.3">
      <c r="A2597">
        <v>1266000</v>
      </c>
    </row>
    <row r="2598" spans="1:1" x14ac:dyDescent="0.3">
      <c r="A2598">
        <v>1266500</v>
      </c>
    </row>
    <row r="2599" spans="1:1" x14ac:dyDescent="0.3">
      <c r="A2599">
        <v>1267000</v>
      </c>
    </row>
    <row r="2600" spans="1:1" x14ac:dyDescent="0.3">
      <c r="A2600">
        <v>1267500</v>
      </c>
    </row>
    <row r="2601" spans="1:1" x14ac:dyDescent="0.3">
      <c r="A2601">
        <v>1268000</v>
      </c>
    </row>
    <row r="2602" spans="1:1" x14ac:dyDescent="0.3">
      <c r="A2602">
        <v>1268500</v>
      </c>
    </row>
    <row r="2603" spans="1:1" x14ac:dyDescent="0.3">
      <c r="A2603">
        <v>1269000</v>
      </c>
    </row>
    <row r="2604" spans="1:1" x14ac:dyDescent="0.3">
      <c r="A2604">
        <v>1269500</v>
      </c>
    </row>
    <row r="2605" spans="1:1" x14ac:dyDescent="0.3">
      <c r="A2605">
        <v>1270000</v>
      </c>
    </row>
    <row r="2606" spans="1:1" x14ac:dyDescent="0.3">
      <c r="A2606">
        <v>1270500</v>
      </c>
    </row>
    <row r="2607" spans="1:1" x14ac:dyDescent="0.3">
      <c r="A2607">
        <v>1271000</v>
      </c>
    </row>
    <row r="2608" spans="1:1" x14ac:dyDescent="0.3">
      <c r="A2608">
        <v>1271500</v>
      </c>
    </row>
    <row r="2609" spans="1:1" x14ac:dyDescent="0.3">
      <c r="A2609">
        <v>1272000</v>
      </c>
    </row>
    <row r="2610" spans="1:1" x14ac:dyDescent="0.3">
      <c r="A2610">
        <v>1272500</v>
      </c>
    </row>
    <row r="2611" spans="1:1" x14ac:dyDescent="0.3">
      <c r="A2611">
        <v>1273000</v>
      </c>
    </row>
    <row r="2612" spans="1:1" x14ac:dyDescent="0.3">
      <c r="A2612">
        <v>1273500</v>
      </c>
    </row>
    <row r="2613" spans="1:1" x14ac:dyDescent="0.3">
      <c r="A2613">
        <v>1274000</v>
      </c>
    </row>
    <row r="2614" spans="1:1" x14ac:dyDescent="0.3">
      <c r="A2614">
        <v>1274500</v>
      </c>
    </row>
    <row r="2615" spans="1:1" x14ac:dyDescent="0.3">
      <c r="A2615">
        <v>1275000</v>
      </c>
    </row>
    <row r="2616" spans="1:1" x14ac:dyDescent="0.3">
      <c r="A2616">
        <v>1275500</v>
      </c>
    </row>
    <row r="2617" spans="1:1" x14ac:dyDescent="0.3">
      <c r="A2617">
        <v>1276000</v>
      </c>
    </row>
    <row r="2618" spans="1:1" x14ac:dyDescent="0.3">
      <c r="A2618">
        <v>1276500</v>
      </c>
    </row>
    <row r="2619" spans="1:1" x14ac:dyDescent="0.3">
      <c r="A2619">
        <v>1277000</v>
      </c>
    </row>
    <row r="2620" spans="1:1" x14ac:dyDescent="0.3">
      <c r="A2620">
        <v>1277500</v>
      </c>
    </row>
    <row r="2621" spans="1:1" x14ac:dyDescent="0.3">
      <c r="A2621">
        <v>1278000</v>
      </c>
    </row>
    <row r="2622" spans="1:1" x14ac:dyDescent="0.3">
      <c r="A2622">
        <v>1278500</v>
      </c>
    </row>
    <row r="2623" spans="1:1" x14ac:dyDescent="0.3">
      <c r="A2623">
        <v>1279000</v>
      </c>
    </row>
    <row r="2624" spans="1:1" x14ac:dyDescent="0.3">
      <c r="A2624">
        <v>1279500</v>
      </c>
    </row>
    <row r="2625" spans="1:1" x14ac:dyDescent="0.3">
      <c r="A2625">
        <v>1280000</v>
      </c>
    </row>
    <row r="2626" spans="1:1" x14ac:dyDescent="0.3">
      <c r="A2626">
        <v>1280500</v>
      </c>
    </row>
  </sheetData>
  <mergeCells count="4">
    <mergeCell ref="E52:E53"/>
    <mergeCell ref="H52:H53"/>
    <mergeCell ref="E58:E59"/>
    <mergeCell ref="H58:H5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AC03-CB34-4022-B39F-F6383F11FE42}">
  <dimension ref="A1:L56"/>
  <sheetViews>
    <sheetView topLeftCell="A7" workbookViewId="0">
      <selection activeCell="C17" sqref="C17"/>
    </sheetView>
  </sheetViews>
  <sheetFormatPr baseColWidth="10" defaultColWidth="8.88671875" defaultRowHeight="14.4" x14ac:dyDescent="0.3"/>
  <cols>
    <col min="1" max="1" width="34.33203125" customWidth="1"/>
    <col min="2" max="6" width="15.77734375" bestFit="1" customWidth="1"/>
    <col min="7" max="12" width="17.44140625" bestFit="1" customWidth="1"/>
  </cols>
  <sheetData>
    <row r="1" spans="1:12" x14ac:dyDescent="0.3">
      <c r="A1" t="s">
        <v>351</v>
      </c>
    </row>
    <row r="2" spans="1:12" x14ac:dyDescent="0.3">
      <c r="A2" t="s">
        <v>352</v>
      </c>
      <c r="B2" s="24">
        <v>2025</v>
      </c>
      <c r="C2" s="24">
        <f>B2+1</f>
        <v>2026</v>
      </c>
      <c r="D2" s="24">
        <f t="shared" ref="D2:L2" si="0">C2+1</f>
        <v>2027</v>
      </c>
      <c r="E2" s="24">
        <f t="shared" si="0"/>
        <v>2028</v>
      </c>
      <c r="F2" s="24">
        <f t="shared" si="0"/>
        <v>2029</v>
      </c>
      <c r="G2" s="24">
        <f t="shared" si="0"/>
        <v>2030</v>
      </c>
      <c r="H2" s="24">
        <f t="shared" si="0"/>
        <v>2031</v>
      </c>
      <c r="I2" s="24">
        <f t="shared" si="0"/>
        <v>2032</v>
      </c>
      <c r="J2" s="24">
        <f t="shared" si="0"/>
        <v>2033</v>
      </c>
      <c r="K2" s="24">
        <f t="shared" si="0"/>
        <v>2034</v>
      </c>
      <c r="L2" s="24">
        <f t="shared" si="0"/>
        <v>2035</v>
      </c>
    </row>
    <row r="3" spans="1:12" x14ac:dyDescent="0.3">
      <c r="A3" t="s">
        <v>353</v>
      </c>
      <c r="B3" s="29">
        <v>1000000</v>
      </c>
      <c r="C3" s="29">
        <f>B34</f>
        <v>-18284347.151063204</v>
      </c>
      <c r="D3" s="29">
        <f t="shared" ref="D3:L3" si="1">C34</f>
        <v>-16687730.376854897</v>
      </c>
      <c r="E3" s="29">
        <f t="shared" si="1"/>
        <v>-6583725.3561633825</v>
      </c>
      <c r="F3" s="29">
        <f t="shared" si="1"/>
        <v>7358332.8984242678</v>
      </c>
      <c r="G3" s="29">
        <f t="shared" si="1"/>
        <v>25366005.441689849</v>
      </c>
      <c r="H3" s="29">
        <f t="shared" si="1"/>
        <v>53114729.885423303</v>
      </c>
      <c r="I3" s="29">
        <f t="shared" si="1"/>
        <v>85018556.883690119</v>
      </c>
      <c r="J3" s="29">
        <f t="shared" si="1"/>
        <v>121562515.07490325</v>
      </c>
      <c r="K3" s="29">
        <f t="shared" si="1"/>
        <v>163515931.01841474</v>
      </c>
      <c r="L3" s="29">
        <f t="shared" si="1"/>
        <v>208895094.54670525</v>
      </c>
    </row>
    <row r="4" spans="1:12" x14ac:dyDescent="0.3">
      <c r="A4" t="s">
        <v>354</v>
      </c>
    </row>
    <row r="5" spans="1:12" x14ac:dyDescent="0.3">
      <c r="A5" s="58" t="s">
        <v>312</v>
      </c>
      <c r="B5" s="29">
        <f>'Estado R'!B4</f>
        <v>123200000</v>
      </c>
      <c r="C5" s="29">
        <f>'Estado R'!C4</f>
        <v>675805545.80000007</v>
      </c>
      <c r="D5" s="29">
        <f>'Estado R'!D4</f>
        <v>747700456.48760009</v>
      </c>
      <c r="E5" s="29">
        <f>'Estado R'!E4</f>
        <v>827235638.48094404</v>
      </c>
      <c r="F5" s="29">
        <f>'Estado R'!F4</f>
        <v>915222882.77766216</v>
      </c>
      <c r="G5" s="29">
        <f>'Estado R'!G4</f>
        <v>1012605498.5877316</v>
      </c>
      <c r="H5" s="29">
        <f>'Estado R'!H4</f>
        <v>1120323271.9482214</v>
      </c>
      <c r="I5" s="29">
        <f>'Estado R'!I4</f>
        <v>1239508126.8606739</v>
      </c>
      <c r="J5" s="29">
        <f>'Estado R'!J4</f>
        <v>1376630280.0027533</v>
      </c>
      <c r="K5" s="29">
        <f>'Estado R'!K4</f>
        <v>1469200295.3132858</v>
      </c>
      <c r="L5" s="29">
        <f>'Estado R'!L4</f>
        <v>1609631262.3760371</v>
      </c>
    </row>
    <row r="6" spans="1:12" x14ac:dyDescent="0.3">
      <c r="A6" s="58" t="s">
        <v>355</v>
      </c>
      <c r="B6" s="29">
        <f>Financiamiento!B1</f>
        <v>41098699.788599998</v>
      </c>
    </row>
    <row r="7" spans="1:12" x14ac:dyDescent="0.3">
      <c r="A7" s="58" t="s">
        <v>356</v>
      </c>
    </row>
    <row r="8" spans="1:12" x14ac:dyDescent="0.3">
      <c r="A8" s="58" t="s">
        <v>357</v>
      </c>
    </row>
    <row r="10" spans="1:12" ht="15" thickBot="1" x14ac:dyDescent="0.35">
      <c r="A10" s="57" t="s">
        <v>358</v>
      </c>
      <c r="B10" s="59">
        <f>SUM(B3:B8)</f>
        <v>165298699.7886</v>
      </c>
      <c r="C10" s="59">
        <f t="shared" ref="C10:L10" si="2">SUM(C3:C8)</f>
        <v>657521198.64893687</v>
      </c>
      <c r="D10" s="59">
        <f t="shared" si="2"/>
        <v>731012726.11074519</v>
      </c>
      <c r="E10" s="59">
        <f t="shared" si="2"/>
        <v>820651913.12478065</v>
      </c>
      <c r="F10" s="59">
        <f t="shared" si="2"/>
        <v>922581215.67608643</v>
      </c>
      <c r="G10" s="59">
        <f t="shared" si="2"/>
        <v>1037971504.0294214</v>
      </c>
      <c r="H10" s="59">
        <f t="shared" si="2"/>
        <v>1173438001.8336449</v>
      </c>
      <c r="I10" s="59">
        <f t="shared" si="2"/>
        <v>1324526683.744364</v>
      </c>
      <c r="J10" s="59">
        <f t="shared" si="2"/>
        <v>1498192795.0776565</v>
      </c>
      <c r="K10" s="59">
        <f t="shared" si="2"/>
        <v>1632716226.3317006</v>
      </c>
      <c r="L10" s="59">
        <f t="shared" si="2"/>
        <v>1818526356.9227424</v>
      </c>
    </row>
    <row r="11" spans="1:12" ht="15" thickTop="1" x14ac:dyDescent="0.3"/>
    <row r="12" spans="1:12" x14ac:dyDescent="0.3">
      <c r="A12" t="s">
        <v>359</v>
      </c>
    </row>
    <row r="13" spans="1:12" x14ac:dyDescent="0.3">
      <c r="A13" s="24" t="s">
        <v>363</v>
      </c>
      <c r="B13" s="85">
        <f>'Estado R'!B9</f>
        <v>122420600</v>
      </c>
      <c r="C13" s="39">
        <f>'Estado R'!C9</f>
        <v>632028421.69719994</v>
      </c>
      <c r="D13" s="39">
        <f>'Estado R'!D9</f>
        <v>660418026.72067726</v>
      </c>
      <c r="E13" s="39">
        <f>'Estado R'!E9</f>
        <v>730668709.98715913</v>
      </c>
      <c r="F13" s="39">
        <f>'Estado R'!F9</f>
        <v>808384808.39373052</v>
      </c>
      <c r="G13" s="39">
        <f>'Estado R'!G9</f>
        <v>894399514.43296719</v>
      </c>
      <c r="H13" s="39">
        <f>'Estado R'!H9</f>
        <v>989542908.70032072</v>
      </c>
      <c r="I13" s="39">
        <f>'Estado R'!I9</f>
        <v>1094814780.6288588</v>
      </c>
      <c r="J13" s="39">
        <f>'Estado R'!J9</f>
        <v>1215930049.4668477</v>
      </c>
      <c r="K13" s="39">
        <f>'Estado R'!K9</f>
        <v>1297693951.4605315</v>
      </c>
      <c r="L13" s="39">
        <f>'Estado R'!L9</f>
        <v>1421731781.5211539</v>
      </c>
    </row>
    <row r="14" spans="1:12" x14ac:dyDescent="0.3">
      <c r="A14" s="24" t="s">
        <v>316</v>
      </c>
      <c r="B14" s="85">
        <f>'Estado R'!B10</f>
        <v>5359707.6263999995</v>
      </c>
      <c r="C14" s="85">
        <f>'Estado R'!C10</f>
        <v>5541937.6856975993</v>
      </c>
      <c r="D14" s="39">
        <f>'Estado R'!D10</f>
        <v>5730363.5670113182</v>
      </c>
      <c r="E14" s="39">
        <f>'Estado R'!E10</f>
        <v>5925195.9282897031</v>
      </c>
      <c r="F14" s="39">
        <f>'Estado R'!F10</f>
        <v>6126652.5898515536</v>
      </c>
      <c r="G14" s="39">
        <f>'Estado R'!G10</f>
        <v>6334958.7779065063</v>
      </c>
      <c r="H14" s="39">
        <f>'Estado R'!H10</f>
        <v>6550347.3763553277</v>
      </c>
      <c r="I14" s="39">
        <f>'Estado R'!I10</f>
        <v>6773059.1871514088</v>
      </c>
      <c r="J14" s="39">
        <f>'Estado R'!J10</f>
        <v>7003343.1995145567</v>
      </c>
      <c r="K14" s="39">
        <f>'Estado R'!K10</f>
        <v>7241456.8682980519</v>
      </c>
      <c r="L14" s="39">
        <f>'Estado R'!L10</f>
        <v>7487666.4018201856</v>
      </c>
    </row>
    <row r="15" spans="1:12" x14ac:dyDescent="0.3">
      <c r="A15" s="24" t="s">
        <v>364</v>
      </c>
      <c r="B15" s="85">
        <f>'Estado R'!B11</f>
        <v>1742780.7478</v>
      </c>
      <c r="C15" s="85">
        <f>'Estado R'!C11</f>
        <v>1802035.2932252001</v>
      </c>
      <c r="D15" s="39">
        <f>'Estado R'!D11</f>
        <v>1863304.4931948569</v>
      </c>
      <c r="E15" s="39">
        <f>'Estado R'!E11</f>
        <v>1926656.845963482</v>
      </c>
      <c r="F15" s="39">
        <f>'Estado R'!F11</f>
        <v>1992163.1787262405</v>
      </c>
      <c r="G15" s="39">
        <f>'Estado R'!G11</f>
        <v>2059896.7268029328</v>
      </c>
      <c r="H15" s="39">
        <f>'Estado R'!H11</f>
        <v>2129933.2155142324</v>
      </c>
      <c r="I15" s="39">
        <f>'Estado R'!I11</f>
        <v>2202350.9448417164</v>
      </c>
      <c r="J15" s="39">
        <f>'Estado R'!J11</f>
        <v>2277230.8769663349</v>
      </c>
      <c r="K15" s="39">
        <f>'Estado R'!K11</f>
        <v>2354656.7267831904</v>
      </c>
      <c r="L15" s="39">
        <f>'Estado R'!L11</f>
        <v>2434715.0554938191</v>
      </c>
    </row>
    <row r="16" spans="1:12" x14ac:dyDescent="0.3">
      <c r="A16" s="24" t="s">
        <v>365</v>
      </c>
      <c r="B16" s="85">
        <f>'Estado R'!B12</f>
        <v>2005511.5138000003</v>
      </c>
      <c r="C16" s="85">
        <f>'Estado R'!C12</f>
        <v>2073698.9052692004</v>
      </c>
      <c r="D16" s="39">
        <f>'Estado R'!D12</f>
        <v>2144204.6680483534</v>
      </c>
      <c r="E16" s="39">
        <f>'Estado R'!E12</f>
        <v>2217107.6267619976</v>
      </c>
      <c r="F16" s="39">
        <f>'Estado R'!F12</f>
        <v>2292489.2860719054</v>
      </c>
      <c r="G16" s="39">
        <f>'Estado R'!G12</f>
        <v>2370433.9217983503</v>
      </c>
      <c r="H16" s="39">
        <f>'Estado R'!H12</f>
        <v>2451028.6751394942</v>
      </c>
      <c r="I16" s="39">
        <f>'Estado R'!I12</f>
        <v>2534363.6500942372</v>
      </c>
      <c r="J16" s="39">
        <f>'Estado R'!J12</f>
        <v>2620532.0141974413</v>
      </c>
      <c r="K16" s="39">
        <f>'Estado R'!K12</f>
        <v>2709630.1026801541</v>
      </c>
      <c r="L16" s="39">
        <f>'Estado R'!L12</f>
        <v>2801757.5261712796</v>
      </c>
    </row>
    <row r="17" spans="1:12" x14ac:dyDescent="0.3">
      <c r="A17" s="24" t="s">
        <v>366</v>
      </c>
      <c r="B17" s="85">
        <f>'Estado R'!B13</f>
        <v>6160000</v>
      </c>
      <c r="C17" s="39">
        <f>'Estado R'!C13</f>
        <v>6329145.0200000005</v>
      </c>
      <c r="D17" s="39">
        <f>'Estado R'!D13</f>
        <v>37385022.824380003</v>
      </c>
      <c r="E17" s="39">
        <f>'Estado R'!E13</f>
        <v>41361781.924047202</v>
      </c>
      <c r="F17" s="39">
        <f>'Estado R'!F13</f>
        <v>45761144.138883114</v>
      </c>
      <c r="G17" s="39">
        <f>'Estado R'!G13</f>
        <v>50630274.929386586</v>
      </c>
      <c r="H17" s="39">
        <f>'Estado R'!H13</f>
        <v>56016163.597411074</v>
      </c>
      <c r="I17" s="39">
        <f>'Estado R'!I13</f>
        <v>61975406.343033701</v>
      </c>
      <c r="J17" s="39">
        <f>'Estado R'!J13</f>
        <v>68831514.000137672</v>
      </c>
      <c r="K17" s="39">
        <f>'Estado R'!K13</f>
        <v>73460014.765664294</v>
      </c>
      <c r="L17" s="39">
        <f>'Estado R'!L13</f>
        <v>80481563.118801862</v>
      </c>
    </row>
    <row r="18" spans="1:12" x14ac:dyDescent="0.3">
      <c r="A18" s="24" t="s">
        <v>367</v>
      </c>
      <c r="B18" s="85">
        <f>Egresos!B154</f>
        <v>7794346.0579999993</v>
      </c>
      <c r="C18" s="39">
        <f>Egresos!C154</f>
        <v>8059353.8239719998</v>
      </c>
      <c r="D18" s="39">
        <f>Egresos!D154</f>
        <v>8333371.8539870484</v>
      </c>
      <c r="E18" s="39">
        <f>Egresos!E154</f>
        <v>8616706.4970226083</v>
      </c>
      <c r="F18" s="39">
        <f>Egresos!F154</f>
        <v>8909674.517921377</v>
      </c>
      <c r="G18" s="39">
        <f>Egresos!G154</f>
        <v>9212603.4515307043</v>
      </c>
      <c r="H18" s="39">
        <f>Egresos!H154</f>
        <v>9525831.9688827489</v>
      </c>
      <c r="I18" s="39">
        <f>Egresos!I154</f>
        <v>9849710.2558247633</v>
      </c>
      <c r="J18" s="39">
        <f>Egresos!J154</f>
        <v>10184600.404522806</v>
      </c>
      <c r="K18" s="39">
        <f>Egresos!K154</f>
        <v>10530876.818276582</v>
      </c>
      <c r="L18" s="39">
        <f>Egresos!L154</f>
        <v>10888926.630097987</v>
      </c>
    </row>
    <row r="19" spans="1:12" x14ac:dyDescent="0.3">
      <c r="A19" t="s">
        <v>368</v>
      </c>
      <c r="B19" s="29">
        <f>Egresos!B206</f>
        <v>5316000</v>
      </c>
      <c r="C19" s="29">
        <f>Egresos!C206</f>
        <v>5496744</v>
      </c>
      <c r="D19" s="29">
        <f>Egresos!D206</f>
        <v>5683633.2960000001</v>
      </c>
      <c r="E19" s="29">
        <f>Egresos!E206</f>
        <v>5876876.8280640002</v>
      </c>
      <c r="F19" s="29">
        <f>Egresos!F206</f>
        <v>6076690.6402181769</v>
      </c>
      <c r="G19" s="29">
        <f>Egresos!G206</f>
        <v>6283298.1219855947</v>
      </c>
      <c r="H19" s="29">
        <f>Egresos!H206</f>
        <v>6496930.258133105</v>
      </c>
      <c r="I19" s="29">
        <f>Egresos!I206</f>
        <v>6717825.8869096311</v>
      </c>
      <c r="J19" s="29">
        <f>Egresos!J206</f>
        <v>6946231.9670645585</v>
      </c>
      <c r="K19" s="29">
        <f>Egresos!K206</f>
        <v>7182403.8539447533</v>
      </c>
      <c r="L19" s="29">
        <f>Egresos!L206</f>
        <v>7426605.5849788748</v>
      </c>
    </row>
    <row r="20" spans="1:12" x14ac:dyDescent="0.3">
      <c r="A20" t="s">
        <v>369</v>
      </c>
    </row>
    <row r="21" spans="1:12" x14ac:dyDescent="0.3">
      <c r="A21" t="s">
        <v>370</v>
      </c>
      <c r="B21" s="29">
        <f>Egresos!B210</f>
        <v>8060000</v>
      </c>
    </row>
    <row r="22" spans="1:12" x14ac:dyDescent="0.3">
      <c r="A22" t="s">
        <v>371</v>
      </c>
      <c r="B22" s="29">
        <f>Egresos!B209</f>
        <v>6053000</v>
      </c>
    </row>
    <row r="23" spans="1:12" x14ac:dyDescent="0.3">
      <c r="A23" t="s">
        <v>372</v>
      </c>
      <c r="B23" s="29">
        <f>Egresos!B214</f>
        <v>2821000</v>
      </c>
    </row>
    <row r="24" spans="1:12" x14ac:dyDescent="0.3">
      <c r="A24" t="s">
        <v>373</v>
      </c>
      <c r="B24" s="29">
        <f>Egresos!B211</f>
        <v>217350</v>
      </c>
    </row>
    <row r="25" spans="1:12" x14ac:dyDescent="0.3">
      <c r="A25" t="s">
        <v>374</v>
      </c>
      <c r="B25" s="29">
        <f>Egresos!B212</f>
        <v>1440000</v>
      </c>
    </row>
    <row r="26" spans="1:12" x14ac:dyDescent="0.3">
      <c r="A26" t="s">
        <v>375</v>
      </c>
      <c r="B26" s="29">
        <f>'Estado R'!B33</f>
        <v>8219739.9577199994</v>
      </c>
      <c r="C26" s="29">
        <f>'Estado R'!C33</f>
        <v>8219739.9577199994</v>
      </c>
      <c r="D26" s="29">
        <f>'Estado R'!D33</f>
        <v>8219739.9577199994</v>
      </c>
      <c r="E26" s="29">
        <f>'Estado R'!E33</f>
        <v>8219739.9577199994</v>
      </c>
      <c r="F26" s="29">
        <f>'Estado R'!F33</f>
        <v>8219739.9577199994</v>
      </c>
      <c r="G26" s="29">
        <f>'Estado R'!G33</f>
        <v>0</v>
      </c>
      <c r="H26" s="29">
        <f>'Estado R'!H33</f>
        <v>0</v>
      </c>
      <c r="I26" s="29">
        <f>'Estado R'!I33</f>
        <v>0</v>
      </c>
      <c r="J26" s="29">
        <f>'Estado R'!J33</f>
        <v>0</v>
      </c>
      <c r="K26" s="29">
        <f>'Estado R'!K33</f>
        <v>0</v>
      </c>
      <c r="L26" s="29">
        <f>'Estado R'!L33</f>
        <v>0</v>
      </c>
    </row>
    <row r="27" spans="1:12" x14ac:dyDescent="0.3">
      <c r="A27" t="s">
        <v>376</v>
      </c>
      <c r="B27" s="29">
        <f>'Estado R'!B32</f>
        <v>5973011.0359431999</v>
      </c>
      <c r="C27" s="29">
        <f>'Estado R'!C32</f>
        <v>4657852.6427079979</v>
      </c>
      <c r="D27" s="29">
        <f>'Estado R'!D32</f>
        <v>3342694.2494727951</v>
      </c>
      <c r="E27" s="29">
        <f>'Estado R'!E32</f>
        <v>2027535.8562375957</v>
      </c>
      <c r="F27" s="29">
        <f>'Estado R'!F32</f>
        <v>904171.39534919406</v>
      </c>
      <c r="G27" s="29">
        <f>'Estado R'!G32</f>
        <v>0</v>
      </c>
      <c r="H27" s="29">
        <f>'Estado R'!H32</f>
        <v>0</v>
      </c>
      <c r="I27" s="29">
        <f>'Estado R'!I32</f>
        <v>0</v>
      </c>
      <c r="J27" s="29">
        <f>'Estado R'!J32</f>
        <v>0</v>
      </c>
      <c r="K27" s="29">
        <f>'Estado R'!K32</f>
        <v>0</v>
      </c>
      <c r="L27" s="29">
        <f>'Estado R'!L32</f>
        <v>0</v>
      </c>
    </row>
    <row r="28" spans="1:12" x14ac:dyDescent="0.3">
      <c r="A28" t="s">
        <v>377</v>
      </c>
      <c r="B28" s="29">
        <f>'Estado R'!B38</f>
        <v>0</v>
      </c>
      <c r="C28" s="29">
        <f>'Estado R'!C38</f>
        <v>0</v>
      </c>
      <c r="D28" s="29">
        <f>'Estado R'!D38</f>
        <v>4476089.8364168527</v>
      </c>
      <c r="E28" s="29">
        <f>'Estado R'!E38</f>
        <v>6453268.7750906246</v>
      </c>
      <c r="F28" s="29">
        <f>'Estado R'!F38</f>
        <v>8547676.1359246615</v>
      </c>
      <c r="G28" s="29">
        <f>'Estado R'!G38</f>
        <v>13565793.781620249</v>
      </c>
      <c r="H28" s="29">
        <f>'Estado R'!H38</f>
        <v>15706301.158198038</v>
      </c>
      <c r="I28" s="29">
        <f>'Estado R'!I38</f>
        <v>18096671.772746261</v>
      </c>
      <c r="J28" s="29">
        <f>'Estado R'!J38</f>
        <v>20883362.129990835</v>
      </c>
      <c r="K28" s="29">
        <f>'Estado R'!K38</f>
        <v>22648141.188816432</v>
      </c>
      <c r="L28" s="29">
        <f>'Estado R'!L38</f>
        <v>25487461.407756556</v>
      </c>
    </row>
    <row r="29" spans="1:12" x14ac:dyDescent="0.3">
      <c r="A29" t="s">
        <v>277</v>
      </c>
    </row>
    <row r="30" spans="1:12" x14ac:dyDescent="0.3">
      <c r="A30" t="s">
        <v>360</v>
      </c>
    </row>
    <row r="32" spans="1:12" ht="15" thickBot="1" x14ac:dyDescent="0.35">
      <c r="A32" s="57" t="s">
        <v>361</v>
      </c>
      <c r="B32" s="56">
        <f>SUM(B13:B30)</f>
        <v>183583046.9396632</v>
      </c>
      <c r="C32" s="56">
        <f t="shared" ref="C32:L32" si="3">SUM(C13:C30)</f>
        <v>674208929.02579176</v>
      </c>
      <c r="D32" s="56">
        <f t="shared" si="3"/>
        <v>737596451.46690857</v>
      </c>
      <c r="E32" s="56">
        <f t="shared" si="3"/>
        <v>813293580.22635639</v>
      </c>
      <c r="F32" s="56">
        <f t="shared" si="3"/>
        <v>897215210.23439658</v>
      </c>
      <c r="G32" s="56">
        <f t="shared" si="3"/>
        <v>984856774.14399815</v>
      </c>
      <c r="H32" s="56">
        <f t="shared" si="3"/>
        <v>1088419444.9499547</v>
      </c>
      <c r="I32" s="56">
        <f t="shared" si="3"/>
        <v>1202964168.6694608</v>
      </c>
      <c r="J32" s="56">
        <f t="shared" si="3"/>
        <v>1334676864.0592418</v>
      </c>
      <c r="K32" s="56">
        <f t="shared" si="3"/>
        <v>1423821131.7849953</v>
      </c>
      <c r="L32" s="56">
        <f t="shared" si="3"/>
        <v>1558740477.2462745</v>
      </c>
    </row>
    <row r="33" spans="1:12" ht="15" thickTop="1" x14ac:dyDescent="0.3"/>
    <row r="34" spans="1:12" ht="15" thickBot="1" x14ac:dyDescent="0.35">
      <c r="A34" s="57" t="s">
        <v>362</v>
      </c>
      <c r="B34" s="66">
        <f>B10-B32</f>
        <v>-18284347.151063204</v>
      </c>
      <c r="C34" s="66">
        <f t="shared" ref="C34:L34" si="4">C10-C32</f>
        <v>-16687730.376854897</v>
      </c>
      <c r="D34" s="66">
        <f t="shared" si="4"/>
        <v>-6583725.3561633825</v>
      </c>
      <c r="E34" s="66">
        <f t="shared" si="4"/>
        <v>7358332.8984242678</v>
      </c>
      <c r="F34" s="66">
        <f t="shared" si="4"/>
        <v>25366005.441689849</v>
      </c>
      <c r="G34" s="66">
        <f t="shared" si="4"/>
        <v>53114729.885423303</v>
      </c>
      <c r="H34" s="66">
        <f t="shared" si="4"/>
        <v>85018556.883690119</v>
      </c>
      <c r="I34" s="66">
        <f t="shared" si="4"/>
        <v>121562515.07490325</v>
      </c>
      <c r="J34" s="66">
        <f t="shared" si="4"/>
        <v>163515931.01841474</v>
      </c>
      <c r="K34" s="66">
        <f t="shared" si="4"/>
        <v>208895094.54670525</v>
      </c>
      <c r="L34" s="66">
        <f t="shared" si="4"/>
        <v>259785879.6764679</v>
      </c>
    </row>
    <row r="35" spans="1:12" ht="15" thickTop="1" x14ac:dyDescent="0.3"/>
    <row r="36" spans="1:12" x14ac:dyDescent="0.3">
      <c r="A36" s="1" t="s">
        <v>380</v>
      </c>
    </row>
    <row r="37" spans="1:12" x14ac:dyDescent="0.3">
      <c r="A37" t="s">
        <v>381</v>
      </c>
      <c r="B37" s="5">
        <v>0.16</v>
      </c>
    </row>
    <row r="38" spans="1:12" x14ac:dyDescent="0.3">
      <c r="A38" t="s">
        <v>382</v>
      </c>
      <c r="B38" s="60">
        <f>Premisas!B12</f>
        <v>4.2999999999999997E-2</v>
      </c>
      <c r="E38" s="76"/>
    </row>
    <row r="39" spans="1:12" x14ac:dyDescent="0.3">
      <c r="A39" t="s">
        <v>383</v>
      </c>
      <c r="B39" s="5">
        <v>0.1</v>
      </c>
    </row>
    <row r="40" spans="1:12" x14ac:dyDescent="0.3">
      <c r="A40" t="s">
        <v>385</v>
      </c>
      <c r="B40" s="5">
        <f>SUM(B37:B39)</f>
        <v>0.30300000000000005</v>
      </c>
    </row>
    <row r="42" spans="1:12" x14ac:dyDescent="0.3">
      <c r="A42" s="1" t="s">
        <v>378</v>
      </c>
      <c r="B42" s="5">
        <f>IRR(B34:L34,3)</f>
        <v>0.58459847493503436</v>
      </c>
      <c r="C42" s="83"/>
    </row>
    <row r="43" spans="1:12" x14ac:dyDescent="0.3">
      <c r="A43" s="1" t="s">
        <v>379</v>
      </c>
      <c r="B43" s="61">
        <f>NPV(B40,B34:L34)</f>
        <v>65327148.683017917</v>
      </c>
    </row>
    <row r="44" spans="1:12" x14ac:dyDescent="0.3">
      <c r="A44" s="1" t="s">
        <v>444</v>
      </c>
      <c r="B44" s="61"/>
    </row>
    <row r="45" spans="1:12" x14ac:dyDescent="0.3">
      <c r="A45" s="1" t="s">
        <v>384</v>
      </c>
      <c r="B45" t="str">
        <f>IF(B42&lt;B40,"Se rechaza el Proyecto","Se acepta el Proyecto")</f>
        <v>Se acepta el Proyecto</v>
      </c>
    </row>
    <row r="48" spans="1:12" x14ac:dyDescent="0.3">
      <c r="A48" t="s">
        <v>386</v>
      </c>
    </row>
    <row r="56" spans="5:5" x14ac:dyDescent="0.3">
      <c r="E56">
        <v>500000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99CC-EE9B-4D63-988E-BAE831AB0131}">
  <dimension ref="A2:N54"/>
  <sheetViews>
    <sheetView topLeftCell="A4" workbookViewId="0">
      <selection activeCell="C40" sqref="C40"/>
    </sheetView>
  </sheetViews>
  <sheetFormatPr baseColWidth="10" defaultColWidth="8.88671875" defaultRowHeight="14.4" x14ac:dyDescent="0.3"/>
  <cols>
    <col min="2" max="2" width="20.77734375" customWidth="1"/>
    <col min="3" max="3" width="14.77734375" bestFit="1" customWidth="1"/>
    <col min="4" max="4" width="15.77734375" bestFit="1" customWidth="1"/>
    <col min="5" max="8" width="14.77734375" bestFit="1" customWidth="1"/>
    <col min="9" max="13" width="15.77734375" bestFit="1" customWidth="1"/>
  </cols>
  <sheetData>
    <row r="2" spans="1:13" x14ac:dyDescent="0.3">
      <c r="A2" t="s">
        <v>387</v>
      </c>
    </row>
    <row r="3" spans="1:13" x14ac:dyDescent="0.3">
      <c r="A3" t="s">
        <v>388</v>
      </c>
      <c r="C3" s="24">
        <v>2025</v>
      </c>
      <c r="D3" s="24">
        <f>C3+1</f>
        <v>2026</v>
      </c>
      <c r="E3" s="24">
        <f t="shared" ref="E3:M3" si="0">D3+1</f>
        <v>2027</v>
      </c>
      <c r="F3" s="24">
        <f t="shared" si="0"/>
        <v>2028</v>
      </c>
      <c r="G3" s="24">
        <f t="shared" si="0"/>
        <v>2029</v>
      </c>
      <c r="H3" s="24">
        <f t="shared" si="0"/>
        <v>2030</v>
      </c>
      <c r="I3" s="24">
        <f t="shared" si="0"/>
        <v>2031</v>
      </c>
      <c r="J3" s="24">
        <f t="shared" si="0"/>
        <v>2032</v>
      </c>
      <c r="K3" s="24">
        <f t="shared" si="0"/>
        <v>2033</v>
      </c>
      <c r="L3" s="24">
        <f t="shared" si="0"/>
        <v>2034</v>
      </c>
      <c r="M3" s="24">
        <f t="shared" si="0"/>
        <v>2035</v>
      </c>
    </row>
    <row r="5" spans="1:13" x14ac:dyDescent="0.3">
      <c r="A5" t="s">
        <v>389</v>
      </c>
      <c r="C5" s="39">
        <f>Flujo!B34</f>
        <v>-18284347.151063204</v>
      </c>
      <c r="D5" s="39">
        <f>Flujo!C34</f>
        <v>-16687730.376854897</v>
      </c>
      <c r="E5" s="39">
        <f>Flujo!D34</f>
        <v>-6583725.3561633825</v>
      </c>
      <c r="F5" s="39">
        <f>Flujo!E34</f>
        <v>7358332.8984242678</v>
      </c>
      <c r="G5" s="39">
        <f>Flujo!F34</f>
        <v>25366005.441689849</v>
      </c>
      <c r="H5" s="39">
        <f>Flujo!G34</f>
        <v>53114729.885423303</v>
      </c>
      <c r="I5" s="39">
        <f>Flujo!H34</f>
        <v>85018556.883690119</v>
      </c>
      <c r="J5" s="39">
        <f>Flujo!I34</f>
        <v>121562515.07490325</v>
      </c>
      <c r="K5" s="39">
        <f>Flujo!J34</f>
        <v>163515931.01841474</v>
      </c>
      <c r="L5" s="39">
        <f>Flujo!K34</f>
        <v>208895094.54670525</v>
      </c>
      <c r="M5" s="39">
        <f>Flujo!L34</f>
        <v>259785879.6764679</v>
      </c>
    </row>
    <row r="6" spans="1:13" x14ac:dyDescent="0.3">
      <c r="A6" t="s">
        <v>416</v>
      </c>
    </row>
    <row r="7" spans="1:13" x14ac:dyDescent="0.3">
      <c r="A7" t="s">
        <v>390</v>
      </c>
    </row>
    <row r="8" spans="1:13" x14ac:dyDescent="0.3">
      <c r="A8" t="s">
        <v>391</v>
      </c>
      <c r="C8" s="29">
        <v>2000000</v>
      </c>
    </row>
    <row r="9" spans="1:13" x14ac:dyDescent="0.3">
      <c r="A9" t="s">
        <v>392</v>
      </c>
    </row>
    <row r="11" spans="1:13" ht="15" thickBot="1" x14ac:dyDescent="0.35">
      <c r="A11" t="s">
        <v>393</v>
      </c>
      <c r="C11" s="56">
        <f>SUM(C5:C9)</f>
        <v>-16284347.151063204</v>
      </c>
      <c r="D11" s="56">
        <f t="shared" ref="D11:M11" si="1">SUM(D5:D9)</f>
        <v>-16687730.376854897</v>
      </c>
      <c r="E11" s="56">
        <f t="shared" si="1"/>
        <v>-6583725.3561633825</v>
      </c>
      <c r="F11" s="56">
        <f t="shared" si="1"/>
        <v>7358332.8984242678</v>
      </c>
      <c r="G11" s="56">
        <f t="shared" si="1"/>
        <v>25366005.441689849</v>
      </c>
      <c r="H11" s="56">
        <f t="shared" si="1"/>
        <v>53114729.885423303</v>
      </c>
      <c r="I11" s="56">
        <f t="shared" si="1"/>
        <v>85018556.883690119</v>
      </c>
      <c r="J11" s="56">
        <f t="shared" si="1"/>
        <v>121562515.07490325</v>
      </c>
      <c r="K11" s="56">
        <f t="shared" si="1"/>
        <v>163515931.01841474</v>
      </c>
      <c r="L11" s="56">
        <f t="shared" si="1"/>
        <v>208895094.54670525</v>
      </c>
      <c r="M11" s="56">
        <f t="shared" si="1"/>
        <v>259785879.6764679</v>
      </c>
    </row>
    <row r="12" spans="1:13" ht="15" thickTop="1" x14ac:dyDescent="0.3"/>
    <row r="13" spans="1:13" x14ac:dyDescent="0.3">
      <c r="A13" t="s">
        <v>394</v>
      </c>
    </row>
    <row r="14" spans="1:13" x14ac:dyDescent="0.3">
      <c r="A14" t="s">
        <v>395</v>
      </c>
      <c r="C14" s="45">
        <f>Depreciación.!C64</f>
        <v>6053000</v>
      </c>
      <c r="D14" s="45">
        <f>Depreciación.!D64</f>
        <v>6053000</v>
      </c>
      <c r="E14" s="45">
        <f>Depreciación.!E64</f>
        <v>6053000</v>
      </c>
      <c r="F14" s="45">
        <f>Depreciación.!F64</f>
        <v>6053000</v>
      </c>
      <c r="G14" s="45">
        <f>Depreciación.!G64</f>
        <v>6053000</v>
      </c>
      <c r="H14" s="45">
        <f>Depreciación.!H64</f>
        <v>6053000</v>
      </c>
      <c r="I14" s="45">
        <f>Depreciación.!I64</f>
        <v>6053000</v>
      </c>
      <c r="J14" s="45">
        <f>Depreciación.!J64</f>
        <v>6053000</v>
      </c>
      <c r="K14" s="45">
        <f>Depreciación.!K64</f>
        <v>6053000</v>
      </c>
      <c r="L14" s="45">
        <f>Depreciación.!L64</f>
        <v>6053000</v>
      </c>
      <c r="M14" s="45">
        <f>Depreciación.!M64</f>
        <v>6053000</v>
      </c>
    </row>
    <row r="15" spans="1:13" x14ac:dyDescent="0.3">
      <c r="A15" t="s">
        <v>132</v>
      </c>
      <c r="C15" s="45">
        <f>-Depreciación.!C65</f>
        <v>-302650</v>
      </c>
      <c r="D15" s="45">
        <f>-Depreciación.!D65+C15</f>
        <v>-605300</v>
      </c>
      <c r="E15" s="45">
        <f>-Depreciación.!E65+D15</f>
        <v>-907950</v>
      </c>
      <c r="F15" s="45">
        <f>-Depreciación.!F65+E15</f>
        <v>-1210600</v>
      </c>
      <c r="G15" s="45">
        <f>-Depreciación.!G65+F15</f>
        <v>-1513250</v>
      </c>
      <c r="H15" s="45">
        <f>-Depreciación.!H65+G15</f>
        <v>-1815900</v>
      </c>
      <c r="I15" s="45">
        <f>-Depreciación.!I65+H15</f>
        <v>-2118550</v>
      </c>
      <c r="J15" s="45">
        <f>-Depreciación.!J65+I15</f>
        <v>-2421200</v>
      </c>
      <c r="K15" s="45">
        <f>-Depreciación.!K65+J15</f>
        <v>-2723850</v>
      </c>
      <c r="L15" s="45">
        <f>-Depreciación.!L65+K15</f>
        <v>-3026500</v>
      </c>
      <c r="M15" s="45">
        <f>-Depreciación.!M65+L15</f>
        <v>-3329150</v>
      </c>
    </row>
    <row r="16" spans="1:13" x14ac:dyDescent="0.3">
      <c r="A16" t="s">
        <v>396</v>
      </c>
      <c r="C16" s="45">
        <f>Depreciación.!C46</f>
        <v>1440000</v>
      </c>
      <c r="D16" s="45">
        <f>Depreciación.!D46</f>
        <v>1440000</v>
      </c>
      <c r="E16" s="45">
        <f>Depreciación.!E46</f>
        <v>1440000</v>
      </c>
      <c r="F16" s="45">
        <f>Depreciación.!F46</f>
        <v>1440000</v>
      </c>
      <c r="G16" s="45">
        <f>Depreciación.!G46</f>
        <v>1440000</v>
      </c>
      <c r="H16" s="45">
        <f>Depreciación.!H46</f>
        <v>1440000</v>
      </c>
      <c r="I16" s="45">
        <f>Depreciación.!I46</f>
        <v>1440000</v>
      </c>
      <c r="J16" s="45">
        <f>Depreciación.!J46</f>
        <v>1440000</v>
      </c>
      <c r="K16" s="45">
        <f>Depreciación.!K46</f>
        <v>1440000</v>
      </c>
      <c r="L16" s="45">
        <f>Depreciación.!L46</f>
        <v>1440000</v>
      </c>
      <c r="M16" s="45">
        <f>Depreciación.!M46</f>
        <v>1440000</v>
      </c>
    </row>
    <row r="17" spans="1:13" x14ac:dyDescent="0.3">
      <c r="A17" t="s">
        <v>132</v>
      </c>
      <c r="C17" s="45">
        <f>-Depreciación.!C47</f>
        <v>-288000</v>
      </c>
      <c r="D17" s="45">
        <f>-Depreciación.!D47+C17</f>
        <v>-576000</v>
      </c>
      <c r="E17" s="45">
        <f>-Depreciación.!E47+D17</f>
        <v>-864000</v>
      </c>
      <c r="F17" s="45">
        <f>-Depreciación.!F47+E17</f>
        <v>-1152000</v>
      </c>
      <c r="G17" s="45">
        <f>-Depreciación.!G47+F17</f>
        <v>-1440000</v>
      </c>
      <c r="H17" s="45">
        <f>-Depreciación.!H47+G17</f>
        <v>-1728000</v>
      </c>
      <c r="I17" s="45">
        <f>-Depreciación.!I47+H17</f>
        <v>-2016000</v>
      </c>
      <c r="J17" s="45">
        <f>-Depreciación.!J47+I17</f>
        <v>-2304000</v>
      </c>
      <c r="K17" s="45">
        <f>-Depreciación.!K47+J17</f>
        <v>-2592000</v>
      </c>
      <c r="L17" s="45">
        <f>-Depreciación.!L47+K17</f>
        <v>-2880000</v>
      </c>
      <c r="M17" s="45">
        <f>-Depreciación.!M47+L17</f>
        <v>-3168000</v>
      </c>
    </row>
    <row r="18" spans="1:13" x14ac:dyDescent="0.3">
      <c r="A18" t="s">
        <v>397</v>
      </c>
      <c r="C18" s="45">
        <f>Depreciación.!C25</f>
        <v>8060000</v>
      </c>
      <c r="D18" s="45">
        <f>Depreciación.!D25</f>
        <v>8060000</v>
      </c>
      <c r="E18" s="45">
        <f>Depreciación.!E25</f>
        <v>8060000</v>
      </c>
      <c r="F18" s="45">
        <f>Depreciación.!F25</f>
        <v>8060000</v>
      </c>
      <c r="G18" s="45">
        <f>Depreciación.!G25</f>
        <v>8060000</v>
      </c>
      <c r="H18" s="45">
        <f>Depreciación.!H25</f>
        <v>8060000</v>
      </c>
      <c r="I18" s="45">
        <f>Depreciación.!I25</f>
        <v>8060000</v>
      </c>
      <c r="J18" s="45">
        <f>Depreciación.!J25</f>
        <v>8060000</v>
      </c>
      <c r="K18" s="45">
        <f>Depreciación.!K25</f>
        <v>8060000</v>
      </c>
      <c r="L18" s="45">
        <f>Depreciación.!L25</f>
        <v>8060000</v>
      </c>
      <c r="M18" s="45">
        <f>Depreciación.!M25</f>
        <v>8060000</v>
      </c>
    </row>
    <row r="19" spans="1:13" x14ac:dyDescent="0.3">
      <c r="A19" t="s">
        <v>132</v>
      </c>
      <c r="C19" s="45">
        <f>-Depreciación.!C26</f>
        <v>-806000</v>
      </c>
      <c r="D19" s="45">
        <f>-Depreciación.!D26+C19</f>
        <v>-1612000</v>
      </c>
      <c r="E19" s="45">
        <f>-Depreciación.!E26+D19</f>
        <v>-2418000</v>
      </c>
      <c r="F19" s="45">
        <f>-Depreciación.!F26+E19</f>
        <v>-3224000</v>
      </c>
      <c r="G19" s="45">
        <f>-Depreciación.!G26+F19</f>
        <v>-4030000</v>
      </c>
      <c r="H19" s="45">
        <f>-Depreciación.!H26+G19</f>
        <v>-4836000</v>
      </c>
      <c r="I19" s="45">
        <f>-Depreciación.!I26+H19</f>
        <v>-5642000</v>
      </c>
      <c r="J19" s="45">
        <f>-Depreciación.!J26+I19</f>
        <v>-6448000</v>
      </c>
      <c r="K19" s="45">
        <f>-Depreciación.!K26+J19</f>
        <v>-7254000</v>
      </c>
      <c r="L19" s="45">
        <f>-Depreciación.!L26+K19</f>
        <v>-8060000</v>
      </c>
      <c r="M19" s="45">
        <f>-Depreciación.!M26+L19</f>
        <v>-8866000</v>
      </c>
    </row>
    <row r="20" spans="1:13" x14ac:dyDescent="0.3">
      <c r="A20" t="s">
        <v>304</v>
      </c>
      <c r="C20" s="45">
        <f>Depreciación.!C84</f>
        <v>217350</v>
      </c>
      <c r="D20" s="45">
        <f>Depreciación.!D84</f>
        <v>217350</v>
      </c>
      <c r="E20" s="45">
        <f>Depreciación.!E84</f>
        <v>217350</v>
      </c>
      <c r="F20" s="45">
        <f>Depreciación.!F84</f>
        <v>217350</v>
      </c>
      <c r="G20" s="45">
        <f>Depreciación.!G84</f>
        <v>217350</v>
      </c>
      <c r="H20" s="45">
        <f>Depreciación.!H84</f>
        <v>217350</v>
      </c>
      <c r="I20" s="45">
        <f>Depreciación.!I84</f>
        <v>217350</v>
      </c>
      <c r="J20" s="45">
        <f>Depreciación.!J84</f>
        <v>217350</v>
      </c>
      <c r="K20" s="45">
        <f>Depreciación.!K84</f>
        <v>217350</v>
      </c>
      <c r="L20" s="45">
        <f>Depreciación.!L84</f>
        <v>217350</v>
      </c>
      <c r="M20" s="45">
        <f>Depreciación.!M84</f>
        <v>217350</v>
      </c>
    </row>
    <row r="21" spans="1:13" x14ac:dyDescent="0.3">
      <c r="A21" t="s">
        <v>132</v>
      </c>
      <c r="C21" s="45">
        <f>-Depreciación.!C85</f>
        <v>-18474.75</v>
      </c>
      <c r="D21" s="45">
        <f>-Depreciación.!D85+C21</f>
        <v>-36949.5</v>
      </c>
      <c r="E21" s="45">
        <f>-Depreciación.!E85+D21</f>
        <v>-55424.25</v>
      </c>
      <c r="F21" s="45">
        <f>-Depreciación.!F85+E21</f>
        <v>-73899</v>
      </c>
      <c r="G21" s="45">
        <f>-Depreciación.!G85+F21</f>
        <v>-92373.75</v>
      </c>
      <c r="H21" s="45">
        <f>-Depreciación.!H85+G21</f>
        <v>-110848.5</v>
      </c>
      <c r="I21" s="45">
        <f>-Depreciación.!I85+H21</f>
        <v>-129323.25</v>
      </c>
      <c r="J21" s="45">
        <f>-Depreciación.!J85+I21</f>
        <v>-147798</v>
      </c>
      <c r="K21" s="45">
        <f>-Depreciación.!K85+J21</f>
        <v>-166272.75</v>
      </c>
      <c r="L21" s="45">
        <f>-Depreciación.!L85+K21</f>
        <v>-184747.5</v>
      </c>
      <c r="M21" s="45">
        <f>-Depreciación.!M85+L21</f>
        <v>-203222.25</v>
      </c>
    </row>
    <row r="23" spans="1:13" ht="15" thickBot="1" x14ac:dyDescent="0.35">
      <c r="A23" s="1" t="s">
        <v>398</v>
      </c>
      <c r="C23" s="64">
        <f>SUM(C14:C21)</f>
        <v>14355225.25</v>
      </c>
      <c r="D23" s="64">
        <f t="shared" ref="D23:M23" si="2">SUM(D14:D21)</f>
        <v>12940100.5</v>
      </c>
      <c r="E23" s="64">
        <f t="shared" si="2"/>
        <v>11524975.75</v>
      </c>
      <c r="F23" s="64">
        <f t="shared" si="2"/>
        <v>10109851</v>
      </c>
      <c r="G23" s="64">
        <f t="shared" si="2"/>
        <v>8694726.25</v>
      </c>
      <c r="H23" s="64">
        <f t="shared" si="2"/>
        <v>7279601.5</v>
      </c>
      <c r="I23" s="64">
        <f t="shared" si="2"/>
        <v>5864476.75</v>
      </c>
      <c r="J23" s="64">
        <f t="shared" si="2"/>
        <v>4449352</v>
      </c>
      <c r="K23" s="64">
        <f t="shared" si="2"/>
        <v>3034227.25</v>
      </c>
      <c r="L23" s="64">
        <f t="shared" si="2"/>
        <v>1619102.5</v>
      </c>
      <c r="M23" s="64">
        <f t="shared" si="2"/>
        <v>203977.75</v>
      </c>
    </row>
    <row r="24" spans="1:13" ht="15" thickTop="1" x14ac:dyDescent="0.3"/>
    <row r="25" spans="1:13" x14ac:dyDescent="0.3">
      <c r="A25" t="s">
        <v>399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t="s">
        <v>277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t="s">
        <v>400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9" spans="1:13" ht="15" thickBot="1" x14ac:dyDescent="0.35">
      <c r="A29" s="1" t="s">
        <v>401</v>
      </c>
      <c r="C29" s="57">
        <f>SUM(C25:C27)</f>
        <v>0</v>
      </c>
      <c r="D29" s="57">
        <f t="shared" ref="D29:M29" si="3">SUM(D25:D27)</f>
        <v>0</v>
      </c>
      <c r="E29" s="57">
        <f t="shared" si="3"/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0</v>
      </c>
    </row>
    <row r="30" spans="1:13" ht="15" thickTop="1" x14ac:dyDescent="0.3"/>
    <row r="31" spans="1:13" ht="15" thickBot="1" x14ac:dyDescent="0.35">
      <c r="A31" t="s">
        <v>402</v>
      </c>
      <c r="C31" s="63">
        <f>C11+C23+C29</f>
        <v>-1929121.9010632038</v>
      </c>
      <c r="D31" s="63">
        <f t="shared" ref="D31:M31" si="4">D11+D23+D29</f>
        <v>-3747629.8768548965</v>
      </c>
      <c r="E31" s="63">
        <f t="shared" si="4"/>
        <v>4941250.3938366175</v>
      </c>
      <c r="F31" s="63">
        <f t="shared" si="4"/>
        <v>17468183.898424268</v>
      </c>
      <c r="G31" s="63">
        <f t="shared" si="4"/>
        <v>34060731.691689849</v>
      </c>
      <c r="H31" s="63">
        <f t="shared" si="4"/>
        <v>60394331.385423303</v>
      </c>
      <c r="I31" s="63">
        <f t="shared" si="4"/>
        <v>90883033.633690119</v>
      </c>
      <c r="J31" s="63">
        <f t="shared" si="4"/>
        <v>126011867.07490325</v>
      </c>
      <c r="K31" s="63">
        <f t="shared" si="4"/>
        <v>166550158.26841474</v>
      </c>
      <c r="L31" s="63">
        <f t="shared" si="4"/>
        <v>210514197.04670525</v>
      </c>
      <c r="M31" s="63">
        <f t="shared" si="4"/>
        <v>259989857.4264679</v>
      </c>
    </row>
    <row r="32" spans="1:13" ht="15" thickTop="1" x14ac:dyDescent="0.3"/>
    <row r="33" spans="1:14" x14ac:dyDescent="0.3">
      <c r="A33" t="s">
        <v>403</v>
      </c>
    </row>
    <row r="34" spans="1:14" x14ac:dyDescent="0.3">
      <c r="A34" t="s">
        <v>404</v>
      </c>
      <c r="C34">
        <v>450000</v>
      </c>
      <c r="D34">
        <v>45000</v>
      </c>
      <c r="E34">
        <v>45000</v>
      </c>
      <c r="F34">
        <v>45000</v>
      </c>
      <c r="G34">
        <v>45000</v>
      </c>
      <c r="H34">
        <v>45000</v>
      </c>
      <c r="I34">
        <v>45000</v>
      </c>
      <c r="J34">
        <v>45000</v>
      </c>
      <c r="K34">
        <v>45000</v>
      </c>
      <c r="L34">
        <v>45000</v>
      </c>
      <c r="M34">
        <v>45000</v>
      </c>
    </row>
    <row r="35" spans="1:14" x14ac:dyDescent="0.3">
      <c r="A35" t="s">
        <v>417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7" spans="1:14" ht="15" thickBot="1" x14ac:dyDescent="0.35">
      <c r="A37" s="1" t="s">
        <v>405</v>
      </c>
      <c r="C37" s="57">
        <f>SUM(C34:C35)</f>
        <v>450000</v>
      </c>
      <c r="D37" s="57">
        <f t="shared" ref="D37:M37" si="5">SUM(D34:D35)</f>
        <v>45000</v>
      </c>
      <c r="E37" s="57">
        <f t="shared" si="5"/>
        <v>45000</v>
      </c>
      <c r="F37" s="57">
        <f t="shared" si="5"/>
        <v>45000</v>
      </c>
      <c r="G37" s="57">
        <f t="shared" si="5"/>
        <v>45000</v>
      </c>
      <c r="H37" s="57">
        <f t="shared" si="5"/>
        <v>45000</v>
      </c>
      <c r="I37" s="57">
        <f t="shared" si="5"/>
        <v>45000</v>
      </c>
      <c r="J37" s="57">
        <f t="shared" si="5"/>
        <v>45000</v>
      </c>
      <c r="K37" s="57">
        <f t="shared" si="5"/>
        <v>45000</v>
      </c>
      <c r="L37" s="57">
        <f t="shared" si="5"/>
        <v>45000</v>
      </c>
      <c r="M37" s="57">
        <f t="shared" si="5"/>
        <v>45000</v>
      </c>
    </row>
    <row r="38" spans="1:14" ht="15" thickTop="1" x14ac:dyDescent="0.3"/>
    <row r="39" spans="1:14" x14ac:dyDescent="0.3">
      <c r="A39" t="s">
        <v>406</v>
      </c>
    </row>
    <row r="40" spans="1:14" x14ac:dyDescent="0.3">
      <c r="A40" t="s">
        <v>407</v>
      </c>
      <c r="C40" s="22">
        <f>Financiamiento!N5</f>
        <v>32878959.830879986</v>
      </c>
      <c r="D40" s="22">
        <f>Financiamiento!N11</f>
        <v>24659219.873159975</v>
      </c>
      <c r="E40" s="22">
        <f>Financiamiento!N17</f>
        <v>16439479.915439965</v>
      </c>
      <c r="F40" s="22">
        <f>Financiamiento!N23</f>
        <v>8219739.9577199752</v>
      </c>
      <c r="G40" s="22">
        <f>Financiamiento!N29</f>
        <v>-2.491287887096405E-8</v>
      </c>
    </row>
    <row r="41" spans="1:14" x14ac:dyDescent="0.3">
      <c r="A41" t="s">
        <v>408</v>
      </c>
      <c r="C41" s="22">
        <f>Financiamiento!N7</f>
        <v>5973011.0359431999</v>
      </c>
      <c r="D41" s="22">
        <f>Financiamiento!N13</f>
        <v>4657852.6427079979</v>
      </c>
      <c r="E41" s="22">
        <f>Financiamiento!N19</f>
        <v>3342694.2494727951</v>
      </c>
      <c r="F41" s="22">
        <f>Financiamiento!N25</f>
        <v>2027535.8562375957</v>
      </c>
      <c r="G41" s="22">
        <f>Financiamiento!N31</f>
        <v>904171.39534919406</v>
      </c>
    </row>
    <row r="43" spans="1:14" ht="15" thickBot="1" x14ac:dyDescent="0.35">
      <c r="A43" s="1" t="s">
        <v>409</v>
      </c>
      <c r="C43" s="62">
        <f>SUM(C40:C41)</f>
        <v>38851970.866823189</v>
      </c>
      <c r="D43" s="62">
        <f t="shared" ref="D43:N43" si="6">SUM(D40:D41)</f>
        <v>29317072.515867971</v>
      </c>
      <c r="E43" s="62">
        <f t="shared" si="6"/>
        <v>19782174.16491276</v>
      </c>
      <c r="F43" s="62">
        <f t="shared" si="6"/>
        <v>10247275.81395757</v>
      </c>
      <c r="G43" s="62">
        <f t="shared" si="6"/>
        <v>904171.39534916915</v>
      </c>
      <c r="H43" s="62">
        <f t="shared" si="6"/>
        <v>0</v>
      </c>
      <c r="I43" s="62">
        <f t="shared" si="6"/>
        <v>0</v>
      </c>
      <c r="J43" s="62">
        <f t="shared" si="6"/>
        <v>0</v>
      </c>
      <c r="K43" s="62">
        <f t="shared" si="6"/>
        <v>0</v>
      </c>
      <c r="L43" s="62">
        <f t="shared" si="6"/>
        <v>0</v>
      </c>
      <c r="M43" s="62">
        <f t="shared" si="6"/>
        <v>0</v>
      </c>
      <c r="N43" s="22">
        <f t="shared" si="6"/>
        <v>0</v>
      </c>
    </row>
    <row r="44" spans="1:14" ht="15" thickTop="1" x14ac:dyDescent="0.3"/>
    <row r="45" spans="1:14" ht="15" thickBot="1" x14ac:dyDescent="0.35">
      <c r="A45" s="1" t="s">
        <v>410</v>
      </c>
      <c r="C45" s="62">
        <f>C37+C43</f>
        <v>39301970.866823189</v>
      </c>
      <c r="D45" s="62">
        <f t="shared" ref="D45:M45" si="7">D37+D43</f>
        <v>29362072.515867971</v>
      </c>
      <c r="E45" s="62">
        <f t="shared" si="7"/>
        <v>19827174.16491276</v>
      </c>
      <c r="F45" s="62">
        <f t="shared" si="7"/>
        <v>10292275.81395757</v>
      </c>
      <c r="G45" s="62">
        <f t="shared" si="7"/>
        <v>949171.39534916915</v>
      </c>
      <c r="H45" s="62">
        <f t="shared" si="7"/>
        <v>45000</v>
      </c>
      <c r="I45" s="62">
        <f t="shared" si="7"/>
        <v>45000</v>
      </c>
      <c r="J45" s="62">
        <f t="shared" si="7"/>
        <v>45000</v>
      </c>
      <c r="K45" s="62">
        <f t="shared" si="7"/>
        <v>45000</v>
      </c>
      <c r="L45" s="62">
        <f t="shared" si="7"/>
        <v>45000</v>
      </c>
      <c r="M45" s="62">
        <f t="shared" si="7"/>
        <v>45000</v>
      </c>
    </row>
    <row r="46" spans="1:14" ht="15" thickTop="1" x14ac:dyDescent="0.3"/>
    <row r="47" spans="1:14" x14ac:dyDescent="0.3">
      <c r="A47" t="s">
        <v>411</v>
      </c>
    </row>
    <row r="48" spans="1:14" x14ac:dyDescent="0.3">
      <c r="A48" t="s">
        <v>412</v>
      </c>
      <c r="C48" s="39">
        <f>C31-C45-C49-C50</f>
        <v>1975728.9217767864</v>
      </c>
      <c r="D48" s="39">
        <f t="shared" ref="D48:M48" si="8">D31-D45-D49-D50</f>
        <v>1108179426.0485239</v>
      </c>
      <c r="E48" s="39">
        <f t="shared" si="8"/>
        <v>516777469.06333262</v>
      </c>
      <c r="F48" s="39">
        <f t="shared" si="8"/>
        <v>-26566839.195400208</v>
      </c>
      <c r="G48" s="39">
        <f t="shared" si="8"/>
        <v>-12600468.79477804</v>
      </c>
      <c r="H48" s="39">
        <f t="shared" si="8"/>
        <v>-8910415.7953090668</v>
      </c>
      <c r="I48" s="39">
        <f t="shared" si="8"/>
        <v>3527029.4434231371</v>
      </c>
      <c r="J48" s="39">
        <f t="shared" si="8"/>
        <v>25220497.944209822</v>
      </c>
      <c r="K48" s="39">
        <f t="shared" si="8"/>
        <v>50299742.440178171</v>
      </c>
      <c r="L48" s="39">
        <f t="shared" si="8"/>
        <v>82002828.296612188</v>
      </c>
      <c r="M48" s="39">
        <f t="shared" si="8"/>
        <v>117029497.88865174</v>
      </c>
    </row>
    <row r="49" spans="1:13" x14ac:dyDescent="0.3">
      <c r="A49" t="s">
        <v>333</v>
      </c>
      <c r="C49" s="39">
        <f>'Estado R'!B40</f>
        <v>-43206821.689663179</v>
      </c>
      <c r="D49" s="39">
        <f>'Estado R'!C40</f>
        <v>-549041153.37579179</v>
      </c>
      <c r="E49" s="39">
        <f>'Estado R'!D40</f>
        <v>8688880.2706915364</v>
      </c>
      <c r="F49" s="39">
        <f>'Estado R'!E40</f>
        <v>12526933.504587684</v>
      </c>
      <c r="G49" s="39">
        <f>'Estado R'!F40</f>
        <v>16592547.79326552</v>
      </c>
      <c r="H49" s="39">
        <f>'Estado R'!G40</f>
        <v>26333599.693733424</v>
      </c>
      <c r="I49" s="39">
        <f>'Estado R'!H40</f>
        <v>30488702.248266779</v>
      </c>
      <c r="J49" s="39">
        <f>'Estado R'!I40</f>
        <v>35128833.441213325</v>
      </c>
      <c r="K49" s="39">
        <f>'Estado R'!J40</f>
        <v>40538291.19351162</v>
      </c>
      <c r="L49" s="39">
        <f>'Estado R'!K40</f>
        <v>43964038.778290719</v>
      </c>
      <c r="M49" s="39">
        <f>'Estado R'!L40</f>
        <v>49475660.379762724</v>
      </c>
    </row>
    <row r="50" spans="1:13" x14ac:dyDescent="0.3">
      <c r="A50" t="s">
        <v>413</v>
      </c>
      <c r="C50">
        <v>0</v>
      </c>
      <c r="D50" s="39">
        <f>C49+D49</f>
        <v>-592247975.06545496</v>
      </c>
      <c r="E50" s="39">
        <f t="shared" ref="E50:M50" si="9">D49+E49</f>
        <v>-540352273.10510027</v>
      </c>
      <c r="F50" s="39">
        <f t="shared" si="9"/>
        <v>21215813.77527922</v>
      </c>
      <c r="G50" s="39">
        <f t="shared" si="9"/>
        <v>29119481.297853202</v>
      </c>
      <c r="H50" s="39">
        <f t="shared" si="9"/>
        <v>42926147.486998945</v>
      </c>
      <c r="I50" s="39">
        <f t="shared" si="9"/>
        <v>56822301.942000203</v>
      </c>
      <c r="J50" s="39">
        <f t="shared" si="9"/>
        <v>65617535.689480104</v>
      </c>
      <c r="K50" s="39">
        <f t="shared" si="9"/>
        <v>75667124.634724945</v>
      </c>
      <c r="L50" s="39">
        <f t="shared" si="9"/>
        <v>84502329.971802339</v>
      </c>
      <c r="M50" s="39">
        <f t="shared" si="9"/>
        <v>93439699.158053443</v>
      </c>
    </row>
    <row r="52" spans="1:13" ht="15" thickBot="1" x14ac:dyDescent="0.35">
      <c r="A52" s="1" t="s">
        <v>414</v>
      </c>
      <c r="C52" s="56">
        <f>SUM(C48:C50)</f>
        <v>-41231092.767886393</v>
      </c>
      <c r="D52" s="56">
        <f t="shared" ref="D52:M52" si="10">SUM(D48:D50)</f>
        <v>-33109702.392722845</v>
      </c>
      <c r="E52" s="56">
        <f t="shared" si="10"/>
        <v>-14885923.771076143</v>
      </c>
      <c r="F52" s="56">
        <f t="shared" si="10"/>
        <v>7175908.0844666958</v>
      </c>
      <c r="G52" s="56">
        <f t="shared" si="10"/>
        <v>33111560.296340682</v>
      </c>
      <c r="H52" s="56">
        <f t="shared" si="10"/>
        <v>60349331.385423303</v>
      </c>
      <c r="I52" s="56">
        <f t="shared" si="10"/>
        <v>90838033.633690119</v>
      </c>
      <c r="J52" s="56">
        <f t="shared" si="10"/>
        <v>125966867.07490325</v>
      </c>
      <c r="K52" s="56">
        <f t="shared" si="10"/>
        <v>166505158.26841474</v>
      </c>
      <c r="L52" s="56">
        <f t="shared" si="10"/>
        <v>210469197.04670525</v>
      </c>
      <c r="M52" s="56">
        <f t="shared" si="10"/>
        <v>259944857.4264679</v>
      </c>
    </row>
    <row r="53" spans="1:13" ht="15" thickTop="1" x14ac:dyDescent="0.3"/>
    <row r="54" spans="1:13" x14ac:dyDescent="0.3">
      <c r="A54" t="s">
        <v>415</v>
      </c>
      <c r="C54" s="22">
        <f>C31-(C45+C52)</f>
        <v>0</v>
      </c>
      <c r="D54" s="22">
        <f t="shared" ref="D54:M54" si="11">D31-(D45+D52)</f>
        <v>-2.2351741790771484E-8</v>
      </c>
      <c r="E54" s="22">
        <f t="shared" si="11"/>
        <v>0</v>
      </c>
      <c r="F54" s="22">
        <f t="shared" si="11"/>
        <v>0</v>
      </c>
      <c r="G54" s="22">
        <f t="shared" si="11"/>
        <v>0</v>
      </c>
      <c r="H54" s="22">
        <f t="shared" si="11"/>
        <v>0</v>
      </c>
      <c r="I54" s="22">
        <f t="shared" si="11"/>
        <v>0</v>
      </c>
      <c r="J54" s="22">
        <f t="shared" si="11"/>
        <v>0</v>
      </c>
      <c r="K54" s="22">
        <f t="shared" si="11"/>
        <v>0</v>
      </c>
      <c r="L54" s="22">
        <f t="shared" si="11"/>
        <v>0</v>
      </c>
      <c r="M54" s="22">
        <f t="shared" si="11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1C2B-9D2F-4C4A-842C-5C1BCDCF1B92}">
  <dimension ref="A1:L31"/>
  <sheetViews>
    <sheetView workbookViewId="0">
      <selection activeCell="B30" sqref="B30"/>
    </sheetView>
  </sheetViews>
  <sheetFormatPr baseColWidth="10" defaultColWidth="8.88671875" defaultRowHeight="14.4" x14ac:dyDescent="0.3"/>
  <cols>
    <col min="1" max="1" width="34.5546875" customWidth="1"/>
    <col min="2" max="7" width="14.77734375" bestFit="1" customWidth="1"/>
    <col min="8" max="12" width="15.77734375" bestFit="1" customWidth="1"/>
  </cols>
  <sheetData>
    <row r="1" spans="1:12" x14ac:dyDescent="0.3">
      <c r="A1" t="s">
        <v>418</v>
      </c>
    </row>
    <row r="2" spans="1:12" x14ac:dyDescent="0.3">
      <c r="B2" s="24">
        <v>2025</v>
      </c>
      <c r="C2" s="24">
        <f>B2+1</f>
        <v>2026</v>
      </c>
      <c r="D2" s="24">
        <f t="shared" ref="D2:L2" si="0">C2+1</f>
        <v>2027</v>
      </c>
      <c r="E2" s="24">
        <f t="shared" si="0"/>
        <v>2028</v>
      </c>
      <c r="F2" s="24">
        <f t="shared" si="0"/>
        <v>2029</v>
      </c>
      <c r="G2" s="24">
        <f t="shared" si="0"/>
        <v>2030</v>
      </c>
      <c r="H2" s="24">
        <f t="shared" si="0"/>
        <v>2031</v>
      </c>
      <c r="I2" s="24">
        <f t="shared" si="0"/>
        <v>2032</v>
      </c>
      <c r="J2" s="24">
        <f t="shared" si="0"/>
        <v>2033</v>
      </c>
      <c r="K2" s="24">
        <f t="shared" si="0"/>
        <v>2034</v>
      </c>
      <c r="L2" s="24">
        <f t="shared" si="0"/>
        <v>2035</v>
      </c>
    </row>
    <row r="3" spans="1:12" x14ac:dyDescent="0.3">
      <c r="A3" t="s">
        <v>419</v>
      </c>
    </row>
    <row r="4" spans="1:12" ht="15" thickBot="1" x14ac:dyDescent="0.35">
      <c r="A4" t="s">
        <v>420</v>
      </c>
      <c r="B4" s="65">
        <f>Balance!C11/Balance!C37</f>
        <v>-36.187438113473789</v>
      </c>
      <c r="C4" s="65">
        <f>Balance!D11/Balance!D37</f>
        <v>-370.83845281899772</v>
      </c>
      <c r="D4" s="65">
        <f>Balance!E11/Balance!E37</f>
        <v>-146.30500791474182</v>
      </c>
      <c r="E4" s="65">
        <f>Balance!F11/Balance!F37</f>
        <v>163.51850885387262</v>
      </c>
      <c r="F4" s="65">
        <f>Balance!G11/Balance!G37</f>
        <v>563.68900981533</v>
      </c>
      <c r="G4" s="65">
        <f>Balance!H11/Balance!H37</f>
        <v>1180.3273307871846</v>
      </c>
      <c r="H4" s="65">
        <f>Balance!I11/Balance!I37</f>
        <v>1889.3012640820027</v>
      </c>
      <c r="I4" s="65">
        <f>Balance!J11/Balance!J37</f>
        <v>2701.3892238867388</v>
      </c>
      <c r="J4" s="65">
        <f>Balance!K11/Balance!K37</f>
        <v>3633.687355964772</v>
      </c>
      <c r="K4" s="65">
        <f>Balance!L11/Balance!L37</f>
        <v>4642.1132121490054</v>
      </c>
      <c r="L4" s="65">
        <f>Balance!M11/Balance!M37</f>
        <v>5773.0195483659536</v>
      </c>
    </row>
    <row r="5" spans="1:12" ht="15" thickTop="1" x14ac:dyDescent="0.3">
      <c r="A5" t="s">
        <v>421</v>
      </c>
    </row>
    <row r="6" spans="1:12" ht="15" thickBot="1" x14ac:dyDescent="0.35">
      <c r="A6" t="s">
        <v>422</v>
      </c>
      <c r="B6" s="65">
        <f>(Balance!C11-Balance!C6)/Balance!C37</f>
        <v>-36.187438113473789</v>
      </c>
      <c r="C6" s="65">
        <f>(Balance!D11-Balance!D6)/Balance!D37</f>
        <v>-370.83845281899772</v>
      </c>
      <c r="D6" s="65">
        <f>(Balance!E11-Balance!E6)/Balance!E37</f>
        <v>-146.30500791474182</v>
      </c>
      <c r="E6" s="65">
        <f>(Balance!F11-Balance!F6)/Balance!F37</f>
        <v>163.51850885387262</v>
      </c>
      <c r="F6" s="65">
        <f>(Balance!G11-Balance!G6)/Balance!G37</f>
        <v>563.68900981533</v>
      </c>
      <c r="G6" s="65">
        <f>(Balance!H11-Balance!H6)/Balance!H37</f>
        <v>1180.3273307871846</v>
      </c>
      <c r="H6" s="65">
        <f>(Balance!I11-Balance!I6)/Balance!I37</f>
        <v>1889.3012640820027</v>
      </c>
      <c r="I6" s="65">
        <f>(Balance!J11-Balance!J6)/Balance!J37</f>
        <v>2701.3892238867388</v>
      </c>
      <c r="J6" s="65">
        <f>(Balance!K11-Balance!K6)/Balance!K37</f>
        <v>3633.687355964772</v>
      </c>
      <c r="K6" s="65">
        <f>(Balance!L11-Balance!L6)/Balance!L37</f>
        <v>4642.1132121490054</v>
      </c>
      <c r="L6" s="65">
        <f>(Balance!M11-Balance!M6)/Balance!M37</f>
        <v>5773.0195483659536</v>
      </c>
    </row>
    <row r="7" spans="1:12" ht="15" thickTop="1" x14ac:dyDescent="0.3">
      <c r="A7" t="s">
        <v>423</v>
      </c>
    </row>
    <row r="8" spans="1:12" x14ac:dyDescent="0.3">
      <c r="A8" t="s">
        <v>306</v>
      </c>
    </row>
    <row r="9" spans="1:12" ht="15" thickBot="1" x14ac:dyDescent="0.35">
      <c r="A9" t="s">
        <v>424</v>
      </c>
      <c r="B9" s="56">
        <f>Balance!C11-Balance!C37</f>
        <v>-16734347.151063204</v>
      </c>
      <c r="C9" s="56">
        <f>Balance!D11-Balance!D37</f>
        <v>-16732730.376854897</v>
      </c>
      <c r="D9" s="56">
        <f>Balance!E11-Balance!E37</f>
        <v>-6628725.3561633825</v>
      </c>
      <c r="E9" s="56">
        <f>Balance!F11-Balance!F37</f>
        <v>7313332.8984242678</v>
      </c>
      <c r="F9" s="56">
        <f>Balance!G11-Balance!G37</f>
        <v>25321005.441689849</v>
      </c>
      <c r="G9" s="56">
        <f>Balance!H11-Balance!H37</f>
        <v>53069729.885423303</v>
      </c>
      <c r="H9" s="56">
        <f>Balance!I11-Balance!I37</f>
        <v>84973556.883690119</v>
      </c>
      <c r="I9" s="56">
        <f>Balance!J11-Balance!J37</f>
        <v>121517515.07490325</v>
      </c>
      <c r="J9" s="56">
        <f>Balance!K11-Balance!K37</f>
        <v>163470931.01841474</v>
      </c>
      <c r="K9" s="56">
        <f>Balance!L11-Balance!L37</f>
        <v>208850094.54670525</v>
      </c>
      <c r="L9" s="56">
        <f>Balance!M11-Balance!M37</f>
        <v>259740879.6764679</v>
      </c>
    </row>
    <row r="10" spans="1:12" ht="15" thickTop="1" x14ac:dyDescent="0.3"/>
    <row r="11" spans="1:12" x14ac:dyDescent="0.3">
      <c r="A11" t="s">
        <v>425</v>
      </c>
    </row>
    <row r="12" spans="1:12" x14ac:dyDescent="0.3">
      <c r="A12" t="s">
        <v>426</v>
      </c>
    </row>
    <row r="13" spans="1:12" ht="15" thickBot="1" x14ac:dyDescent="0.35">
      <c r="A13" t="s">
        <v>427</v>
      </c>
      <c r="B13" s="62">
        <f>Balance!C45/Balance!C31</f>
        <v>-20.3729846440303</v>
      </c>
      <c r="C13" s="62">
        <f>Balance!D45/Balance!D31</f>
        <v>-7.8348378790568685</v>
      </c>
      <c r="D13" s="62">
        <f>Balance!E45/Balance!E31</f>
        <v>4.0125823596480439</v>
      </c>
      <c r="E13" s="62">
        <f>Balance!F45/Balance!F31</f>
        <v>0.58920125147560376</v>
      </c>
      <c r="F13" s="62">
        <f>Balance!G45/Balance!G31</f>
        <v>2.7867028927647738E-2</v>
      </c>
      <c r="G13" s="62">
        <f>Balance!H45/Balance!H31</f>
        <v>7.4510304142320785E-4</v>
      </c>
      <c r="H13" s="62">
        <f>Balance!I45/Balance!I31</f>
        <v>4.9514192254382025E-4</v>
      </c>
      <c r="I13" s="62">
        <f>Balance!J45/Balance!J31</f>
        <v>3.5710922347695524E-4</v>
      </c>
      <c r="J13" s="62">
        <f>Balance!K45/Balance!K31</f>
        <v>2.7018887563875696E-4</v>
      </c>
      <c r="K13" s="62">
        <f>Balance!L45/Balance!L31</f>
        <v>2.1376230501934357E-4</v>
      </c>
      <c r="L13" s="62">
        <f>Balance!M45/Balance!M31</f>
        <v>1.7308367505346707E-4</v>
      </c>
    </row>
    <row r="14" spans="1:12" ht="15" thickTop="1" x14ac:dyDescent="0.3">
      <c r="A14" t="s">
        <v>426</v>
      </c>
    </row>
    <row r="15" spans="1:12" ht="15" thickBot="1" x14ac:dyDescent="0.35">
      <c r="A15" t="s">
        <v>428</v>
      </c>
      <c r="B15" s="56">
        <f>Balance!C52/Balance!C31</f>
        <v>21.3729846440303</v>
      </c>
      <c r="C15" s="56">
        <f>Balance!D52/Balance!D31</f>
        <v>8.8348378790568631</v>
      </c>
      <c r="D15" s="56">
        <f>Balance!E52/Balance!E31</f>
        <v>-3.0125823596480439</v>
      </c>
      <c r="E15" s="56">
        <f>Balance!F52/Balance!F31</f>
        <v>0.41079874852439607</v>
      </c>
      <c r="F15" s="56">
        <f>Balance!G52/Balance!G31</f>
        <v>0.9721329710723523</v>
      </c>
      <c r="G15" s="56">
        <f>Balance!H52/Balance!H31</f>
        <v>0.99925489695857683</v>
      </c>
      <c r="H15" s="56">
        <f>Balance!I52/Balance!I31</f>
        <v>0.99950485807745615</v>
      </c>
      <c r="I15" s="56">
        <f>Balance!J52/Balance!J31</f>
        <v>0.99964289077652302</v>
      </c>
      <c r="J15" s="56">
        <f>Balance!K52/Balance!K31</f>
        <v>0.99972981112436121</v>
      </c>
      <c r="K15" s="56">
        <f>Balance!L52/Balance!L31</f>
        <v>0.99978623769498065</v>
      </c>
      <c r="L15" s="56">
        <f>Balance!M52/Balance!M31</f>
        <v>0.99982691632494658</v>
      </c>
    </row>
    <row r="16" spans="1:12" ht="15" thickTop="1" x14ac:dyDescent="0.3"/>
    <row r="17" spans="1:12" x14ac:dyDescent="0.3">
      <c r="A17" t="s">
        <v>429</v>
      </c>
    </row>
    <row r="18" spans="1:12" ht="15" thickBot="1" x14ac:dyDescent="0.35">
      <c r="A18" t="s">
        <v>430</v>
      </c>
      <c r="B18" s="56">
        <f>'Estado R'!B6/Balance!C31</f>
        <v>-63.863252981628762</v>
      </c>
      <c r="C18" s="56">
        <f>'Estado R'!C6/Balance!D31</f>
        <v>-33.776788145960538</v>
      </c>
      <c r="D18" s="56">
        <f>'Estado R'!D6/Balance!E31</f>
        <v>151.31806666187796</v>
      </c>
      <c r="E18" s="56">
        <f>'Estado R'!E6/Balance!F31</f>
        <v>47.356705384557209</v>
      </c>
      <c r="F18" s="56">
        <f>'Estado R'!F6/Balance!G31</f>
        <v>26.870323604967023</v>
      </c>
      <c r="G18" s="56">
        <f>'Estado R'!G6/Balance!H31</f>
        <v>16.766565261324057</v>
      </c>
      <c r="H18" s="56">
        <f>'Estado R'!H6/Balance!I31</f>
        <v>12.327089305400566</v>
      </c>
      <c r="I18" s="56">
        <f>'Estado R'!I6/Balance!J31</f>
        <v>9.8364396594797903</v>
      </c>
      <c r="J18" s="56">
        <f>'Estado R'!J6/Balance!K31</f>
        <v>8.265559722760246</v>
      </c>
      <c r="K18" s="56">
        <f>'Estado R'!K6/Balance!L31</f>
        <v>6.9791031480281829</v>
      </c>
      <c r="L18" s="56">
        <f>'Estado R'!L6/Balance!M31</f>
        <v>6.191130986066578</v>
      </c>
    </row>
    <row r="19" spans="1:12" ht="15" thickTop="1" x14ac:dyDescent="0.3">
      <c r="A19" t="s">
        <v>431</v>
      </c>
    </row>
    <row r="20" spans="1:12" x14ac:dyDescent="0.3">
      <c r="A20" t="s">
        <v>432</v>
      </c>
    </row>
    <row r="21" spans="1:12" x14ac:dyDescent="0.3">
      <c r="A21" t="s">
        <v>433</v>
      </c>
    </row>
    <row r="22" spans="1:12" x14ac:dyDescent="0.3">
      <c r="A22" t="s">
        <v>434</v>
      </c>
    </row>
    <row r="23" spans="1:12" x14ac:dyDescent="0.3">
      <c r="A23" t="s">
        <v>435</v>
      </c>
    </row>
    <row r="25" spans="1:12" x14ac:dyDescent="0.3">
      <c r="A25" t="s">
        <v>436</v>
      </c>
    </row>
    <row r="26" spans="1:12" ht="15" thickBot="1" x14ac:dyDescent="0.35">
      <c r="A26" t="s">
        <v>437</v>
      </c>
      <c r="B26" s="65">
        <f>'Estado R'!B40/'Estado R'!B6</f>
        <v>-0.35070472150700632</v>
      </c>
      <c r="C26" s="65">
        <f>'Estado R'!C40/'Estado R'!C6</f>
        <v>-4.3374038013098941</v>
      </c>
      <c r="D26" s="65">
        <f>'Estado R'!D40/'Estado R'!D6</f>
        <v>1.1620803752760091E-2</v>
      </c>
      <c r="E26" s="65">
        <f>'Estado R'!E40/'Estado R'!E6</f>
        <v>1.5143125999250879E-2</v>
      </c>
      <c r="F26" s="65">
        <f>'Estado R'!F40/'Estado R'!F6</f>
        <v>1.8129515886783611E-2</v>
      </c>
      <c r="G26" s="65">
        <f>'Estado R'!G40/'Estado R'!G6</f>
        <v>2.6005783822486219E-2</v>
      </c>
      <c r="H26" s="65">
        <f>'Estado R'!H40/'Estado R'!H6</f>
        <v>2.7214200589841794E-2</v>
      </c>
      <c r="I26" s="65">
        <f>'Estado R'!I40/'Estado R'!I6</f>
        <v>2.8340946444768214E-2</v>
      </c>
      <c r="J26" s="65">
        <f>'Estado R'!J40/'Estado R'!J6</f>
        <v>2.9447478950870194E-2</v>
      </c>
      <c r="K26" s="65">
        <f>'Estado R'!K40/'Estado R'!K6</f>
        <v>2.9923788416416033E-2</v>
      </c>
      <c r="L26" s="65">
        <f>'Estado R'!L40/'Estado R'!L6</f>
        <v>3.073726358093334E-2</v>
      </c>
    </row>
    <row r="27" spans="1:12" ht="15" thickTop="1" x14ac:dyDescent="0.3">
      <c r="A27" t="s">
        <v>438</v>
      </c>
    </row>
    <row r="28" spans="1:12" x14ac:dyDescent="0.3">
      <c r="A28" t="s">
        <v>439</v>
      </c>
    </row>
    <row r="30" spans="1:12" ht="15" thickBot="1" x14ac:dyDescent="0.35">
      <c r="A30" t="s">
        <v>440</v>
      </c>
      <c r="B30" s="56">
        <f>'Estado R'!B40/Balance!C31</f>
        <v>22.397144351453608</v>
      </c>
      <c r="C30" s="56">
        <f>'Estado R'!C40/Balance!D31</f>
        <v>146.50356930032819</v>
      </c>
      <c r="D30" s="56">
        <f>'Estado R'!D40/Balance!E31</f>
        <v>1.7584375569247532</v>
      </c>
      <c r="E30" s="56">
        <f>'Estado R'!E40/Balance!F31</f>
        <v>0.71712855654775232</v>
      </c>
      <c r="F30" s="56">
        <f>'Estado R'!F40/Balance!G31</f>
        <v>0.4871459586792663</v>
      </c>
      <c r="G30" s="56">
        <f>'Estado R'!G40/Balance!H31</f>
        <v>0.43602767163160061</v>
      </c>
      <c r="H30" s="56">
        <f>'Estado R'!H40/Balance!I31</f>
        <v>0.33547188104606457</v>
      </c>
      <c r="I30" s="56">
        <f>'Estado R'!I40/Balance!J31</f>
        <v>0.27877400959651083</v>
      </c>
      <c r="J30" s="56">
        <f>'Estado R'!J40/Balance!K31</f>
        <v>0.24339989595314285</v>
      </c>
      <c r="K30" s="56">
        <f>'Estado R'!K40/Balance!L31</f>
        <v>0.20884120593793842</v>
      </c>
      <c r="L30" s="56">
        <f>'Estado R'!L40/Balance!M31</f>
        <v>0.19029842498281213</v>
      </c>
    </row>
    <row r="31" spans="1:12" ht="15" thickTop="1" x14ac:dyDescent="0.3">
      <c r="A31" t="s">
        <v>441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4709-FA65-4DD0-BBE4-DDE86D972919}">
  <dimension ref="A1"/>
  <sheetViews>
    <sheetView workbookViewId="0">
      <selection activeCell="J19" sqref="J19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Premisas</vt:lpstr>
      <vt:lpstr>COs</vt:lpstr>
      <vt:lpstr>Capacidad</vt:lpstr>
      <vt:lpstr>BOM</vt:lpstr>
      <vt:lpstr>Depreciación.</vt:lpstr>
      <vt:lpstr>Financiamiento</vt:lpstr>
      <vt:lpstr>Egresos</vt:lpstr>
      <vt:lpstr>Ingresos</vt:lpstr>
      <vt:lpstr>Estado R</vt:lpstr>
      <vt:lpstr>Flujo</vt:lpstr>
      <vt:lpstr>Balance</vt:lpstr>
      <vt:lpstr>Razones</vt:lpstr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González Almaguer</dc:creator>
  <cp:lastModifiedBy>Santi Alducin</cp:lastModifiedBy>
  <dcterms:created xsi:type="dcterms:W3CDTF">2025-05-25T02:38:51Z</dcterms:created>
  <dcterms:modified xsi:type="dcterms:W3CDTF">2026-09-19T16:22:06Z</dcterms:modified>
</cp:coreProperties>
</file>