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misas" sheetId="1" r:id="rId4"/>
    <sheet state="visible" name="COs" sheetId="2" r:id="rId5"/>
    <sheet state="visible" name="Capacidad" sheetId="3" r:id="rId6"/>
    <sheet state="visible" name="BOM" sheetId="4" r:id="rId7"/>
    <sheet state="visible" name="Inversion" sheetId="5" r:id="rId8"/>
    <sheet state="visible" name="Empleados_2" sheetId="6" r:id="rId9"/>
    <sheet state="visible" name="Empleados" sheetId="7" r:id="rId10"/>
    <sheet state="visible" name="Servicios" sheetId="8" r:id="rId11"/>
  </sheets>
  <definedNames/>
  <calcPr/>
  <extLst>
    <ext uri="GoogleSheetsCustomDataVersion2">
      <go:sheetsCustomData xmlns:go="http://customooxmlschemas.google.com/" r:id="rId12" roundtripDataChecksum="5pgSMMZeWIH+WzSZIZo82YM0KtZXAEZbHraZOQIsGIE="/>
    </ext>
  </extLst>
</workbook>
</file>

<file path=xl/sharedStrings.xml><?xml version="1.0" encoding="utf-8"?>
<sst xmlns="http://schemas.openxmlformats.org/spreadsheetml/2006/main" count="557" uniqueCount="203">
  <si>
    <t>Mes</t>
  </si>
  <si>
    <t>%</t>
  </si>
  <si>
    <t>PREMISAS MACROECONOMICAS</t>
  </si>
  <si>
    <t>Año  Cero</t>
  </si>
  <si>
    <t>Histórico</t>
  </si>
  <si>
    <t>Producto:</t>
  </si>
  <si>
    <t>Total</t>
  </si>
  <si>
    <t>Capacidad de la línea</t>
  </si>
  <si>
    <t>Año Cero</t>
  </si>
  <si>
    <t>Enero</t>
  </si>
  <si>
    <t>Linea / Máquina</t>
  </si>
  <si>
    <t>Descripción</t>
  </si>
  <si>
    <t>Tiempo en segundos de cada proceso</t>
  </si>
  <si>
    <t>NombreProducto</t>
  </si>
  <si>
    <t>Operadores necesarios</t>
  </si>
  <si>
    <t>Tiempo de ciclo</t>
  </si>
  <si>
    <t>-</t>
  </si>
  <si>
    <t>Id</t>
  </si>
  <si>
    <t>Cantidad</t>
  </si>
  <si>
    <t>Costo</t>
  </si>
  <si>
    <t>Sxrap</t>
  </si>
  <si>
    <t>Costo de venta</t>
  </si>
  <si>
    <t>FR001</t>
  </si>
  <si>
    <t>Base del frame</t>
  </si>
  <si>
    <t>Febrero</t>
  </si>
  <si>
    <t>Quality yield</t>
  </si>
  <si>
    <t>M-001</t>
  </si>
  <si>
    <t>Campos editables</t>
  </si>
  <si>
    <t>Elaboración placa base</t>
  </si>
  <si>
    <t>Tipo de cambio al cierre (dolares)</t>
  </si>
  <si>
    <t>Marzo</t>
  </si>
  <si>
    <t>Costo de Materia Prima</t>
  </si>
  <si>
    <t>Abril</t>
  </si>
  <si>
    <t>Mayo</t>
  </si>
  <si>
    <t>Junio</t>
  </si>
  <si>
    <t>Julio</t>
  </si>
  <si>
    <t>Seconds x unit</t>
  </si>
  <si>
    <t>Campos extendibles</t>
  </si>
  <si>
    <t>Puedes aumentar la cantidad de renglones con información</t>
  </si>
  <si>
    <t>Tasa lider nacional.</t>
  </si>
  <si>
    <t>Agosto</t>
  </si>
  <si>
    <t>M-002</t>
  </si>
  <si>
    <t>Ensamble base</t>
  </si>
  <si>
    <t>Septiembre</t>
  </si>
  <si>
    <t>Octubre</t>
  </si>
  <si>
    <t>Noviembre</t>
  </si>
  <si>
    <t>Diciembre</t>
  </si>
  <si>
    <t>Campos informativos</t>
  </si>
  <si>
    <t>CPP</t>
  </si>
  <si>
    <t>Units x hour</t>
  </si>
  <si>
    <t>M-003</t>
  </si>
  <si>
    <t>Ensamble 14</t>
  </si>
  <si>
    <t>CETES</t>
  </si>
  <si>
    <t>FR005</t>
  </si>
  <si>
    <t>Placa inferior del frame</t>
  </si>
  <si>
    <t>LIBOR</t>
  </si>
  <si>
    <t>Hours Shift</t>
  </si>
  <si>
    <t>M-004</t>
  </si>
  <si>
    <t>Ensamble 15</t>
  </si>
  <si>
    <t>FR003</t>
  </si>
  <si>
    <t>Brazos del dron</t>
  </si>
  <si>
    <t>FR006</t>
  </si>
  <si>
    <t>Shifts</t>
  </si>
  <si>
    <t>Placa superior para batería</t>
  </si>
  <si>
    <t>Production Lines</t>
  </si>
  <si>
    <t>Week working days</t>
  </si>
  <si>
    <t>Months working weeks</t>
  </si>
  <si>
    <t>Year working months</t>
  </si>
  <si>
    <t>FR004</t>
  </si>
  <si>
    <t>Agregar máquinas para diferentes líneas de producción</t>
  </si>
  <si>
    <t>Placa superior del frame</t>
  </si>
  <si>
    <t>Anual Capacity</t>
  </si>
  <si>
    <t>Inflación Nacional</t>
  </si>
  <si>
    <t>Tasa ISR</t>
  </si>
  <si>
    <t>Tasa IMPAC</t>
  </si>
  <si>
    <t>Tasa de PTU</t>
  </si>
  <si>
    <t>EQUIPO DE TRANSPORTE.</t>
  </si>
  <si>
    <t>Inflación Extranjera</t>
  </si>
  <si>
    <t>Auto-1</t>
  </si>
  <si>
    <t>POLITICAS.</t>
  </si>
  <si>
    <t>EDIFICIOS.</t>
  </si>
  <si>
    <t>Edificios-1</t>
  </si>
  <si>
    <t>Porcentaje de Inventario.</t>
  </si>
  <si>
    <t>EQUIPO DE COMPUTO.</t>
  </si>
  <si>
    <t>Porcentaje de proveedores.</t>
  </si>
  <si>
    <t>Compu-001</t>
  </si>
  <si>
    <t>Porcentaje de pasivo corto plazo.</t>
  </si>
  <si>
    <t>Porcentaje de costo directo del producto.</t>
  </si>
  <si>
    <t>Porcentaje de costo indirecto del producto.</t>
  </si>
  <si>
    <t>Porcentaje de gasto de venta</t>
  </si>
  <si>
    <t>Porcentaje de administración</t>
  </si>
  <si>
    <t>Nombre</t>
  </si>
  <si>
    <t>Tipo</t>
  </si>
  <si>
    <t>Percepcion</t>
  </si>
  <si>
    <t>IMSS</t>
  </si>
  <si>
    <t>Porcentaje depreciación Edificios</t>
  </si>
  <si>
    <t>Infonavit</t>
  </si>
  <si>
    <t>Vales de Despensa</t>
  </si>
  <si>
    <t>Prima Vacacional</t>
  </si>
  <si>
    <t>Aguinaldo</t>
  </si>
  <si>
    <t>Fondo de Ahorro</t>
  </si>
  <si>
    <t>Comedor</t>
  </si>
  <si>
    <t>ISR</t>
  </si>
  <si>
    <t>Salario Integrado</t>
  </si>
  <si>
    <t>MOD Operador</t>
  </si>
  <si>
    <t>operacion</t>
  </si>
  <si>
    <t>Porcentaje depreciación Maquinaria y Equipo</t>
  </si>
  <si>
    <t>Porcentaje depreciación Equipo de Transporte</t>
  </si>
  <si>
    <t>MOID Materiales</t>
  </si>
  <si>
    <t>Porcentaje depreciación Equipo de computo</t>
  </si>
  <si>
    <t>MOID Técnico Pruebas</t>
  </si>
  <si>
    <t>MOID Almacén</t>
  </si>
  <si>
    <t>Porcentaje</t>
  </si>
  <si>
    <t>Percepción</t>
  </si>
  <si>
    <t>Periodos</t>
  </si>
  <si>
    <t>MOD Supervisor</t>
  </si>
  <si>
    <t>MOID Almacen</t>
  </si>
  <si>
    <t>Salario base</t>
  </si>
  <si>
    <t>MOID Técnico Calidad</t>
  </si>
  <si>
    <t>MOID Técnico Producto</t>
  </si>
  <si>
    <t>MOID Técnico Logística</t>
  </si>
  <si>
    <t>IM Ingeniero Procesos</t>
  </si>
  <si>
    <t>IM Ingeniero de Calidad</t>
  </si>
  <si>
    <t>Ingeniero de Producto</t>
  </si>
  <si>
    <t>Ingeniero de Mtto</t>
  </si>
  <si>
    <t>Categoría de Gasto</t>
  </si>
  <si>
    <t>Gerente de Operaciones</t>
  </si>
  <si>
    <t>Vales de despensa</t>
  </si>
  <si>
    <t>Subcategoría</t>
  </si>
  <si>
    <t>Recursos humanos</t>
  </si>
  <si>
    <t>administracion</t>
  </si>
  <si>
    <t>Rango Mensual Estimado (MXN)</t>
  </si>
  <si>
    <t>Notas y Consideraciones</t>
  </si>
  <si>
    <t>Finanzas y Contabilidad</t>
  </si>
  <si>
    <t>Servicios Básicos</t>
  </si>
  <si>
    <t>Electricidad</t>
  </si>
  <si>
    <t>Consumo de energía para oficinas, equipos, aire acondicionado, iluminación.</t>
  </si>
  <si>
    <t>Compras</t>
  </si>
  <si>
    <t>IT</t>
  </si>
  <si>
    <t>Depende mucho del tamaño del espacio, el uso de equipo (servidores, maquinaria), y la tarifa CFE (p.ej., PDBT, GDMTO). Empresas con subestación propia pueden tener tarifas diferentes.</t>
  </si>
  <si>
    <t>Agua</t>
  </si>
  <si>
    <t>Mercadotecnia</t>
  </si>
  <si>
    <t>Consumo de agua para baños, cocina, limpieza.</t>
  </si>
  <si>
    <t>Logistica</t>
  </si>
  <si>
    <t>Las tarifas varían por municipio y tipo de uso (comercial/industrial). El volumen de consumo es clave.</t>
  </si>
  <si>
    <t>Ssecretaria Ejecutiva</t>
  </si>
  <si>
    <t>Telefonía Fija</t>
  </si>
  <si>
    <t>Líneas telefónicas para comunicación interna y externa.</t>
  </si>
  <si>
    <t>Gerente Administrativo</t>
  </si>
  <si>
    <t>Paquetes con múltiples líneas y llamadas ilimitadas suelen ser más económicos por línea.</t>
  </si>
  <si>
    <t>Gerente General</t>
  </si>
  <si>
    <t>Internet</t>
  </si>
  <si>
    <t>Conexión de banda ancha para toda la empresa (fibra óptica es recomendable).</t>
  </si>
  <si>
    <t>Limpieza y Mtto</t>
  </si>
  <si>
    <t>Variará según la velocidad (MBs), el proveedor y si incluye servicios adicionales (ej. VPN, IP fija). Para 50-100 empleados se requiere un servicio de alta velocidad y estabilidad.</t>
  </si>
  <si>
    <t>Otros Servicios</t>
  </si>
  <si>
    <t>Seguridad</t>
  </si>
  <si>
    <t>Limpieza</t>
  </si>
  <si>
    <t>Servicio de personal de limpieza o empresa de outsourcing.</t>
  </si>
  <si>
    <t>Secretaria</t>
  </si>
  <si>
    <t>Puede ser personal interno o un servicio externo por horas/días. Depende del tamaño de las instalaciones y la frecuencia.</t>
  </si>
  <si>
    <t>Sistemas de alarma, cámaras, y/o personal de seguridad.</t>
  </si>
  <si>
    <t>Varía según el nivel de seguridad deseado y si es un servicio de monitoreo o personal en sitio.</t>
  </si>
  <si>
    <t>Mantenimiento</t>
  </si>
  <si>
    <t>Mantenimiento de instalaciones (aire acondicionado, plomería, electricidad, etc.).</t>
  </si>
  <si>
    <t>Puede ser preventivo o correctivo. Algunos meses serán más altos que otros.</t>
  </si>
  <si>
    <t>Gastos Administrativos</t>
  </si>
  <si>
    <t>Sueldos y Salarios (Personal Administrativo)</t>
  </si>
  <si>
    <t>Personal de contabilidad, recursos humanos, recepcionistas, asistentes, gerentes administrativos, etc.</t>
  </si>
  <si>
    <t>Este es el gasto más significativo. Incluye salarios brutos, prestaciones (IMSS, Infonavit, etc.) y beneficios. Muy variable según la estructura de la empresa y los salarios de mercado.</t>
  </si>
  <si>
    <t>Renta de Oficina/Espacio</t>
  </si>
  <si>
    <t>Alquiler del inmueble donde opera la PyME.</t>
  </si>
  <si>
    <t>Altamente dependiente de la ubicación (zona, ciudad), el tamaño del espacio y las amenidades.</t>
  </si>
  <si>
    <t>Materiales de Oficina</t>
  </si>
  <si>
    <t>Papelería, tóner, plumas, artículos de escritorio, etc.</t>
  </si>
  <si>
    <t>Varía con el volumen de uso y si hay digitalización de procesos.</t>
  </si>
  <si>
    <t>Software y Licencias</t>
  </si>
  <si>
    <t>Software contable, CRM, ERP, paquetería de oficina, software especializado.</t>
  </si>
  <si>
    <t>Muchos softwares se pagan por licencia o por usuario. Un ERP para 50-100 empleados puede ser una inversión significativa.</t>
  </si>
  <si>
    <t>Servicios de Contabilidad/Fiscales</t>
  </si>
  <si>
    <t>Despacho contable externo para gestión fiscal y contable.</t>
  </si>
  <si>
    <t>Depende de la complejidad de la operación y el volumen de transacciones.</t>
  </si>
  <si>
    <t>Asesoría Legal</t>
  </si>
  <si>
    <t>Servicios de consultoría legal para contratos, temas laborales, compliance.</t>
  </si>
  <si>
    <t>Puede ser un pago recurrente por iguala o por proyecto. Varía según la necesidad.</t>
  </si>
  <si>
    <t>Seguros</t>
  </si>
  <si>
    <t>Seguro de responsabilidad civil, seguro de oficina, seguro de equipo.</t>
  </si>
  <si>
    <t>Pagos anuales que se prorratean mensualmente.</t>
  </si>
  <si>
    <t>Capacitación y Desarrollo</t>
  </si>
  <si>
    <t>Cursos, talleres, seminarios para el personal administrativo.</t>
  </si>
  <si>
    <t>Inversión en el crecimiento y habilidades del equipo. Puede ser variable.</t>
  </si>
  <si>
    <t>Gastos de Viaje y Representación</t>
  </si>
  <si>
    <t>Viáticos, comidas de negocios, transporte para reuniones.</t>
  </si>
  <si>
    <t>Depende de la naturaleza del negocio y la frecuencia de viajes.</t>
  </si>
  <si>
    <t>Publicidad y Marketing (Interno)</t>
  </si>
  <si>
    <t>Materiales de comunicación interna, eventos para empleados.</t>
  </si>
  <si>
    <t>Si hay un departamento de marketing interno, sus gastos se imputarían aquí.</t>
  </si>
  <si>
    <t>Otros (Insumos de Cocina, Cafetería, etc.)</t>
  </si>
  <si>
    <t>Café, agua embotellada, snacks para empleados y visitas.</t>
  </si>
  <si>
    <t>Detalles que contribuyen al ambiente laboral.</t>
  </si>
  <si>
    <t>ADMINISTRATIVOS</t>
  </si>
  <si>
    <t>Logística</t>
  </si>
  <si>
    <t>Secretaria Ejecutiva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</si>
</sst>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-* #,##0_-;\-* #,##0_-;_-* &quot;-&quot;??_-;_-@"/>
    <numFmt numFmtId="165" formatCode="_-&quot;$&quot;* #,##0.00_-;\-&quot;$&quot;* #,##0.00_-;_-&quot;$&quot;* &quot;-&quot;??_-;_-@"/>
    <numFmt numFmtId="166" formatCode="&quot;$&quot;#,##0.00"/>
    <numFmt numFmtId="167" formatCode="0.00000%"/>
    <numFmt numFmtId="168" formatCode="0.000%"/>
    <numFmt numFmtId="169" formatCode="_-* #,##0.00_-;\-* #,##0.00_-;_-* &quot;-&quot;??_-;_-@"/>
  </numFmts>
  <fonts count="7">
    <font>
      <sz val="11.0"/>
      <color theme="1"/>
      <name val="Aptos Narrow"/>
      <scheme val="minor"/>
    </font>
    <font>
      <b/>
      <sz val="11.0"/>
      <color theme="1"/>
      <name val="Aptos Narrow"/>
    </font>
    <font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Calibri"/>
    </font>
    <font/>
    <font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8ED873"/>
        <bgColor rgb="FF8ED873"/>
      </patternFill>
    </fill>
    <fill>
      <patternFill patternType="solid">
        <fgColor rgb="FFAEAEAE"/>
        <bgColor rgb="FFAEAEAE"/>
      </patternFill>
    </fill>
    <fill>
      <patternFill patternType="solid">
        <fgColor rgb="FFD0D0D0"/>
        <bgColor rgb="FFD0D0D0"/>
      </patternFill>
    </fill>
    <fill>
      <patternFill patternType="solid">
        <fgColor rgb="FFD9F2D0"/>
        <bgColor rgb="FFD9F2D0"/>
      </patternFill>
    </fill>
    <fill>
      <patternFill patternType="solid">
        <fgColor rgb="FFC1E4F5"/>
        <bgColor rgb="FFC1E4F5"/>
      </patternFill>
    </fill>
    <fill>
      <patternFill patternType="solid">
        <fgColor rgb="FFCAEDFB"/>
        <bgColor rgb="FFCAEDFB"/>
      </patternFill>
    </fill>
    <fill>
      <patternFill patternType="solid">
        <fgColor rgb="FFD9EAD3"/>
        <bgColor rgb="FFD9EAD3"/>
      </patternFill>
    </fill>
    <fill>
      <patternFill patternType="solid">
        <fgColor rgb="FFDBE9F7"/>
        <bgColor rgb="FFDBE9F7"/>
      </patternFill>
    </fill>
  </fills>
  <borders count="13">
    <border/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double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</border>
    <border>
      <left/>
      <right/>
      <bottom/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  <xf borderId="1" fillId="3" fontId="1" numFmtId="0" xfId="0" applyAlignment="1" applyBorder="1" applyFill="1" applyFont="1">
      <alignment horizontal="center"/>
    </xf>
    <xf borderId="1" fillId="2" fontId="3" numFmtId="0" xfId="0" applyBorder="1" applyFill="1" applyFont="1"/>
    <xf borderId="1" fillId="4" fontId="3" numFmtId="0" xfId="0" applyBorder="1" applyFill="1" applyFont="1"/>
    <xf borderId="1" fillId="2" fontId="1" numFmtId="0" xfId="0" applyBorder="1" applyFill="1" applyFont="1"/>
    <xf borderId="1" fillId="2" fontId="3" numFmtId="0" xfId="0" applyAlignment="1" applyBorder="1" applyFill="1" applyFont="1">
      <alignment shrinkToFit="0" wrapText="1"/>
    </xf>
    <xf borderId="1" fillId="5" fontId="3" numFmtId="9" xfId="0" applyBorder="1" applyFill="1" applyFont="1" applyNumberFormat="1"/>
    <xf borderId="1" fillId="5" fontId="3" numFmtId="0" xfId="0" applyAlignment="1" applyBorder="1" applyFill="1" applyFont="1">
      <alignment horizontal="center"/>
    </xf>
    <xf borderId="1" fillId="5" fontId="3" numFmtId="0" xfId="0" applyBorder="1" applyFill="1" applyFont="1"/>
    <xf borderId="1" fillId="5" fontId="3" numFmtId="164" xfId="0" applyBorder="1" applyFill="1" applyFont="1" applyNumberFormat="1"/>
    <xf borderId="1" fillId="3" fontId="3" numFmtId="0" xfId="0" applyBorder="1" applyFill="1" applyFont="1"/>
    <xf borderId="0" fillId="0" fontId="3" numFmtId="165" xfId="0" applyFont="1" applyNumberFormat="1"/>
    <xf borderId="1" fillId="6" fontId="3" numFmtId="0" xfId="0" applyBorder="1" applyFill="1" applyFont="1"/>
    <xf borderId="1" fillId="3" fontId="3" numFmtId="164" xfId="0" applyBorder="1" applyFill="1" applyFont="1" applyNumberFormat="1"/>
    <xf borderId="2" fillId="5" fontId="3" numFmtId="0" xfId="0" applyBorder="1" applyFill="1" applyFont="1"/>
    <xf borderId="1" fillId="6" fontId="3" numFmtId="165" xfId="0" applyBorder="1" applyFill="1" applyFont="1" applyNumberFormat="1"/>
    <xf borderId="3" fillId="5" fontId="3" numFmtId="0" xfId="0" applyBorder="1" applyFill="1" applyFont="1"/>
    <xf borderId="0" fillId="0" fontId="3" numFmtId="0" xfId="0" applyFont="1"/>
    <xf borderId="1" fillId="6" fontId="3" numFmtId="9" xfId="0" applyBorder="1" applyFill="1" applyFont="1" applyNumberFormat="1"/>
    <xf borderId="0" fillId="0" fontId="3" numFmtId="164" xfId="0" applyFont="1" applyNumberFormat="1"/>
    <xf borderId="1" fillId="6" fontId="4" numFmtId="40" xfId="0" applyBorder="1" applyFill="1" applyFont="1" applyNumberFormat="1"/>
    <xf borderId="1" fillId="7" fontId="3" numFmtId="0" xfId="0" applyBorder="1" applyFill="1" applyFont="1"/>
    <xf borderId="4" fillId="5" fontId="3" numFmtId="0" xfId="0" applyBorder="1" applyFill="1" applyFont="1"/>
    <xf borderId="5" fillId="5" fontId="3" numFmtId="0" xfId="0" applyBorder="1" applyFill="1" applyFont="1"/>
    <xf borderId="1" fillId="5" fontId="3" numFmtId="164" xfId="0" applyAlignment="1" applyBorder="1" applyFill="1" applyFont="1" applyNumberFormat="1">
      <alignment horizontal="center"/>
    </xf>
    <xf borderId="6" fillId="5" fontId="3" numFmtId="9" xfId="0" applyBorder="1" applyFill="1" applyFont="1" applyNumberFormat="1"/>
    <xf borderId="6" fillId="5" fontId="3" numFmtId="164" xfId="0" applyAlignment="1" applyBorder="1" applyFill="1" applyFont="1" applyNumberFormat="1">
      <alignment horizontal="center"/>
    </xf>
    <xf borderId="1" fillId="4" fontId="3" numFmtId="9" xfId="0" applyBorder="1" applyFill="1" applyFont="1" applyNumberFormat="1"/>
    <xf borderId="5" fillId="4" fontId="3" numFmtId="2" xfId="0" applyBorder="1" applyFill="1" applyFont="1" applyNumberFormat="1"/>
    <xf borderId="1" fillId="4" fontId="3" numFmtId="165" xfId="0" applyBorder="1" applyFill="1" applyFont="1" applyNumberFormat="1"/>
    <xf borderId="7" fillId="5" fontId="3" numFmtId="0" xfId="0" applyBorder="1" applyFill="1" applyFont="1"/>
    <xf borderId="8" fillId="5" fontId="3" numFmtId="0" xfId="0" applyBorder="1" applyFill="1" applyFont="1"/>
    <xf borderId="9" fillId="4" fontId="3" numFmtId="0" xfId="0" applyAlignment="1" applyBorder="1" applyFill="1" applyFont="1">
      <alignment horizontal="center" shrinkToFit="0" wrapText="1"/>
    </xf>
    <xf borderId="10" fillId="4" fontId="3" numFmtId="0" xfId="0" applyBorder="1" applyFill="1" applyFont="1"/>
    <xf borderId="10" fillId="4" fontId="3" numFmtId="164" xfId="0" applyBorder="1" applyFill="1" applyFont="1" applyNumberFormat="1"/>
    <xf borderId="11" fillId="0" fontId="5" numFmtId="0" xfId="0" applyBorder="1" applyFont="1"/>
    <xf borderId="0" fillId="0" fontId="3" numFmtId="9" xfId="0" applyFont="1" applyNumberFormat="1"/>
    <xf borderId="12" fillId="0" fontId="5" numFmtId="0" xfId="0" applyBorder="1" applyFont="1"/>
    <xf borderId="1" fillId="5" fontId="1" numFmtId="0" xfId="0" applyBorder="1" applyFill="1" applyFont="1"/>
    <xf borderId="1" fillId="7" fontId="4" numFmtId="40" xfId="0" applyBorder="1" applyFill="1" applyFont="1" applyNumberFormat="1"/>
    <xf borderId="1" fillId="2" fontId="4" numFmtId="40" xfId="0" applyBorder="1" applyFill="1" applyFont="1" applyNumberFormat="1"/>
    <xf borderId="1" fillId="7" fontId="4" numFmtId="40" xfId="0" applyAlignment="1" applyBorder="1" applyFill="1" applyFont="1" applyNumberFormat="1">
      <alignment readingOrder="0"/>
    </xf>
    <xf borderId="0" fillId="2" fontId="6" numFmtId="0" xfId="0" applyAlignment="1" applyFill="1" applyFont="1">
      <alignment readingOrder="0"/>
    </xf>
    <xf borderId="0" fillId="5" fontId="6" numFmtId="166" xfId="0" applyAlignment="1" applyFill="1" applyFont="1" applyNumberFormat="1">
      <alignment readingOrder="0"/>
    </xf>
    <xf borderId="0" fillId="5" fontId="6" numFmtId="9" xfId="0" applyAlignment="1" applyFill="1" applyFont="1" applyNumberFormat="1">
      <alignment readingOrder="0"/>
    </xf>
    <xf borderId="0" fillId="5" fontId="6" numFmtId="167" xfId="0" applyAlignment="1" applyFill="1" applyFont="1" applyNumberFormat="1">
      <alignment readingOrder="0"/>
    </xf>
    <xf borderId="0" fillId="0" fontId="2" numFmtId="166" xfId="0" applyFont="1" applyNumberFormat="1"/>
    <xf borderId="0" fillId="5" fontId="2" numFmtId="0" xfId="0" applyFill="1" applyFont="1"/>
    <xf borderId="0" fillId="5" fontId="6" numFmtId="168" xfId="0" applyAlignment="1" applyFill="1" applyFont="1" applyNumberFormat="1">
      <alignment readingOrder="0"/>
    </xf>
    <xf borderId="10" fillId="2" fontId="1" numFmtId="0" xfId="0" applyBorder="1" applyFill="1" applyFont="1"/>
    <xf borderId="0" fillId="0" fontId="6" numFmtId="0" xfId="0" applyAlignment="1" applyFont="1">
      <alignment readingOrder="0"/>
    </xf>
    <xf borderId="0" fillId="8" fontId="6" numFmtId="0" xfId="0" applyAlignment="1" applyFill="1" applyFont="1">
      <alignment readingOrder="0"/>
    </xf>
    <xf borderId="10" fillId="5" fontId="3" numFmtId="0" xfId="0" applyBorder="1" applyFill="1" applyFont="1"/>
    <xf borderId="10" fillId="5" fontId="3" numFmtId="165" xfId="0" applyBorder="1" applyFill="1" applyFont="1" applyNumberFormat="1"/>
    <xf borderId="10" fillId="5" fontId="3" numFmtId="9" xfId="0" applyBorder="1" applyFill="1" applyFont="1" applyNumberFormat="1"/>
    <xf borderId="10" fillId="4" fontId="3" numFmtId="165" xfId="0" applyBorder="1" applyFill="1" applyFont="1" applyNumberFormat="1"/>
    <xf borderId="10" fillId="2" fontId="3" numFmtId="0" xfId="0" applyBorder="1" applyFill="1" applyFont="1"/>
    <xf borderId="10" fillId="5" fontId="3" numFmtId="0" xfId="0" applyAlignment="1" applyBorder="1" applyFill="1" applyFont="1">
      <alignment shrinkToFit="0" wrapText="1"/>
    </xf>
    <xf borderId="10" fillId="5" fontId="3" numFmtId="169" xfId="0" applyBorder="1" applyFill="1" applyFont="1" applyNumberFormat="1"/>
    <xf borderId="0" fillId="0" fontId="6" numFmtId="166" xfId="0" applyAlignment="1" applyFont="1" applyNumberFormat="1">
      <alignment readingOrder="0"/>
    </xf>
    <xf borderId="0" fillId="0" fontId="6" numFmtId="9" xfId="0" applyAlignment="1" applyFont="1" applyNumberFormat="1">
      <alignment readingOrder="0"/>
    </xf>
    <xf borderId="10" fillId="9" fontId="3" numFmtId="0" xfId="0" applyBorder="1" applyFill="1" applyFont="1"/>
    <xf borderId="10" fillId="9" fontId="3" numFmtId="0" xfId="0" applyAlignment="1" applyBorder="1" applyFill="1" applyFont="1">
      <alignment shrinkToFit="0" wrapText="1"/>
    </xf>
    <xf borderId="10" fillId="9" fontId="3" numFmtId="169" xfId="0" applyBorder="1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3.0"/>
    <col customWidth="1" min="2" max="14" width="10.63"/>
    <col customWidth="1" min="15" max="15" width="18.0"/>
    <col customWidth="1" min="16" max="16" width="48.88"/>
    <col customWidth="1" min="17" max="26" width="10.63"/>
  </cols>
  <sheetData>
    <row r="1" ht="14.25" customHeight="1">
      <c r="A1" s="2" t="s">
        <v>2</v>
      </c>
    </row>
    <row r="2" ht="14.25" customHeight="1">
      <c r="B2" s="6">
        <v>2025.0</v>
      </c>
      <c r="C2" s="6">
        <f t="shared" ref="C2:L2" si="1">B2+1</f>
        <v>2026</v>
      </c>
      <c r="D2" s="6">
        <f t="shared" si="1"/>
        <v>2027</v>
      </c>
      <c r="E2" s="6">
        <f t="shared" si="1"/>
        <v>2028</v>
      </c>
      <c r="F2" s="6">
        <f t="shared" si="1"/>
        <v>2029</v>
      </c>
      <c r="G2" s="6">
        <f t="shared" si="1"/>
        <v>2030</v>
      </c>
      <c r="H2" s="6">
        <f t="shared" si="1"/>
        <v>2031</v>
      </c>
      <c r="I2" s="6">
        <f t="shared" si="1"/>
        <v>2032</v>
      </c>
      <c r="J2" s="6">
        <f t="shared" si="1"/>
        <v>2033</v>
      </c>
      <c r="K2" s="6">
        <f t="shared" si="1"/>
        <v>2034</v>
      </c>
      <c r="L2" s="6">
        <f t="shared" si="1"/>
        <v>2035</v>
      </c>
      <c r="N2" s="10"/>
      <c r="O2" s="2" t="s">
        <v>27</v>
      </c>
    </row>
    <row r="3" ht="14.25" customHeight="1">
      <c r="A3" s="2" t="s">
        <v>29</v>
      </c>
      <c r="B3" s="10">
        <v>16.66</v>
      </c>
      <c r="C3" s="10">
        <v>9.35</v>
      </c>
      <c r="D3" s="10">
        <v>9.95</v>
      </c>
      <c r="E3" s="10">
        <v>10.45</v>
      </c>
      <c r="F3" s="10">
        <v>11.2</v>
      </c>
      <c r="G3" s="10">
        <v>12.0</v>
      </c>
      <c r="H3" s="10">
        <v>12.3</v>
      </c>
      <c r="I3" s="10">
        <v>12.3</v>
      </c>
      <c r="J3" s="10">
        <v>12.3</v>
      </c>
      <c r="K3" s="10">
        <v>12.3</v>
      </c>
      <c r="L3" s="10">
        <v>12.3</v>
      </c>
      <c r="N3" s="23"/>
      <c r="O3" s="2" t="s">
        <v>37</v>
      </c>
      <c r="P3" s="2" t="s">
        <v>38</v>
      </c>
    </row>
    <row r="4" ht="14.25" customHeight="1">
      <c r="A4" s="2" t="s">
        <v>39</v>
      </c>
      <c r="B4" s="10">
        <v>0.16</v>
      </c>
      <c r="C4" s="10">
        <v>0.3</v>
      </c>
      <c r="D4" s="10">
        <v>0.28</v>
      </c>
      <c r="E4" s="10">
        <v>0.21</v>
      </c>
      <c r="F4" s="10">
        <v>0.18</v>
      </c>
      <c r="G4" s="10">
        <v>0.16</v>
      </c>
      <c r="H4" s="10">
        <v>0.15</v>
      </c>
      <c r="I4" s="10">
        <v>0.15</v>
      </c>
      <c r="J4" s="10">
        <v>0.15</v>
      </c>
      <c r="K4" s="10">
        <v>0.15</v>
      </c>
      <c r="L4" s="10">
        <v>0.15</v>
      </c>
      <c r="N4" s="5"/>
      <c r="O4" s="2" t="s">
        <v>47</v>
      </c>
    </row>
    <row r="5" ht="14.25" customHeight="1">
      <c r="A5" s="2" t="s">
        <v>48</v>
      </c>
      <c r="B5" s="10">
        <v>0.28</v>
      </c>
      <c r="C5" s="10">
        <v>0.28</v>
      </c>
      <c r="D5" s="10">
        <v>0.27</v>
      </c>
      <c r="E5" s="10">
        <v>0.27</v>
      </c>
      <c r="F5" s="10">
        <v>0.28</v>
      </c>
      <c r="G5" s="10">
        <v>0.24</v>
      </c>
      <c r="H5" s="10">
        <v>0.25</v>
      </c>
      <c r="I5" s="10">
        <v>0.25</v>
      </c>
      <c r="J5" s="10">
        <v>0.25</v>
      </c>
      <c r="K5" s="10">
        <v>0.25</v>
      </c>
      <c r="L5" s="10">
        <v>0.25</v>
      </c>
    </row>
    <row r="6" ht="14.25" customHeight="1">
      <c r="A6" s="2" t="s">
        <v>52</v>
      </c>
      <c r="B6" s="10">
        <v>0.332</v>
      </c>
      <c r="C6" s="10">
        <v>0.287</v>
      </c>
      <c r="D6" s="10">
        <v>0.28</v>
      </c>
      <c r="E6" s="10">
        <v>0.283</v>
      </c>
      <c r="F6" s="10">
        <v>0.272</v>
      </c>
      <c r="G6" s="10">
        <v>0.27</v>
      </c>
      <c r="H6" s="10">
        <v>0.268</v>
      </c>
      <c r="I6" s="10">
        <v>0.268</v>
      </c>
      <c r="J6" s="10">
        <v>0.26</v>
      </c>
      <c r="K6" s="10">
        <v>0.268</v>
      </c>
      <c r="L6" s="10">
        <v>0.26</v>
      </c>
    </row>
    <row r="7" ht="14.25" customHeight="1">
      <c r="A7" s="2" t="s">
        <v>55</v>
      </c>
      <c r="B7" s="10">
        <v>0.077</v>
      </c>
      <c r="C7" s="10">
        <v>0.079</v>
      </c>
      <c r="D7" s="10">
        <v>0.076</v>
      </c>
      <c r="E7" s="10">
        <v>0.072</v>
      </c>
      <c r="F7" s="10">
        <v>0.0685</v>
      </c>
      <c r="G7" s="10">
        <v>0.069</v>
      </c>
      <c r="H7" s="10">
        <v>0.073</v>
      </c>
      <c r="I7" s="10">
        <v>0.073</v>
      </c>
      <c r="J7" s="10">
        <v>0.073</v>
      </c>
      <c r="K7" s="10">
        <v>0.073</v>
      </c>
      <c r="L7" s="10">
        <v>0.073</v>
      </c>
    </row>
    <row r="8" ht="14.25" customHeight="1"/>
    <row r="9" ht="14.25" customHeight="1"/>
    <row r="10" ht="14.25" customHeight="1"/>
    <row r="11" ht="14.25" customHeight="1">
      <c r="B11" s="6">
        <v>2025.0</v>
      </c>
      <c r="C11" s="6">
        <f t="shared" ref="C11:L11" si="2">B11+1</f>
        <v>2026</v>
      </c>
      <c r="D11" s="6">
        <f t="shared" si="2"/>
        <v>2027</v>
      </c>
      <c r="E11" s="6">
        <f t="shared" si="2"/>
        <v>2028</v>
      </c>
      <c r="F11" s="6">
        <f t="shared" si="2"/>
        <v>2029</v>
      </c>
      <c r="G11" s="6">
        <f t="shared" si="2"/>
        <v>2030</v>
      </c>
      <c r="H11" s="6">
        <f t="shared" si="2"/>
        <v>2031</v>
      </c>
      <c r="I11" s="6">
        <f t="shared" si="2"/>
        <v>2032</v>
      </c>
      <c r="J11" s="6">
        <f t="shared" si="2"/>
        <v>2033</v>
      </c>
      <c r="K11" s="6">
        <f t="shared" si="2"/>
        <v>2034</v>
      </c>
      <c r="L11" s="6">
        <f t="shared" si="2"/>
        <v>2035</v>
      </c>
    </row>
    <row r="12" ht="14.25" customHeight="1">
      <c r="A12" s="2" t="s">
        <v>72</v>
      </c>
      <c r="B12" s="10">
        <v>0.043</v>
      </c>
      <c r="C12" s="10">
        <v>0.034</v>
      </c>
      <c r="D12" s="10">
        <v>0.034</v>
      </c>
      <c r="E12" s="10">
        <v>0.034</v>
      </c>
      <c r="F12" s="10">
        <v>0.034</v>
      </c>
      <c r="G12" s="10">
        <v>0.034</v>
      </c>
      <c r="H12" s="10">
        <v>0.034</v>
      </c>
      <c r="I12" s="10">
        <v>0.034</v>
      </c>
      <c r="J12" s="10">
        <v>0.034</v>
      </c>
      <c r="K12" s="10">
        <v>0.034</v>
      </c>
      <c r="L12" s="10">
        <v>0.034</v>
      </c>
    </row>
    <row r="13" ht="14.25" customHeight="1">
      <c r="A13" s="2" t="s">
        <v>73</v>
      </c>
      <c r="B13" s="40">
        <v>0.34</v>
      </c>
      <c r="C13" s="10">
        <v>0.34</v>
      </c>
      <c r="D13" s="10">
        <v>0.34</v>
      </c>
      <c r="E13" s="10">
        <v>0.34</v>
      </c>
      <c r="F13" s="10">
        <v>0.34</v>
      </c>
      <c r="G13" s="10">
        <v>0.34</v>
      </c>
      <c r="H13" s="10">
        <v>0.34</v>
      </c>
      <c r="I13" s="10">
        <v>0.34</v>
      </c>
      <c r="J13" s="10">
        <v>0.34</v>
      </c>
      <c r="K13" s="10">
        <v>0.34</v>
      </c>
      <c r="L13" s="10">
        <v>0.34</v>
      </c>
    </row>
    <row r="14" ht="14.25" customHeight="1">
      <c r="A14" s="2" t="s">
        <v>74</v>
      </c>
      <c r="B14" s="10">
        <v>1.8</v>
      </c>
      <c r="C14" s="10">
        <v>1.8</v>
      </c>
      <c r="D14" s="10">
        <v>1.8</v>
      </c>
      <c r="E14" s="10">
        <v>1.8</v>
      </c>
      <c r="F14" s="10">
        <v>1.8</v>
      </c>
      <c r="G14" s="10">
        <v>1.8</v>
      </c>
      <c r="H14" s="10">
        <v>1.8</v>
      </c>
      <c r="I14" s="10">
        <v>1.8</v>
      </c>
      <c r="J14" s="10">
        <v>1.8</v>
      </c>
      <c r="K14" s="10">
        <v>1.8</v>
      </c>
      <c r="L14" s="10">
        <v>1.8</v>
      </c>
    </row>
    <row r="15" ht="14.25" customHeight="1">
      <c r="A15" s="2" t="s">
        <v>75</v>
      </c>
      <c r="B15" s="10">
        <v>0.1</v>
      </c>
      <c r="C15" s="10">
        <v>0.1</v>
      </c>
      <c r="D15" s="10">
        <v>0.1</v>
      </c>
      <c r="E15" s="10">
        <v>0.1</v>
      </c>
      <c r="F15" s="10">
        <v>0.1</v>
      </c>
      <c r="G15" s="10">
        <v>0.1</v>
      </c>
      <c r="H15" s="10">
        <v>0.1</v>
      </c>
      <c r="I15" s="10">
        <v>0.1</v>
      </c>
      <c r="J15" s="10">
        <v>0.1</v>
      </c>
      <c r="K15" s="10">
        <v>0.1</v>
      </c>
      <c r="L15" s="10">
        <v>0.1</v>
      </c>
    </row>
    <row r="16" ht="14.25" customHeight="1">
      <c r="A16" s="2" t="s">
        <v>77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ht="14.25" customHeight="1"/>
    <row r="18" ht="14.25" customHeight="1"/>
    <row r="19" ht="14.25" customHeight="1">
      <c r="A19" s="2" t="s">
        <v>79</v>
      </c>
      <c r="B19" s="6">
        <v>2025.0</v>
      </c>
      <c r="C19" s="6">
        <f t="shared" ref="C19:L19" si="3">B19+1</f>
        <v>2026</v>
      </c>
      <c r="D19" s="6">
        <f t="shared" si="3"/>
        <v>2027</v>
      </c>
      <c r="E19" s="6">
        <f t="shared" si="3"/>
        <v>2028</v>
      </c>
      <c r="F19" s="6">
        <f t="shared" si="3"/>
        <v>2029</v>
      </c>
      <c r="G19" s="6">
        <f t="shared" si="3"/>
        <v>2030</v>
      </c>
      <c r="H19" s="6">
        <f t="shared" si="3"/>
        <v>2031</v>
      </c>
      <c r="I19" s="6">
        <f t="shared" si="3"/>
        <v>2032</v>
      </c>
      <c r="J19" s="6">
        <f t="shared" si="3"/>
        <v>2033</v>
      </c>
      <c r="K19" s="6">
        <f t="shared" si="3"/>
        <v>2034</v>
      </c>
      <c r="L19" s="6">
        <f t="shared" si="3"/>
        <v>2035</v>
      </c>
    </row>
    <row r="20" ht="14.25" customHeight="1">
      <c r="A20" s="2" t="s">
        <v>82</v>
      </c>
      <c r="B20" s="10">
        <v>0.2</v>
      </c>
      <c r="C20" s="10">
        <v>0.2</v>
      </c>
      <c r="D20" s="10">
        <v>0.2</v>
      </c>
      <c r="E20" s="10">
        <v>0.2</v>
      </c>
      <c r="F20" s="10">
        <v>0.2</v>
      </c>
      <c r="G20" s="10">
        <v>0.2</v>
      </c>
      <c r="H20" s="10">
        <v>0.2</v>
      </c>
      <c r="I20" s="10">
        <v>0.2</v>
      </c>
      <c r="J20" s="10">
        <v>0.2</v>
      </c>
      <c r="K20" s="10">
        <v>0.2</v>
      </c>
      <c r="L20" s="10">
        <v>0.2</v>
      </c>
    </row>
    <row r="21" ht="14.25" customHeight="1">
      <c r="A21" s="2" t="s">
        <v>84</v>
      </c>
      <c r="B21" s="10">
        <v>0.2</v>
      </c>
      <c r="C21" s="10">
        <v>0.2</v>
      </c>
      <c r="D21" s="10">
        <v>0.2</v>
      </c>
      <c r="E21" s="10">
        <v>0.2</v>
      </c>
      <c r="F21" s="10">
        <v>0.2</v>
      </c>
      <c r="G21" s="10">
        <v>0.2</v>
      </c>
      <c r="H21" s="10">
        <v>0.2</v>
      </c>
      <c r="I21" s="10">
        <v>0.2</v>
      </c>
      <c r="J21" s="10">
        <v>0.2</v>
      </c>
      <c r="K21" s="10">
        <v>0.2</v>
      </c>
      <c r="L21" s="10">
        <v>0.2</v>
      </c>
    </row>
    <row r="22" ht="14.25" customHeight="1">
      <c r="A22" s="2" t="s">
        <v>86</v>
      </c>
      <c r="B22" s="10">
        <v>0.03</v>
      </c>
      <c r="C22" s="10">
        <v>0.03</v>
      </c>
      <c r="D22" s="10">
        <v>0.03</v>
      </c>
      <c r="E22" s="10">
        <v>0.03</v>
      </c>
      <c r="F22" s="10">
        <v>0.03</v>
      </c>
      <c r="G22" s="10">
        <v>0.03</v>
      </c>
      <c r="H22" s="10">
        <v>0.03</v>
      </c>
      <c r="I22" s="10">
        <v>0.03</v>
      </c>
      <c r="J22" s="10">
        <v>0.03</v>
      </c>
      <c r="K22" s="10">
        <v>0.03</v>
      </c>
      <c r="L22" s="10">
        <v>0.03</v>
      </c>
    </row>
    <row r="23" ht="14.25" customHeight="1">
      <c r="A23" s="2" t="s">
        <v>87</v>
      </c>
      <c r="B23" s="10">
        <v>0.15</v>
      </c>
      <c r="C23" s="10">
        <v>0.1</v>
      </c>
      <c r="D23" s="10">
        <v>0.1</v>
      </c>
      <c r="E23" s="10">
        <v>0.1</v>
      </c>
      <c r="F23" s="10">
        <v>0.1</v>
      </c>
      <c r="G23" s="10">
        <v>0.05</v>
      </c>
      <c r="H23" s="10">
        <v>0.05</v>
      </c>
      <c r="I23" s="10">
        <v>0.05</v>
      </c>
      <c r="J23" s="10">
        <v>0.05</v>
      </c>
      <c r="K23" s="10">
        <v>0.05</v>
      </c>
      <c r="L23" s="10">
        <v>0.05</v>
      </c>
    </row>
    <row r="24" ht="14.25" customHeight="1">
      <c r="A24" s="2" t="s">
        <v>88</v>
      </c>
      <c r="B24" s="10">
        <v>0.05</v>
      </c>
      <c r="C24" s="10">
        <v>0.05</v>
      </c>
      <c r="D24" s="10">
        <v>0.05</v>
      </c>
      <c r="E24" s="10">
        <v>0.05</v>
      </c>
      <c r="F24" s="10">
        <v>0.05</v>
      </c>
      <c r="G24" s="10">
        <v>0.05</v>
      </c>
      <c r="H24" s="10">
        <v>0.05</v>
      </c>
      <c r="I24" s="10">
        <v>0.05</v>
      </c>
      <c r="J24" s="10">
        <v>0.05</v>
      </c>
      <c r="K24" s="10">
        <v>0.05</v>
      </c>
      <c r="L24" s="10">
        <v>0.05</v>
      </c>
    </row>
    <row r="25" ht="14.25" customHeight="1">
      <c r="A25" s="2" t="s">
        <v>89</v>
      </c>
      <c r="B25" s="10">
        <v>0.002</v>
      </c>
      <c r="C25" s="10">
        <v>0.002</v>
      </c>
      <c r="D25" s="10">
        <v>0.002</v>
      </c>
      <c r="E25" s="10">
        <v>0.002</v>
      </c>
      <c r="F25" s="10">
        <v>0.002</v>
      </c>
      <c r="G25" s="10">
        <v>0.002</v>
      </c>
      <c r="H25" s="10">
        <v>0.002</v>
      </c>
      <c r="I25" s="10">
        <v>0.002</v>
      </c>
      <c r="J25" s="10">
        <v>0.002</v>
      </c>
      <c r="K25" s="10">
        <v>0.002</v>
      </c>
      <c r="L25" s="10">
        <v>0.002</v>
      </c>
    </row>
    <row r="26" ht="14.25" customHeight="1">
      <c r="A26" s="2" t="s">
        <v>90</v>
      </c>
      <c r="B26" s="10">
        <v>0.005</v>
      </c>
      <c r="C26" s="10">
        <v>0.005</v>
      </c>
      <c r="D26" s="10">
        <v>0.005</v>
      </c>
      <c r="E26" s="10">
        <v>0.005</v>
      </c>
      <c r="F26" s="10">
        <v>0.005</v>
      </c>
      <c r="G26" s="10">
        <v>0.005</v>
      </c>
      <c r="H26" s="10">
        <v>0.005</v>
      </c>
      <c r="I26" s="10">
        <v>0.005</v>
      </c>
      <c r="J26" s="10">
        <v>0.005</v>
      </c>
      <c r="K26" s="10">
        <v>0.005</v>
      </c>
      <c r="L26" s="10">
        <v>0.005</v>
      </c>
    </row>
    <row r="27" ht="14.25" customHeight="1">
      <c r="A27" s="2" t="s">
        <v>95</v>
      </c>
      <c r="B27" s="10">
        <v>0.05</v>
      </c>
      <c r="C27" s="10">
        <v>0.05</v>
      </c>
      <c r="D27" s="10">
        <v>0.05</v>
      </c>
      <c r="E27" s="10">
        <v>0.05</v>
      </c>
      <c r="F27" s="10">
        <v>0.05</v>
      </c>
      <c r="G27" s="10">
        <v>0.05</v>
      </c>
      <c r="H27" s="10">
        <v>0.05</v>
      </c>
      <c r="I27" s="10">
        <v>0.05</v>
      </c>
      <c r="J27" s="10">
        <v>0.05</v>
      </c>
      <c r="K27" s="10">
        <v>0.05</v>
      </c>
      <c r="L27" s="10">
        <v>0.05</v>
      </c>
    </row>
    <row r="28" ht="14.25" customHeight="1">
      <c r="A28" s="2" t="s">
        <v>106</v>
      </c>
      <c r="B28" s="10">
        <v>0.1</v>
      </c>
      <c r="C28" s="10">
        <v>0.1</v>
      </c>
      <c r="D28" s="10">
        <v>0.1</v>
      </c>
      <c r="E28" s="10">
        <v>0.1</v>
      </c>
      <c r="F28" s="10">
        <v>0.1</v>
      </c>
      <c r="G28" s="10">
        <v>0.1</v>
      </c>
      <c r="H28" s="10">
        <v>0.1</v>
      </c>
      <c r="I28" s="10">
        <v>0.1</v>
      </c>
      <c r="J28" s="10">
        <v>0.1</v>
      </c>
      <c r="K28" s="10">
        <v>0.1</v>
      </c>
      <c r="L28" s="10">
        <v>0.1</v>
      </c>
    </row>
    <row r="29" ht="14.25" customHeight="1">
      <c r="A29" s="2" t="s">
        <v>107</v>
      </c>
      <c r="B29" s="10">
        <v>0.2</v>
      </c>
      <c r="C29" s="10">
        <v>0.2</v>
      </c>
      <c r="D29" s="10">
        <v>0.2</v>
      </c>
      <c r="E29" s="10">
        <v>0.2</v>
      </c>
      <c r="F29" s="10">
        <v>0.2</v>
      </c>
      <c r="G29" s="10">
        <v>0.2</v>
      </c>
      <c r="H29" s="10">
        <v>0.2</v>
      </c>
      <c r="I29" s="10">
        <v>0.2</v>
      </c>
      <c r="J29" s="10">
        <v>0.2</v>
      </c>
      <c r="K29" s="10">
        <v>0.2</v>
      </c>
      <c r="L29" s="10">
        <v>0.2</v>
      </c>
    </row>
    <row r="30" ht="14.25" customHeight="1">
      <c r="A30" s="2" t="s">
        <v>109</v>
      </c>
      <c r="B30" s="10">
        <v>0.085</v>
      </c>
      <c r="C30" s="10">
        <v>0.085</v>
      </c>
      <c r="D30" s="10">
        <v>0.085</v>
      </c>
      <c r="E30" s="10">
        <v>0.085</v>
      </c>
      <c r="F30" s="10">
        <v>0.085</v>
      </c>
      <c r="G30" s="10">
        <v>0.085</v>
      </c>
      <c r="H30" s="10">
        <v>0.085</v>
      </c>
      <c r="I30" s="10">
        <v>0.085</v>
      </c>
      <c r="J30" s="10">
        <v>0.085</v>
      </c>
      <c r="K30" s="10">
        <v>0.085</v>
      </c>
      <c r="L30" s="10">
        <v>0.085</v>
      </c>
    </row>
    <row r="31" ht="14.25" customHeight="1"/>
    <row r="32" ht="14.25" customHeight="1">
      <c r="A32" s="52" t="s">
        <v>114</v>
      </c>
      <c r="B32" s="53">
        <v>60.0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63"/>
    <col customWidth="1" min="2" max="3" width="10.63"/>
    <col customWidth="1" min="4" max="4" width="2.5"/>
    <col customWidth="1" min="5" max="5" width="10.63"/>
    <col customWidth="1" min="6" max="6" width="13.75"/>
    <col customWidth="1" min="7" max="7" width="2.38"/>
    <col customWidth="1" min="8" max="26" width="10.63"/>
  </cols>
  <sheetData>
    <row r="1" ht="14.25" customHeight="1">
      <c r="A1" s="1" t="s">
        <v>0</v>
      </c>
      <c r="B1" s="1" t="s">
        <v>1</v>
      </c>
      <c r="C1" s="1" t="s">
        <v>3</v>
      </c>
      <c r="E1" s="1" t="s">
        <v>4</v>
      </c>
      <c r="F1" s="1" t="s">
        <v>6</v>
      </c>
      <c r="H1" s="3" t="s">
        <v>8</v>
      </c>
      <c r="I1" s="3" t="s">
        <v>6</v>
      </c>
    </row>
    <row r="2" ht="14.25" customHeight="1">
      <c r="A2" s="5" t="s">
        <v>9</v>
      </c>
      <c r="B2" s="8">
        <v>0.08</v>
      </c>
      <c r="C2" s="9" t="s">
        <v>16</v>
      </c>
      <c r="E2" s="10">
        <v>2023.0</v>
      </c>
      <c r="F2" s="11">
        <v>70000.0</v>
      </c>
      <c r="H2" s="12">
        <v>2025.0</v>
      </c>
      <c r="I2" s="15">
        <f>SUM(C2:C13)</f>
        <v>16000</v>
      </c>
    </row>
    <row r="3" ht="14.25" customHeight="1">
      <c r="A3" s="5" t="s">
        <v>24</v>
      </c>
      <c r="B3" s="8">
        <v>0.06</v>
      </c>
      <c r="C3" s="9" t="s">
        <v>16</v>
      </c>
      <c r="E3" s="10">
        <v>2024.0</v>
      </c>
      <c r="F3" s="11">
        <v>66800.0</v>
      </c>
      <c r="H3" s="19"/>
      <c r="I3" s="21"/>
    </row>
    <row r="4" ht="14.25" customHeight="1">
      <c r="A4" s="5" t="s">
        <v>30</v>
      </c>
      <c r="B4" s="8">
        <v>0.05</v>
      </c>
      <c r="C4" s="9" t="s">
        <v>16</v>
      </c>
      <c r="H4" s="19"/>
      <c r="I4" s="21"/>
    </row>
    <row r="5" ht="14.25" customHeight="1">
      <c r="A5" s="5" t="s">
        <v>32</v>
      </c>
      <c r="B5" s="8">
        <v>0.05</v>
      </c>
      <c r="C5" s="9" t="s">
        <v>16</v>
      </c>
      <c r="H5" s="19"/>
      <c r="I5" s="21"/>
    </row>
    <row r="6" ht="14.25" customHeight="1">
      <c r="A6" s="5" t="s">
        <v>33</v>
      </c>
      <c r="B6" s="8">
        <v>0.06</v>
      </c>
      <c r="C6" s="9" t="s">
        <v>16</v>
      </c>
      <c r="H6" s="19"/>
      <c r="I6" s="21"/>
    </row>
    <row r="7" ht="14.25" customHeight="1">
      <c r="A7" s="5" t="s">
        <v>34</v>
      </c>
      <c r="B7" s="8">
        <v>0.07</v>
      </c>
      <c r="C7" s="9" t="s">
        <v>16</v>
      </c>
      <c r="H7" s="19"/>
      <c r="I7" s="21"/>
    </row>
    <row r="8" ht="14.25" customHeight="1">
      <c r="A8" s="5" t="s">
        <v>35</v>
      </c>
      <c r="B8" s="8">
        <v>0.07</v>
      </c>
      <c r="C8" s="9" t="s">
        <v>16</v>
      </c>
      <c r="H8" s="19"/>
      <c r="I8" s="21"/>
    </row>
    <row r="9" ht="14.25" customHeight="1">
      <c r="A9" s="5" t="s">
        <v>40</v>
      </c>
      <c r="B9" s="8">
        <v>0.08</v>
      </c>
      <c r="C9" s="9" t="s">
        <v>16</v>
      </c>
      <c r="H9" s="19"/>
      <c r="I9" s="21"/>
    </row>
    <row r="10" ht="14.25" customHeight="1">
      <c r="A10" s="5" t="s">
        <v>43</v>
      </c>
      <c r="B10" s="8">
        <v>0.11</v>
      </c>
      <c r="C10" s="9" t="s">
        <v>16</v>
      </c>
      <c r="H10" s="19"/>
      <c r="I10" s="21"/>
    </row>
    <row r="11" ht="14.25" customHeight="1">
      <c r="A11" s="5" t="s">
        <v>44</v>
      </c>
      <c r="B11" s="8">
        <v>0.06</v>
      </c>
      <c r="C11" s="26">
        <v>2000.0</v>
      </c>
      <c r="H11" s="19"/>
      <c r="I11" s="21"/>
    </row>
    <row r="12" ht="14.25" customHeight="1">
      <c r="A12" s="5" t="s">
        <v>45</v>
      </c>
      <c r="B12" s="8">
        <v>0.13</v>
      </c>
      <c r="C12" s="26">
        <v>6000.0</v>
      </c>
      <c r="H12" s="19"/>
      <c r="I12" s="19"/>
    </row>
    <row r="13" ht="14.25" customHeight="1">
      <c r="A13" s="5" t="s">
        <v>46</v>
      </c>
      <c r="B13" s="27">
        <v>0.18</v>
      </c>
      <c r="C13" s="28">
        <v>8000.0</v>
      </c>
    </row>
    <row r="14" ht="14.25" customHeight="1">
      <c r="A14" s="5" t="s">
        <v>6</v>
      </c>
      <c r="B14" s="29">
        <f>SUM(B2:B13)</f>
        <v>1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13"/>
    <col customWidth="1" min="2" max="3" width="10.63"/>
    <col customWidth="1" min="4" max="4" width="18.13"/>
    <col customWidth="1" min="5" max="5" width="19.63"/>
    <col customWidth="1" min="6" max="6" width="17.38"/>
    <col customWidth="1" min="7" max="7" width="10.5"/>
    <col customWidth="1" min="8" max="8" width="10.63"/>
    <col customWidth="1" min="9" max="9" width="22.5"/>
    <col customWidth="1" min="10" max="26" width="10.63"/>
  </cols>
  <sheetData>
    <row r="1" ht="30.0" customHeight="1">
      <c r="A1" s="4" t="s">
        <v>7</v>
      </c>
      <c r="B1" s="4">
        <v>2025.0</v>
      </c>
      <c r="D1" s="7" t="s">
        <v>10</v>
      </c>
      <c r="E1" s="7" t="s">
        <v>11</v>
      </c>
      <c r="F1" s="7" t="s">
        <v>12</v>
      </c>
      <c r="G1" s="7" t="s">
        <v>14</v>
      </c>
      <c r="H1" s="7" t="s">
        <v>15</v>
      </c>
      <c r="I1" s="4">
        <v>2025.0</v>
      </c>
      <c r="J1" s="4">
        <f t="shared" ref="J1:S1" si="1">I1+1</f>
        <v>2026</v>
      </c>
      <c r="K1" s="4">
        <f t="shared" si="1"/>
        <v>2027</v>
      </c>
      <c r="L1" s="4">
        <f t="shared" si="1"/>
        <v>2028</v>
      </c>
      <c r="M1" s="4">
        <f t="shared" si="1"/>
        <v>2029</v>
      </c>
      <c r="N1" s="4">
        <f t="shared" si="1"/>
        <v>2030</v>
      </c>
      <c r="O1" s="4">
        <f t="shared" si="1"/>
        <v>2031</v>
      </c>
      <c r="P1" s="4">
        <f t="shared" si="1"/>
        <v>2032</v>
      </c>
      <c r="Q1" s="4">
        <f t="shared" si="1"/>
        <v>2033</v>
      </c>
      <c r="R1" s="4">
        <f t="shared" si="1"/>
        <v>2034</v>
      </c>
      <c r="S1" s="4">
        <f t="shared" si="1"/>
        <v>2035</v>
      </c>
    </row>
    <row r="2" ht="14.25" customHeight="1">
      <c r="A2" s="16" t="s">
        <v>25</v>
      </c>
      <c r="B2" s="18">
        <v>0.8</v>
      </c>
      <c r="D2" s="14" t="s">
        <v>26</v>
      </c>
      <c r="E2" s="14" t="s">
        <v>28</v>
      </c>
      <c r="F2" s="14">
        <v>60.0</v>
      </c>
      <c r="G2" s="14">
        <v>6.0</v>
      </c>
      <c r="H2" s="14">
        <f t="shared" ref="H2:H5" si="2">F2/G2</f>
        <v>10</v>
      </c>
      <c r="I2" s="22">
        <v>2800000.0</v>
      </c>
      <c r="J2" s="22">
        <v>2800000.0</v>
      </c>
      <c r="K2" s="22">
        <v>2800000.0</v>
      </c>
      <c r="L2" s="22">
        <v>2800000.0</v>
      </c>
      <c r="M2" s="22">
        <v>2800000.0</v>
      </c>
      <c r="N2" s="22">
        <v>2800000.0</v>
      </c>
      <c r="O2" s="22">
        <v>2800000.0</v>
      </c>
      <c r="P2" s="22">
        <v>2800000.0</v>
      </c>
      <c r="Q2" s="22">
        <v>2800000.0</v>
      </c>
      <c r="R2" s="22">
        <v>2800000.0</v>
      </c>
      <c r="S2" s="22">
        <v>2800000.0</v>
      </c>
    </row>
    <row r="3" ht="14.25" customHeight="1">
      <c r="A3" s="24" t="s">
        <v>36</v>
      </c>
      <c r="B3" s="25">
        <v>420.0</v>
      </c>
      <c r="D3" s="22" t="s">
        <v>41</v>
      </c>
      <c r="E3" s="14" t="s">
        <v>42</v>
      </c>
      <c r="F3" s="14">
        <v>12.0</v>
      </c>
      <c r="G3" s="14">
        <v>1.0</v>
      </c>
      <c r="H3" s="14">
        <f t="shared" si="2"/>
        <v>12</v>
      </c>
      <c r="I3" s="22">
        <v>2400000.0</v>
      </c>
      <c r="J3" s="22">
        <f t="shared" ref="J3:S3" si="3">I3</f>
        <v>2400000</v>
      </c>
      <c r="K3" s="22">
        <f t="shared" si="3"/>
        <v>2400000</v>
      </c>
      <c r="L3" s="22">
        <f t="shared" si="3"/>
        <v>2400000</v>
      </c>
      <c r="M3" s="22">
        <f t="shared" si="3"/>
        <v>2400000</v>
      </c>
      <c r="N3" s="22">
        <f t="shared" si="3"/>
        <v>2400000</v>
      </c>
      <c r="O3" s="22">
        <f t="shared" si="3"/>
        <v>2400000</v>
      </c>
      <c r="P3" s="22">
        <f t="shared" si="3"/>
        <v>2400000</v>
      </c>
      <c r="Q3" s="22">
        <f t="shared" si="3"/>
        <v>2400000</v>
      </c>
      <c r="R3" s="22">
        <f t="shared" si="3"/>
        <v>2400000</v>
      </c>
      <c r="S3" s="22">
        <f t="shared" si="3"/>
        <v>2400000</v>
      </c>
    </row>
    <row r="4" ht="14.25" customHeight="1">
      <c r="A4" s="24" t="s">
        <v>49</v>
      </c>
      <c r="B4" s="30">
        <f>3600/B3</f>
        <v>8.571428571</v>
      </c>
      <c r="D4" s="22" t="s">
        <v>50</v>
      </c>
      <c r="E4" s="14" t="s">
        <v>51</v>
      </c>
      <c r="F4" s="14">
        <v>12.0</v>
      </c>
      <c r="G4" s="14">
        <v>1.0</v>
      </c>
      <c r="H4" s="14">
        <f t="shared" si="2"/>
        <v>12</v>
      </c>
      <c r="I4" s="22">
        <v>2000000.0</v>
      </c>
      <c r="J4" s="22">
        <f t="shared" ref="J4:S4" si="4">I4</f>
        <v>2000000</v>
      </c>
      <c r="K4" s="22">
        <f t="shared" si="4"/>
        <v>2000000</v>
      </c>
      <c r="L4" s="22">
        <f t="shared" si="4"/>
        <v>2000000</v>
      </c>
      <c r="M4" s="22">
        <f t="shared" si="4"/>
        <v>2000000</v>
      </c>
      <c r="N4" s="22">
        <f t="shared" si="4"/>
        <v>2000000</v>
      </c>
      <c r="O4" s="22">
        <f t="shared" si="4"/>
        <v>2000000</v>
      </c>
      <c r="P4" s="22">
        <f t="shared" si="4"/>
        <v>2000000</v>
      </c>
      <c r="Q4" s="22">
        <f t="shared" si="4"/>
        <v>2000000</v>
      </c>
      <c r="R4" s="22">
        <f t="shared" si="4"/>
        <v>2000000</v>
      </c>
      <c r="S4" s="22">
        <f t="shared" si="4"/>
        <v>2000000</v>
      </c>
    </row>
    <row r="5" ht="14.25" customHeight="1">
      <c r="A5" s="24" t="s">
        <v>56</v>
      </c>
      <c r="B5" s="25">
        <v>7.5</v>
      </c>
      <c r="D5" s="22" t="s">
        <v>57</v>
      </c>
      <c r="E5" s="14" t="s">
        <v>58</v>
      </c>
      <c r="F5" s="14">
        <v>120.0</v>
      </c>
      <c r="G5" s="14">
        <v>3.0</v>
      </c>
      <c r="H5" s="14">
        <f t="shared" si="2"/>
        <v>40</v>
      </c>
      <c r="I5" s="22">
        <v>112000.0</v>
      </c>
      <c r="J5" s="22">
        <f t="shared" ref="J5:S5" si="5">I5</f>
        <v>112000</v>
      </c>
      <c r="K5" s="22">
        <f t="shared" si="5"/>
        <v>112000</v>
      </c>
      <c r="L5" s="22">
        <f t="shared" si="5"/>
        <v>112000</v>
      </c>
      <c r="M5" s="22">
        <f t="shared" si="5"/>
        <v>112000</v>
      </c>
      <c r="N5" s="22">
        <f t="shared" si="5"/>
        <v>112000</v>
      </c>
      <c r="O5" s="22">
        <f t="shared" si="5"/>
        <v>112000</v>
      </c>
      <c r="P5" s="22">
        <f t="shared" si="5"/>
        <v>112000</v>
      </c>
      <c r="Q5" s="22">
        <f t="shared" si="5"/>
        <v>112000</v>
      </c>
      <c r="R5" s="22">
        <f t="shared" si="5"/>
        <v>112000</v>
      </c>
      <c r="S5" s="22">
        <f t="shared" si="5"/>
        <v>112000</v>
      </c>
    </row>
    <row r="6" ht="14.25" customHeight="1">
      <c r="A6" s="24" t="s">
        <v>62</v>
      </c>
      <c r="B6" s="25">
        <v>2.0</v>
      </c>
    </row>
    <row r="7" ht="14.25" customHeight="1">
      <c r="A7" s="24" t="s">
        <v>64</v>
      </c>
      <c r="B7" s="25">
        <v>1.0</v>
      </c>
    </row>
    <row r="8" ht="14.25" customHeight="1">
      <c r="A8" s="24" t="s">
        <v>65</v>
      </c>
      <c r="B8" s="25">
        <v>5.0</v>
      </c>
    </row>
    <row r="9" ht="14.25" customHeight="1">
      <c r="A9" s="24" t="s">
        <v>66</v>
      </c>
      <c r="B9" s="25">
        <v>4.0</v>
      </c>
    </row>
    <row r="10" ht="14.25" customHeight="1">
      <c r="A10" s="32" t="s">
        <v>67</v>
      </c>
      <c r="B10" s="33">
        <v>12.0</v>
      </c>
      <c r="I10" s="34" t="s">
        <v>69</v>
      </c>
    </row>
    <row r="11" ht="14.25" customHeight="1">
      <c r="A11" s="35" t="s">
        <v>71</v>
      </c>
      <c r="B11" s="36">
        <f>B4*B5*B6*B7*B8*B9*B10</f>
        <v>30857.14286</v>
      </c>
      <c r="I11" s="37"/>
    </row>
    <row r="12" ht="14.25" customHeight="1">
      <c r="I12" s="39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I10:I1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88"/>
    <col customWidth="1" min="3" max="6" width="10.63"/>
    <col customWidth="1" min="7" max="8" width="19.63"/>
    <col customWidth="1" min="9" max="26" width="10.63"/>
  </cols>
  <sheetData>
    <row r="1" ht="14.25" customHeight="1">
      <c r="A1" s="2" t="s">
        <v>5</v>
      </c>
      <c r="B1" s="2" t="s">
        <v>13</v>
      </c>
    </row>
    <row r="2" ht="14.25" customHeight="1">
      <c r="A2" s="10" t="s">
        <v>17</v>
      </c>
      <c r="B2" s="10" t="s">
        <v>11</v>
      </c>
      <c r="C2" s="10" t="s">
        <v>18</v>
      </c>
      <c r="D2" s="10" t="s">
        <v>19</v>
      </c>
      <c r="E2" s="10" t="s">
        <v>20</v>
      </c>
      <c r="H2" s="10" t="s">
        <v>21</v>
      </c>
      <c r="I2" s="13">
        <v>7600.0</v>
      </c>
    </row>
    <row r="3" ht="14.25" customHeight="1">
      <c r="A3" s="14" t="s">
        <v>22</v>
      </c>
      <c r="B3" s="14" t="s">
        <v>23</v>
      </c>
      <c r="C3" s="14">
        <v>1.0</v>
      </c>
      <c r="D3" s="17">
        <v>627.0</v>
      </c>
      <c r="E3" s="20">
        <v>1.0</v>
      </c>
      <c r="H3" s="5" t="s">
        <v>31</v>
      </c>
      <c r="I3" s="31">
        <f t="array" ref="I3">SUM(C3:C19*D3:D19)</f>
        <v>1393</v>
      </c>
    </row>
    <row r="4" ht="14.25" customHeight="1">
      <c r="A4" s="14" t="s">
        <v>53</v>
      </c>
      <c r="B4" s="14" t="s">
        <v>54</v>
      </c>
      <c r="C4" s="14">
        <v>1.0</v>
      </c>
      <c r="D4" s="17">
        <v>214.5</v>
      </c>
      <c r="E4" s="20">
        <v>1.0</v>
      </c>
    </row>
    <row r="5" ht="14.25" customHeight="1">
      <c r="A5" s="14" t="s">
        <v>59</v>
      </c>
      <c r="B5" s="14" t="s">
        <v>60</v>
      </c>
      <c r="C5" s="14">
        <v>4.0</v>
      </c>
      <c r="D5" s="17">
        <v>20.0</v>
      </c>
      <c r="E5" s="20">
        <v>1.0</v>
      </c>
    </row>
    <row r="6" ht="14.25" customHeight="1">
      <c r="A6" s="14" t="s">
        <v>61</v>
      </c>
      <c r="B6" s="14" t="s">
        <v>63</v>
      </c>
      <c r="C6" s="14">
        <v>1.0</v>
      </c>
      <c r="D6" s="17">
        <v>257.0</v>
      </c>
      <c r="E6" s="20">
        <v>1.0</v>
      </c>
    </row>
    <row r="7" ht="14.25" customHeight="1">
      <c r="A7" s="14" t="s">
        <v>68</v>
      </c>
      <c r="B7" s="14" t="s">
        <v>70</v>
      </c>
      <c r="C7" s="14">
        <v>1.0</v>
      </c>
      <c r="D7" s="17">
        <v>214.5</v>
      </c>
      <c r="E7" s="20">
        <v>1.0</v>
      </c>
    </row>
    <row r="8" ht="14.25" customHeight="1">
      <c r="D8" s="13"/>
      <c r="E8" s="38"/>
    </row>
    <row r="9" ht="14.25" customHeight="1">
      <c r="D9" s="13"/>
      <c r="E9" s="38"/>
    </row>
    <row r="10" ht="14.25" customHeight="1">
      <c r="D10" s="13"/>
      <c r="E10" s="38"/>
    </row>
    <row r="11" ht="14.25" customHeight="1">
      <c r="D11" s="13"/>
      <c r="E11" s="38"/>
    </row>
    <row r="12" ht="14.25" customHeight="1">
      <c r="D12" s="13"/>
      <c r="E12" s="38"/>
    </row>
    <row r="13" ht="14.25" customHeight="1">
      <c r="D13" s="13"/>
      <c r="E13" s="38"/>
    </row>
    <row r="14" ht="14.25" customHeight="1">
      <c r="D14" s="13"/>
      <c r="E14" s="38"/>
    </row>
    <row r="15" ht="14.25" customHeight="1">
      <c r="D15" s="13"/>
      <c r="E15" s="38"/>
    </row>
    <row r="16" ht="14.25" customHeight="1">
      <c r="D16" s="13"/>
      <c r="E16" s="38"/>
    </row>
    <row r="17" ht="14.25" customHeight="1">
      <c r="D17" s="13"/>
      <c r="E17" s="38"/>
    </row>
    <row r="18" ht="14.25" customHeight="1">
      <c r="D18" s="13"/>
      <c r="E18" s="38"/>
    </row>
    <row r="19" ht="14.25" customHeight="1">
      <c r="D19" s="13"/>
      <c r="E19" s="38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10.63"/>
    <col customWidth="1" min="3" max="4" width="11.5"/>
    <col customWidth="1" min="5" max="5" width="10.63"/>
    <col customWidth="1" min="6" max="7" width="11.5"/>
    <col customWidth="1" min="8" max="8" width="10.63"/>
    <col customWidth="1" min="9" max="10" width="11.5"/>
    <col customWidth="1" min="11" max="26" width="10.63"/>
  </cols>
  <sheetData>
    <row r="1" ht="14.25" customHeight="1">
      <c r="A1" s="4" t="s">
        <v>76</v>
      </c>
      <c r="B1" s="4">
        <v>2025.0</v>
      </c>
      <c r="C1" s="4">
        <v>2025.0</v>
      </c>
      <c r="D1" s="4">
        <v>2026.0</v>
      </c>
      <c r="E1" s="4">
        <v>2027.0</v>
      </c>
      <c r="F1" s="4">
        <v>2028.0</v>
      </c>
      <c r="G1" s="4">
        <v>2029.0</v>
      </c>
      <c r="H1" s="4">
        <v>2030.0</v>
      </c>
      <c r="I1" s="4">
        <v>2031.0</v>
      </c>
      <c r="J1" s="4">
        <v>2032.0</v>
      </c>
      <c r="K1" s="4">
        <v>2033.0</v>
      </c>
      <c r="L1" s="4">
        <v>2034.0</v>
      </c>
    </row>
    <row r="2" ht="14.25" customHeight="1">
      <c r="A2" s="41" t="s">
        <v>78</v>
      </c>
      <c r="B2" s="41">
        <v>300000.0</v>
      </c>
      <c r="C2" s="41">
        <f t="shared" ref="C2:L2" si="1">B2</f>
        <v>300000</v>
      </c>
      <c r="D2" s="41">
        <f t="shared" si="1"/>
        <v>300000</v>
      </c>
      <c r="E2" s="41">
        <f t="shared" si="1"/>
        <v>300000</v>
      </c>
      <c r="F2" s="41">
        <f t="shared" si="1"/>
        <v>300000</v>
      </c>
      <c r="G2" s="41">
        <f t="shared" si="1"/>
        <v>300000</v>
      </c>
      <c r="H2" s="41">
        <f t="shared" si="1"/>
        <v>300000</v>
      </c>
      <c r="I2" s="41">
        <f t="shared" si="1"/>
        <v>300000</v>
      </c>
      <c r="J2" s="41">
        <f t="shared" si="1"/>
        <v>300000</v>
      </c>
      <c r="K2" s="41">
        <f t="shared" si="1"/>
        <v>300000</v>
      </c>
      <c r="L2" s="41">
        <f t="shared" si="1"/>
        <v>300000</v>
      </c>
    </row>
    <row r="3" ht="14.25" customHeight="1"/>
    <row r="4" ht="14.25" customHeight="1"/>
    <row r="5" ht="14.25" customHeight="1">
      <c r="A5" s="42" t="s">
        <v>80</v>
      </c>
      <c r="B5" s="4">
        <v>2025.0</v>
      </c>
      <c r="C5" s="4">
        <v>2025.0</v>
      </c>
      <c r="D5" s="4">
        <v>2026.0</v>
      </c>
      <c r="E5" s="4">
        <v>2027.0</v>
      </c>
      <c r="F5" s="4">
        <v>2028.0</v>
      </c>
      <c r="G5" s="4">
        <v>2029.0</v>
      </c>
      <c r="H5" s="4">
        <v>2030.0</v>
      </c>
      <c r="I5" s="4">
        <v>2031.0</v>
      </c>
      <c r="J5" s="4">
        <v>2032.0</v>
      </c>
      <c r="K5" s="4">
        <v>2033.0</v>
      </c>
      <c r="L5" s="4">
        <v>2034.0</v>
      </c>
    </row>
    <row r="6" ht="14.25" customHeight="1">
      <c r="A6" s="41" t="s">
        <v>81</v>
      </c>
      <c r="B6" s="41">
        <v>5800000.0</v>
      </c>
      <c r="C6" s="41">
        <f t="shared" ref="C6:L6" si="2">B6</f>
        <v>5800000</v>
      </c>
      <c r="D6" s="41">
        <f t="shared" si="2"/>
        <v>5800000</v>
      </c>
      <c r="E6" s="41">
        <f t="shared" si="2"/>
        <v>5800000</v>
      </c>
      <c r="F6" s="41">
        <f t="shared" si="2"/>
        <v>5800000</v>
      </c>
      <c r="G6" s="41">
        <f t="shared" si="2"/>
        <v>5800000</v>
      </c>
      <c r="H6" s="41">
        <f t="shared" si="2"/>
        <v>5800000</v>
      </c>
      <c r="I6" s="41">
        <f t="shared" si="2"/>
        <v>5800000</v>
      </c>
      <c r="J6" s="41">
        <f t="shared" si="2"/>
        <v>5800000</v>
      </c>
      <c r="K6" s="41">
        <f t="shared" si="2"/>
        <v>5800000</v>
      </c>
      <c r="L6" s="41">
        <f t="shared" si="2"/>
        <v>5800000</v>
      </c>
    </row>
    <row r="7" ht="14.25" customHeight="1"/>
    <row r="8" ht="14.25" customHeight="1"/>
    <row r="9" ht="14.25" customHeight="1">
      <c r="A9" s="42" t="s">
        <v>83</v>
      </c>
      <c r="B9" s="4">
        <v>2025.0</v>
      </c>
      <c r="C9" s="4">
        <v>2025.0</v>
      </c>
      <c r="D9" s="4">
        <v>2026.0</v>
      </c>
      <c r="E9" s="4">
        <v>2027.0</v>
      </c>
      <c r="F9" s="4">
        <v>2028.0</v>
      </c>
      <c r="G9" s="4">
        <v>2029.0</v>
      </c>
      <c r="H9" s="4">
        <v>2030.0</v>
      </c>
      <c r="I9" s="4">
        <v>2031.0</v>
      </c>
      <c r="J9" s="4">
        <v>2032.0</v>
      </c>
      <c r="K9" s="4">
        <v>2033.0</v>
      </c>
      <c r="L9" s="4">
        <v>2034.0</v>
      </c>
    </row>
    <row r="10" ht="14.25" customHeight="1">
      <c r="A10" s="41" t="s">
        <v>85</v>
      </c>
      <c r="B10" s="43">
        <v>7500.0</v>
      </c>
      <c r="C10" s="41">
        <f t="shared" ref="C10:L10" si="3">B10</f>
        <v>7500</v>
      </c>
      <c r="D10" s="41">
        <f t="shared" si="3"/>
        <v>7500</v>
      </c>
      <c r="E10" s="41">
        <f t="shared" si="3"/>
        <v>7500</v>
      </c>
      <c r="F10" s="41">
        <f t="shared" si="3"/>
        <v>7500</v>
      </c>
      <c r="G10" s="41">
        <f t="shared" si="3"/>
        <v>7500</v>
      </c>
      <c r="H10" s="41">
        <f t="shared" si="3"/>
        <v>7500</v>
      </c>
      <c r="I10" s="41">
        <f t="shared" si="3"/>
        <v>7500</v>
      </c>
      <c r="J10" s="41">
        <f t="shared" si="3"/>
        <v>7500</v>
      </c>
      <c r="K10" s="41">
        <f t="shared" si="3"/>
        <v>7500</v>
      </c>
      <c r="L10" s="41">
        <f t="shared" si="3"/>
        <v>7500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38"/>
    <col customWidth="1" min="2" max="2" width="16.75"/>
    <col customWidth="1" min="8" max="8" width="12.5"/>
    <col customWidth="1" min="9" max="9" width="16.0"/>
    <col customWidth="1" min="13" max="13" width="14.88"/>
  </cols>
  <sheetData>
    <row r="1">
      <c r="A1" s="44" t="s">
        <v>91</v>
      </c>
      <c r="B1" s="44" t="s">
        <v>92</v>
      </c>
      <c r="C1" s="44" t="s">
        <v>93</v>
      </c>
      <c r="D1" s="44" t="s">
        <v>94</v>
      </c>
      <c r="E1" s="44" t="s">
        <v>96</v>
      </c>
      <c r="F1" s="44" t="s">
        <v>97</v>
      </c>
      <c r="G1" s="44" t="s">
        <v>98</v>
      </c>
      <c r="H1" s="44" t="s">
        <v>99</v>
      </c>
      <c r="I1" s="44" t="s">
        <v>100</v>
      </c>
      <c r="J1" s="44" t="s">
        <v>101</v>
      </c>
      <c r="K1" s="44" t="s">
        <v>102</v>
      </c>
      <c r="L1" s="44"/>
      <c r="M1" s="44" t="s">
        <v>103</v>
      </c>
    </row>
    <row r="2">
      <c r="A2" s="44" t="s">
        <v>104</v>
      </c>
      <c r="B2" s="44" t="s">
        <v>105</v>
      </c>
      <c r="C2" s="45">
        <v>12000.0</v>
      </c>
      <c r="D2" s="46">
        <v>0.03</v>
      </c>
      <c r="E2" s="46">
        <v>0.2</v>
      </c>
      <c r="F2" s="46">
        <v>0.13</v>
      </c>
      <c r="G2" s="46"/>
      <c r="H2" s="47">
        <v>0.00288461</v>
      </c>
      <c r="I2" s="46">
        <v>0.07</v>
      </c>
      <c r="J2" s="46">
        <v>0.02</v>
      </c>
      <c r="K2" s="46">
        <v>0.16</v>
      </c>
      <c r="L2" s="48">
        <f t="shared" ref="L2:L26" si="1">SUM((D2*C2)+(E2*C2)+(F2*C2)+(G2*C2)+(H2*C2)+(I2*C2)+(J2*C2))</f>
        <v>5434.61532</v>
      </c>
      <c r="M2" s="48">
        <f t="shared" ref="M2:M26" si="2">(C2+L2)</f>
        <v>17434.61532</v>
      </c>
    </row>
    <row r="3">
      <c r="A3" s="44" t="s">
        <v>108</v>
      </c>
      <c r="B3" s="44" t="s">
        <v>105</v>
      </c>
      <c r="C3" s="45">
        <v>10000.0</v>
      </c>
      <c r="D3" s="46">
        <v>0.03</v>
      </c>
      <c r="E3" s="46">
        <v>0.2</v>
      </c>
      <c r="F3" s="46">
        <v>0.13</v>
      </c>
      <c r="G3" s="49"/>
      <c r="H3" s="50">
        <v>0.00288461</v>
      </c>
      <c r="I3" s="46">
        <v>0.07</v>
      </c>
      <c r="J3" s="46">
        <v>0.02</v>
      </c>
      <c r="K3" s="46">
        <v>0.11</v>
      </c>
      <c r="L3" s="48">
        <f t="shared" si="1"/>
        <v>4528.8461</v>
      </c>
      <c r="M3" s="48">
        <f t="shared" si="2"/>
        <v>14528.8461</v>
      </c>
    </row>
    <row r="4">
      <c r="A4" s="44" t="s">
        <v>110</v>
      </c>
      <c r="B4" s="44" t="s">
        <v>105</v>
      </c>
      <c r="C4" s="45">
        <v>15000.0</v>
      </c>
      <c r="D4" s="46">
        <v>0.03</v>
      </c>
      <c r="E4" s="46">
        <v>0.2</v>
      </c>
      <c r="F4" s="46">
        <v>0.13</v>
      </c>
      <c r="G4" s="49"/>
      <c r="H4" s="50">
        <v>0.00288461</v>
      </c>
      <c r="I4" s="46">
        <v>0.07</v>
      </c>
      <c r="J4" s="46">
        <v>0.02</v>
      </c>
      <c r="K4" s="46">
        <v>0.18</v>
      </c>
      <c r="L4" s="48">
        <f t="shared" si="1"/>
        <v>6793.26915</v>
      </c>
      <c r="M4" s="48">
        <f t="shared" si="2"/>
        <v>21793.26915</v>
      </c>
    </row>
    <row r="5">
      <c r="A5" s="44" t="s">
        <v>111</v>
      </c>
      <c r="B5" s="44" t="s">
        <v>105</v>
      </c>
      <c r="C5" s="45">
        <v>15000.0</v>
      </c>
      <c r="D5" s="46">
        <v>0.03</v>
      </c>
      <c r="E5" s="46">
        <v>0.2</v>
      </c>
      <c r="F5" s="46">
        <v>0.13</v>
      </c>
      <c r="G5" s="49"/>
      <c r="H5" s="50">
        <v>0.00288461</v>
      </c>
      <c r="I5" s="46">
        <v>0.07</v>
      </c>
      <c r="J5" s="46">
        <v>0.02</v>
      </c>
      <c r="K5" s="46">
        <v>0.18</v>
      </c>
      <c r="L5" s="48">
        <f t="shared" si="1"/>
        <v>6793.26915</v>
      </c>
      <c r="M5" s="48">
        <f t="shared" si="2"/>
        <v>21793.26915</v>
      </c>
    </row>
    <row r="6">
      <c r="A6" s="44" t="s">
        <v>115</v>
      </c>
      <c r="B6" s="44" t="s">
        <v>105</v>
      </c>
      <c r="C6" s="45">
        <v>15000.0</v>
      </c>
      <c r="D6" s="46">
        <v>0.03</v>
      </c>
      <c r="E6" s="46">
        <v>0.2</v>
      </c>
      <c r="F6" s="46">
        <v>0.13</v>
      </c>
      <c r="G6" s="49"/>
      <c r="H6" s="50">
        <v>0.00288461</v>
      </c>
      <c r="I6" s="46">
        <v>0.07</v>
      </c>
      <c r="J6" s="46">
        <v>0.02</v>
      </c>
      <c r="K6" s="46">
        <v>0.18</v>
      </c>
      <c r="L6" s="48">
        <f t="shared" si="1"/>
        <v>6793.26915</v>
      </c>
      <c r="M6" s="48">
        <f t="shared" si="2"/>
        <v>21793.26915</v>
      </c>
    </row>
    <row r="7">
      <c r="A7" s="44" t="s">
        <v>118</v>
      </c>
      <c r="B7" s="44" t="s">
        <v>105</v>
      </c>
      <c r="C7" s="45">
        <v>16500.0</v>
      </c>
      <c r="D7" s="46">
        <v>0.03</v>
      </c>
      <c r="E7" s="46">
        <v>0.2</v>
      </c>
      <c r="F7" s="46">
        <v>0.13</v>
      </c>
      <c r="G7" s="49"/>
      <c r="H7" s="50">
        <v>0.00288461</v>
      </c>
      <c r="I7" s="46">
        <v>0.07</v>
      </c>
      <c r="J7" s="46">
        <v>0.02</v>
      </c>
      <c r="K7" s="46">
        <v>0.21</v>
      </c>
      <c r="L7" s="48">
        <f t="shared" si="1"/>
        <v>7472.596065</v>
      </c>
      <c r="M7" s="48">
        <f t="shared" si="2"/>
        <v>23972.59607</v>
      </c>
    </row>
    <row r="8">
      <c r="A8" s="44" t="s">
        <v>119</v>
      </c>
      <c r="B8" s="44" t="s">
        <v>105</v>
      </c>
      <c r="C8" s="45">
        <v>16500.0</v>
      </c>
      <c r="D8" s="46">
        <v>0.03</v>
      </c>
      <c r="E8" s="46">
        <v>0.2</v>
      </c>
      <c r="F8" s="46">
        <v>0.13</v>
      </c>
      <c r="G8" s="49"/>
      <c r="H8" s="50">
        <v>0.00288461</v>
      </c>
      <c r="I8" s="46">
        <v>0.07</v>
      </c>
      <c r="J8" s="46">
        <v>0.02</v>
      </c>
      <c r="K8" s="46">
        <v>0.21</v>
      </c>
      <c r="L8" s="48">
        <f t="shared" si="1"/>
        <v>7472.596065</v>
      </c>
      <c r="M8" s="48">
        <f t="shared" si="2"/>
        <v>23972.59607</v>
      </c>
    </row>
    <row r="9">
      <c r="A9" s="44" t="s">
        <v>120</v>
      </c>
      <c r="B9" s="44" t="s">
        <v>105</v>
      </c>
      <c r="C9" s="45">
        <v>16500.0</v>
      </c>
      <c r="D9" s="46">
        <v>0.03</v>
      </c>
      <c r="E9" s="46">
        <v>0.2</v>
      </c>
      <c r="F9" s="46">
        <v>0.13</v>
      </c>
      <c r="G9" s="49"/>
      <c r="H9" s="50">
        <v>0.00288461</v>
      </c>
      <c r="I9" s="46">
        <v>0.07</v>
      </c>
      <c r="J9" s="46">
        <v>0.02</v>
      </c>
      <c r="K9" s="46">
        <v>0.21</v>
      </c>
      <c r="L9" s="48">
        <f t="shared" si="1"/>
        <v>7472.596065</v>
      </c>
      <c r="M9" s="48">
        <f t="shared" si="2"/>
        <v>23972.59607</v>
      </c>
    </row>
    <row r="10">
      <c r="A10" s="44" t="s">
        <v>121</v>
      </c>
      <c r="B10" s="44" t="s">
        <v>105</v>
      </c>
      <c r="C10" s="45">
        <v>21000.0</v>
      </c>
      <c r="D10" s="46">
        <v>0.03</v>
      </c>
      <c r="E10" s="46">
        <v>0.2</v>
      </c>
      <c r="F10" s="46">
        <v>0.13</v>
      </c>
      <c r="G10" s="49"/>
      <c r="H10" s="50">
        <v>0.00288461</v>
      </c>
      <c r="I10" s="46">
        <v>0.07</v>
      </c>
      <c r="J10" s="46">
        <v>0.02</v>
      </c>
      <c r="K10" s="46">
        <v>0.21</v>
      </c>
      <c r="L10" s="48">
        <f t="shared" si="1"/>
        <v>9510.57681</v>
      </c>
      <c r="M10" s="48">
        <f t="shared" si="2"/>
        <v>30510.57681</v>
      </c>
    </row>
    <row r="11">
      <c r="A11" s="44" t="s">
        <v>122</v>
      </c>
      <c r="B11" s="44" t="s">
        <v>105</v>
      </c>
      <c r="C11" s="45">
        <v>21000.0</v>
      </c>
      <c r="D11" s="46">
        <v>0.03</v>
      </c>
      <c r="E11" s="46">
        <v>0.2</v>
      </c>
      <c r="F11" s="46">
        <v>0.13</v>
      </c>
      <c r="G11" s="49"/>
      <c r="H11" s="50">
        <v>0.00288461</v>
      </c>
      <c r="I11" s="46">
        <v>0.07</v>
      </c>
      <c r="J11" s="46">
        <v>0.02</v>
      </c>
      <c r="K11" s="46">
        <v>0.21</v>
      </c>
      <c r="L11" s="48">
        <f t="shared" si="1"/>
        <v>9510.57681</v>
      </c>
      <c r="M11" s="48">
        <f t="shared" si="2"/>
        <v>30510.57681</v>
      </c>
    </row>
    <row r="12">
      <c r="A12" s="44" t="s">
        <v>123</v>
      </c>
      <c r="B12" s="44" t="s">
        <v>105</v>
      </c>
      <c r="C12" s="45">
        <v>16500.0</v>
      </c>
      <c r="D12" s="46">
        <v>0.03</v>
      </c>
      <c r="E12" s="46">
        <v>0.2</v>
      </c>
      <c r="F12" s="46">
        <v>0.13</v>
      </c>
      <c r="G12" s="49"/>
      <c r="H12" s="50">
        <v>0.00288461</v>
      </c>
      <c r="I12" s="46">
        <v>0.07</v>
      </c>
      <c r="J12" s="46">
        <v>0.02</v>
      </c>
      <c r="K12" s="46">
        <v>0.21</v>
      </c>
      <c r="L12" s="48">
        <f t="shared" si="1"/>
        <v>7472.596065</v>
      </c>
      <c r="M12" s="48">
        <f t="shared" si="2"/>
        <v>23972.59607</v>
      </c>
    </row>
    <row r="13">
      <c r="A13" s="44" t="s">
        <v>124</v>
      </c>
      <c r="B13" s="44" t="s">
        <v>105</v>
      </c>
      <c r="C13" s="45">
        <v>21000.0</v>
      </c>
      <c r="D13" s="46">
        <v>0.03</v>
      </c>
      <c r="E13" s="46">
        <v>0.2</v>
      </c>
      <c r="F13" s="46">
        <v>0.13</v>
      </c>
      <c r="G13" s="49"/>
      <c r="H13" s="50">
        <v>0.00288461</v>
      </c>
      <c r="I13" s="46">
        <v>0.07</v>
      </c>
      <c r="J13" s="46">
        <v>0.02</v>
      </c>
      <c r="K13" s="46">
        <v>0.21</v>
      </c>
      <c r="L13" s="48">
        <f t="shared" si="1"/>
        <v>9510.57681</v>
      </c>
      <c r="M13" s="48">
        <f t="shared" si="2"/>
        <v>30510.57681</v>
      </c>
    </row>
    <row r="14">
      <c r="A14" s="44" t="s">
        <v>126</v>
      </c>
      <c r="B14" s="44" t="s">
        <v>105</v>
      </c>
      <c r="C14" s="45">
        <v>35000.0</v>
      </c>
      <c r="D14" s="46">
        <v>0.03</v>
      </c>
      <c r="E14" s="46">
        <v>0.2</v>
      </c>
      <c r="F14" s="46">
        <v>0.13</v>
      </c>
      <c r="G14" s="49"/>
      <c r="H14" s="50">
        <v>0.00288461</v>
      </c>
      <c r="I14" s="46">
        <v>0.07</v>
      </c>
      <c r="J14" s="46">
        <v>0.02</v>
      </c>
      <c r="K14" s="46">
        <v>0.24</v>
      </c>
      <c r="L14" s="48">
        <f t="shared" si="1"/>
        <v>15850.96135</v>
      </c>
      <c r="M14" s="48">
        <f t="shared" si="2"/>
        <v>50850.96135</v>
      </c>
    </row>
    <row r="15">
      <c r="A15" s="44" t="s">
        <v>129</v>
      </c>
      <c r="B15" s="44" t="s">
        <v>130</v>
      </c>
      <c r="C15" s="45">
        <v>21000.0</v>
      </c>
      <c r="D15" s="46">
        <v>0.03</v>
      </c>
      <c r="E15" s="46">
        <v>0.2</v>
      </c>
      <c r="F15" s="46">
        <v>0.13</v>
      </c>
      <c r="G15" s="49"/>
      <c r="H15" s="50">
        <v>0.00288461</v>
      </c>
      <c r="I15" s="46">
        <v>0.07</v>
      </c>
      <c r="J15" s="46">
        <v>0.02</v>
      </c>
      <c r="K15" s="46">
        <v>0.16</v>
      </c>
      <c r="L15" s="48">
        <f t="shared" si="1"/>
        <v>9510.57681</v>
      </c>
      <c r="M15" s="48">
        <f t="shared" si="2"/>
        <v>30510.57681</v>
      </c>
    </row>
    <row r="16">
      <c r="A16" s="44" t="s">
        <v>133</v>
      </c>
      <c r="B16" s="44" t="s">
        <v>130</v>
      </c>
      <c r="C16" s="45">
        <v>25000.0</v>
      </c>
      <c r="D16" s="46">
        <v>0.03</v>
      </c>
      <c r="E16" s="46">
        <v>0.2</v>
      </c>
      <c r="F16" s="46">
        <v>0.13</v>
      </c>
      <c r="G16" s="49"/>
      <c r="H16" s="50">
        <v>0.00288461</v>
      </c>
      <c r="I16" s="46">
        <v>0.07</v>
      </c>
      <c r="J16" s="46">
        <v>0.02</v>
      </c>
      <c r="K16" s="46">
        <v>0.16</v>
      </c>
      <c r="L16" s="48">
        <f t="shared" si="1"/>
        <v>11322.11525</v>
      </c>
      <c r="M16" s="48">
        <f t="shared" si="2"/>
        <v>36322.11525</v>
      </c>
    </row>
    <row r="17">
      <c r="A17" s="44" t="s">
        <v>137</v>
      </c>
      <c r="B17" s="44" t="s">
        <v>130</v>
      </c>
      <c r="C17" s="45">
        <v>21000.0</v>
      </c>
      <c r="D17" s="46">
        <v>0.03</v>
      </c>
      <c r="E17" s="46">
        <v>0.2</v>
      </c>
      <c r="F17" s="46">
        <v>0.13</v>
      </c>
      <c r="G17" s="49"/>
      <c r="H17" s="50">
        <v>0.00288461</v>
      </c>
      <c r="I17" s="46">
        <v>0.07</v>
      </c>
      <c r="J17" s="46">
        <v>0.02</v>
      </c>
      <c r="K17" s="46">
        <v>0.16</v>
      </c>
      <c r="L17" s="48">
        <f t="shared" si="1"/>
        <v>9510.57681</v>
      </c>
      <c r="M17" s="48">
        <f t="shared" si="2"/>
        <v>30510.57681</v>
      </c>
    </row>
    <row r="18">
      <c r="A18" s="44" t="s">
        <v>138</v>
      </c>
      <c r="B18" s="44" t="s">
        <v>130</v>
      </c>
      <c r="C18" s="45">
        <v>21000.0</v>
      </c>
      <c r="D18" s="46">
        <v>0.03</v>
      </c>
      <c r="E18" s="46">
        <v>0.2</v>
      </c>
      <c r="F18" s="46">
        <v>0.13</v>
      </c>
      <c r="G18" s="49"/>
      <c r="H18" s="50">
        <v>0.00288461</v>
      </c>
      <c r="I18" s="46">
        <v>0.07</v>
      </c>
      <c r="J18" s="46">
        <v>0.02</v>
      </c>
      <c r="K18" s="46">
        <v>0.16</v>
      </c>
      <c r="L18" s="48">
        <f t="shared" si="1"/>
        <v>9510.57681</v>
      </c>
      <c r="M18" s="48">
        <f t="shared" si="2"/>
        <v>30510.57681</v>
      </c>
    </row>
    <row r="19">
      <c r="A19" s="44" t="s">
        <v>141</v>
      </c>
      <c r="B19" s="44" t="s">
        <v>130</v>
      </c>
      <c r="C19" s="45">
        <v>18000.0</v>
      </c>
      <c r="D19" s="46">
        <v>0.03</v>
      </c>
      <c r="E19" s="46">
        <v>0.2</v>
      </c>
      <c r="F19" s="46">
        <v>0.13</v>
      </c>
      <c r="G19" s="49"/>
      <c r="H19" s="50">
        <v>0.00288461</v>
      </c>
      <c r="I19" s="46">
        <v>0.07</v>
      </c>
      <c r="J19" s="46">
        <v>0.02</v>
      </c>
      <c r="K19" s="46">
        <v>0.16</v>
      </c>
      <c r="L19" s="48">
        <f t="shared" si="1"/>
        <v>8151.92298</v>
      </c>
      <c r="M19" s="48">
        <f t="shared" si="2"/>
        <v>26151.92298</v>
      </c>
    </row>
    <row r="20">
      <c r="A20" s="44" t="s">
        <v>143</v>
      </c>
      <c r="B20" s="44" t="s">
        <v>130</v>
      </c>
      <c r="C20" s="45">
        <v>25000.0</v>
      </c>
      <c r="D20" s="46">
        <v>0.03</v>
      </c>
      <c r="E20" s="46">
        <v>0.2</v>
      </c>
      <c r="F20" s="46">
        <v>0.13</v>
      </c>
      <c r="G20" s="49"/>
      <c r="H20" s="50">
        <v>0.00288461</v>
      </c>
      <c r="I20" s="46">
        <v>0.07</v>
      </c>
      <c r="J20" s="46">
        <v>0.02</v>
      </c>
      <c r="K20" s="46">
        <v>0.16</v>
      </c>
      <c r="L20" s="48">
        <f t="shared" si="1"/>
        <v>11322.11525</v>
      </c>
      <c r="M20" s="48">
        <f t="shared" si="2"/>
        <v>36322.11525</v>
      </c>
    </row>
    <row r="21">
      <c r="A21" s="44" t="s">
        <v>145</v>
      </c>
      <c r="B21" s="44" t="s">
        <v>130</v>
      </c>
      <c r="C21" s="45">
        <v>25000.0</v>
      </c>
      <c r="D21" s="46">
        <v>0.03</v>
      </c>
      <c r="E21" s="46">
        <v>0.2</v>
      </c>
      <c r="F21" s="46">
        <v>0.13</v>
      </c>
      <c r="G21" s="49"/>
      <c r="H21" s="50">
        <v>0.00288461</v>
      </c>
      <c r="I21" s="46">
        <v>0.07</v>
      </c>
      <c r="J21" s="46">
        <v>0.02</v>
      </c>
      <c r="K21" s="46">
        <v>0.16</v>
      </c>
      <c r="L21" s="48">
        <f t="shared" si="1"/>
        <v>11322.11525</v>
      </c>
      <c r="M21" s="48">
        <f t="shared" si="2"/>
        <v>36322.11525</v>
      </c>
    </row>
    <row r="22">
      <c r="A22" s="44" t="s">
        <v>148</v>
      </c>
      <c r="B22" s="44" t="s">
        <v>130</v>
      </c>
      <c r="C22" s="45">
        <v>35000.0</v>
      </c>
      <c r="D22" s="46">
        <v>0.03</v>
      </c>
      <c r="E22" s="46">
        <v>0.2</v>
      </c>
      <c r="F22" s="46">
        <v>0.13</v>
      </c>
      <c r="G22" s="49"/>
      <c r="H22" s="50">
        <v>0.00288461</v>
      </c>
      <c r="I22" s="46">
        <v>0.07</v>
      </c>
      <c r="J22" s="46">
        <v>0.02</v>
      </c>
      <c r="K22" s="46">
        <v>0.16</v>
      </c>
      <c r="L22" s="48">
        <f t="shared" si="1"/>
        <v>15850.96135</v>
      </c>
      <c r="M22" s="48">
        <f t="shared" si="2"/>
        <v>50850.96135</v>
      </c>
    </row>
    <row r="23">
      <c r="A23" s="44" t="s">
        <v>150</v>
      </c>
      <c r="B23" s="44" t="s">
        <v>130</v>
      </c>
      <c r="C23" s="45">
        <v>50000.0</v>
      </c>
      <c r="D23" s="46">
        <v>0.03</v>
      </c>
      <c r="E23" s="46">
        <v>0.2</v>
      </c>
      <c r="F23" s="46">
        <v>0.13</v>
      </c>
      <c r="G23" s="49"/>
      <c r="H23" s="50">
        <v>0.00288461</v>
      </c>
      <c r="I23" s="46">
        <v>0.07</v>
      </c>
      <c r="J23" s="46">
        <v>0.02</v>
      </c>
      <c r="K23" s="46">
        <v>0.16</v>
      </c>
      <c r="L23" s="48">
        <f t="shared" si="1"/>
        <v>22644.2305</v>
      </c>
      <c r="M23" s="48">
        <f t="shared" si="2"/>
        <v>72644.2305</v>
      </c>
    </row>
    <row r="24">
      <c r="A24" s="44" t="s">
        <v>153</v>
      </c>
      <c r="B24" s="44" t="s">
        <v>130</v>
      </c>
      <c r="C24" s="45">
        <v>10000.0</v>
      </c>
      <c r="D24" s="46">
        <v>0.03</v>
      </c>
      <c r="E24" s="46">
        <v>0.2</v>
      </c>
      <c r="F24" s="46">
        <v>0.13</v>
      </c>
      <c r="G24" s="49"/>
      <c r="H24" s="50">
        <v>0.00288461</v>
      </c>
      <c r="I24" s="46">
        <v>0.07</v>
      </c>
      <c r="J24" s="46">
        <v>0.02</v>
      </c>
      <c r="K24" s="46">
        <v>0.16</v>
      </c>
      <c r="L24" s="48">
        <f t="shared" si="1"/>
        <v>4528.8461</v>
      </c>
      <c r="M24" s="48">
        <f t="shared" si="2"/>
        <v>14528.8461</v>
      </c>
    </row>
    <row r="25">
      <c r="A25" s="44" t="s">
        <v>156</v>
      </c>
      <c r="B25" s="44" t="s">
        <v>130</v>
      </c>
      <c r="C25" s="45">
        <v>10000.0</v>
      </c>
      <c r="D25" s="46">
        <v>0.03</v>
      </c>
      <c r="E25" s="46">
        <v>0.2</v>
      </c>
      <c r="F25" s="46">
        <v>0.13</v>
      </c>
      <c r="G25" s="49"/>
      <c r="H25" s="50">
        <v>0.00288461</v>
      </c>
      <c r="I25" s="46">
        <v>0.07</v>
      </c>
      <c r="J25" s="46">
        <v>0.02</v>
      </c>
      <c r="K25" s="46">
        <v>0.16</v>
      </c>
      <c r="L25" s="48">
        <f t="shared" si="1"/>
        <v>4528.8461</v>
      </c>
      <c r="M25" s="48">
        <f t="shared" si="2"/>
        <v>14528.8461</v>
      </c>
    </row>
    <row r="26">
      <c r="A26" s="44" t="s">
        <v>159</v>
      </c>
      <c r="B26" s="44" t="s">
        <v>130</v>
      </c>
      <c r="C26" s="61">
        <v>15000.0</v>
      </c>
      <c r="D26" s="46">
        <v>0.03</v>
      </c>
      <c r="E26" s="46">
        <v>0.2</v>
      </c>
      <c r="F26" s="46">
        <v>0.13</v>
      </c>
      <c r="G26" s="49"/>
      <c r="H26" s="50">
        <v>0.00288461</v>
      </c>
      <c r="I26" s="46">
        <v>0.07</v>
      </c>
      <c r="J26" s="46">
        <v>0.02</v>
      </c>
      <c r="K26" s="46">
        <v>0.16</v>
      </c>
      <c r="L26" s="48">
        <f t="shared" si="1"/>
        <v>6793.26915</v>
      </c>
      <c r="M26" s="48">
        <f t="shared" si="2"/>
        <v>21793.26915</v>
      </c>
    </row>
    <row r="27">
      <c r="F27" s="6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5" width="10.63"/>
    <col customWidth="1" min="6" max="6" width="15.88"/>
    <col customWidth="1" min="7" max="26" width="10.63"/>
  </cols>
  <sheetData>
    <row r="1" ht="14.25" customHeight="1">
      <c r="A1" s="51" t="s">
        <v>104</v>
      </c>
      <c r="B1" s="51" t="s">
        <v>112</v>
      </c>
      <c r="C1" s="51" t="s">
        <v>113</v>
      </c>
      <c r="E1" s="51" t="s">
        <v>108</v>
      </c>
      <c r="F1" s="51" t="s">
        <v>112</v>
      </c>
      <c r="G1" s="51" t="s">
        <v>113</v>
      </c>
      <c r="I1" s="51" t="s">
        <v>110</v>
      </c>
      <c r="J1" s="51" t="s">
        <v>112</v>
      </c>
      <c r="K1" s="51" t="s">
        <v>113</v>
      </c>
      <c r="M1" s="51" t="s">
        <v>116</v>
      </c>
      <c r="N1" s="51" t="s">
        <v>112</v>
      </c>
      <c r="O1" s="51" t="s">
        <v>113</v>
      </c>
    </row>
    <row r="2" ht="14.25" customHeight="1">
      <c r="A2" s="54" t="s">
        <v>117</v>
      </c>
      <c r="B2" s="54"/>
      <c r="C2" s="55">
        <v>12000.0</v>
      </c>
      <c r="E2" s="54" t="s">
        <v>117</v>
      </c>
      <c r="F2" s="54"/>
      <c r="G2" s="55">
        <v>10000.0</v>
      </c>
      <c r="I2" s="54" t="s">
        <v>117</v>
      </c>
      <c r="J2" s="54"/>
      <c r="K2" s="55">
        <v>15000.0</v>
      </c>
      <c r="M2" s="54" t="s">
        <v>117</v>
      </c>
      <c r="N2" s="54"/>
      <c r="O2" s="55">
        <v>15000.0</v>
      </c>
    </row>
    <row r="3" ht="14.25" customHeight="1">
      <c r="A3" s="54" t="s">
        <v>94</v>
      </c>
      <c r="B3" s="56">
        <v>0.03</v>
      </c>
      <c r="C3" s="57">
        <f>C2*B3</f>
        <v>360</v>
      </c>
      <c r="E3" s="54" t="s">
        <v>94</v>
      </c>
      <c r="F3" s="56">
        <v>0.03</v>
      </c>
      <c r="G3" s="57">
        <f>G2*F3</f>
        <v>300</v>
      </c>
      <c r="I3" s="54" t="s">
        <v>94</v>
      </c>
      <c r="J3" s="56">
        <v>0.03</v>
      </c>
      <c r="K3" s="57">
        <f>K2*J3</f>
        <v>450</v>
      </c>
      <c r="M3" s="54" t="s">
        <v>94</v>
      </c>
      <c r="N3" s="56">
        <v>0.03</v>
      </c>
      <c r="O3" s="57">
        <f>O2*N3</f>
        <v>450</v>
      </c>
    </row>
    <row r="4" ht="14.25" customHeight="1">
      <c r="A4" s="54" t="s">
        <v>96</v>
      </c>
      <c r="B4" s="56">
        <v>0.2</v>
      </c>
      <c r="C4" s="57">
        <f>C2*B4</f>
        <v>2400</v>
      </c>
      <c r="E4" s="54" t="s">
        <v>96</v>
      </c>
      <c r="F4" s="56">
        <v>0.2</v>
      </c>
      <c r="G4" s="57">
        <f>G2*F4</f>
        <v>2000</v>
      </c>
      <c r="I4" s="54" t="s">
        <v>96</v>
      </c>
      <c r="J4" s="56">
        <v>0.2</v>
      </c>
      <c r="K4" s="57">
        <f>K2*J4</f>
        <v>3000</v>
      </c>
      <c r="M4" s="54" t="s">
        <v>96</v>
      </c>
      <c r="N4" s="56">
        <v>0.2</v>
      </c>
      <c r="O4" s="57">
        <f>O2*N4</f>
        <v>3000</v>
      </c>
    </row>
    <row r="5" ht="14.25" customHeight="1">
      <c r="A5" s="54" t="s">
        <v>127</v>
      </c>
      <c r="B5" s="56">
        <v>0.13</v>
      </c>
      <c r="C5" s="57">
        <f>C2*B5</f>
        <v>1560</v>
      </c>
      <c r="E5" s="54" t="s">
        <v>127</v>
      </c>
      <c r="F5" s="56">
        <v>0.13</v>
      </c>
      <c r="G5" s="57">
        <f>G2*F5</f>
        <v>1300</v>
      </c>
      <c r="I5" s="54" t="s">
        <v>127</v>
      </c>
      <c r="J5" s="56">
        <v>0.13</v>
      </c>
      <c r="K5" s="57">
        <f>K2*J5</f>
        <v>1950</v>
      </c>
      <c r="M5" s="54" t="s">
        <v>127</v>
      </c>
      <c r="N5" s="56">
        <v>0.13</v>
      </c>
      <c r="O5" s="57">
        <f>O2*N5</f>
        <v>1950</v>
      </c>
    </row>
    <row r="6" ht="14.25" customHeight="1">
      <c r="A6" s="54" t="s">
        <v>98</v>
      </c>
      <c r="B6" s="54"/>
      <c r="C6" s="57"/>
      <c r="E6" s="54" t="s">
        <v>98</v>
      </c>
      <c r="F6" s="54"/>
      <c r="G6" s="57"/>
      <c r="I6" s="54" t="s">
        <v>98</v>
      </c>
      <c r="J6" s="54"/>
      <c r="K6" s="57"/>
      <c r="M6" s="54" t="s">
        <v>98</v>
      </c>
      <c r="N6" s="54"/>
      <c r="O6" s="57"/>
    </row>
    <row r="7" ht="14.25" customHeight="1">
      <c r="A7" s="54" t="s">
        <v>99</v>
      </c>
      <c r="B7" s="54">
        <v>0.288461</v>
      </c>
      <c r="C7" s="57">
        <f>(C2/30)*B7</f>
        <v>115.3844</v>
      </c>
      <c r="E7" s="54" t="s">
        <v>99</v>
      </c>
      <c r="F7" s="54">
        <v>0.288461</v>
      </c>
      <c r="G7" s="57">
        <f>(G2/30)*F7</f>
        <v>96.15366667</v>
      </c>
      <c r="I7" s="54" t="s">
        <v>99</v>
      </c>
      <c r="J7" s="54">
        <v>0.288461</v>
      </c>
      <c r="K7" s="57">
        <f>(K2/30)*J7</f>
        <v>144.2305</v>
      </c>
      <c r="M7" s="54" t="s">
        <v>99</v>
      </c>
      <c r="N7" s="54">
        <v>0.288461</v>
      </c>
      <c r="O7" s="57">
        <f>(O2/30)*N7</f>
        <v>144.2305</v>
      </c>
    </row>
    <row r="8" ht="14.25" customHeight="1">
      <c r="A8" s="54" t="s">
        <v>100</v>
      </c>
      <c r="B8" s="56">
        <v>0.07</v>
      </c>
      <c r="C8" s="57">
        <f>C2*B8</f>
        <v>840</v>
      </c>
      <c r="E8" s="54" t="s">
        <v>100</v>
      </c>
      <c r="F8" s="56">
        <v>0.07</v>
      </c>
      <c r="G8" s="57">
        <f>G2*F8</f>
        <v>700</v>
      </c>
      <c r="I8" s="54" t="s">
        <v>100</v>
      </c>
      <c r="J8" s="56">
        <v>0.07</v>
      </c>
      <c r="K8" s="57">
        <f>K2*J8</f>
        <v>1050</v>
      </c>
      <c r="M8" s="54" t="s">
        <v>100</v>
      </c>
      <c r="N8" s="56">
        <v>0.07</v>
      </c>
      <c r="O8" s="57">
        <f>O2*N8</f>
        <v>1050</v>
      </c>
    </row>
    <row r="9" ht="14.25" customHeight="1">
      <c r="A9" s="54" t="s">
        <v>101</v>
      </c>
      <c r="B9" s="56">
        <v>0.02</v>
      </c>
      <c r="C9" s="57">
        <f>C2*B9</f>
        <v>240</v>
      </c>
      <c r="E9" s="54" t="s">
        <v>101</v>
      </c>
      <c r="F9" s="56">
        <v>0.02</v>
      </c>
      <c r="G9" s="57">
        <f>G2*F9</f>
        <v>200</v>
      </c>
      <c r="I9" s="54" t="s">
        <v>101</v>
      </c>
      <c r="J9" s="56">
        <v>0.02</v>
      </c>
      <c r="K9" s="57">
        <f>K2*J9</f>
        <v>300</v>
      </c>
      <c r="M9" s="54" t="s">
        <v>101</v>
      </c>
      <c r="N9" s="56">
        <v>0.02</v>
      </c>
      <c r="O9" s="57">
        <f>O2*N9</f>
        <v>300</v>
      </c>
    </row>
    <row r="10" ht="14.25" customHeight="1">
      <c r="A10" s="54" t="s">
        <v>102</v>
      </c>
      <c r="B10" s="56">
        <v>0.16</v>
      </c>
      <c r="C10" s="57">
        <f>C2*B10</f>
        <v>1920</v>
      </c>
      <c r="E10" s="54" t="s">
        <v>102</v>
      </c>
      <c r="F10" s="56">
        <v>0.1088</v>
      </c>
      <c r="G10" s="57">
        <f>G2*F10</f>
        <v>1088</v>
      </c>
      <c r="I10" s="54" t="s">
        <v>102</v>
      </c>
      <c r="J10" s="56">
        <v>0.1792</v>
      </c>
      <c r="K10" s="57">
        <f>K2*J10</f>
        <v>2688</v>
      </c>
      <c r="M10" s="54" t="s">
        <v>102</v>
      </c>
      <c r="N10" s="56">
        <v>0.1792</v>
      </c>
      <c r="O10" s="57">
        <f>O2*N10</f>
        <v>2688</v>
      </c>
    </row>
    <row r="11" ht="14.25" customHeight="1">
      <c r="A11" s="35"/>
      <c r="B11" s="35"/>
      <c r="C11" s="57">
        <f>SUM(C3:C9)</f>
        <v>5515.3844</v>
      </c>
      <c r="E11" s="35"/>
      <c r="F11" s="35"/>
      <c r="G11" s="57">
        <f>SUM(G3:G9)</f>
        <v>4596.153667</v>
      </c>
      <c r="I11" s="35"/>
      <c r="J11" s="35"/>
      <c r="K11" s="57">
        <f>SUM(K3:K9)</f>
        <v>6894.2305</v>
      </c>
      <c r="M11" s="35"/>
      <c r="N11" s="35"/>
      <c r="O11" s="57">
        <f>SUM(O3:O9)</f>
        <v>6894.2305</v>
      </c>
    </row>
    <row r="12" ht="14.25" customHeight="1">
      <c r="A12" s="35" t="s">
        <v>103</v>
      </c>
      <c r="B12" s="35"/>
      <c r="C12" s="57">
        <f>C2+C11</f>
        <v>17515.3844</v>
      </c>
      <c r="E12" s="35" t="s">
        <v>103</v>
      </c>
      <c r="F12" s="35"/>
      <c r="G12" s="57">
        <f>G2+G11</f>
        <v>14596.15367</v>
      </c>
      <c r="I12" s="35" t="s">
        <v>103</v>
      </c>
      <c r="J12" s="35"/>
      <c r="K12" s="57">
        <f>K2+K11</f>
        <v>21894.2305</v>
      </c>
      <c r="M12" s="35" t="s">
        <v>103</v>
      </c>
      <c r="N12" s="35"/>
      <c r="O12" s="57">
        <f>O2+O11</f>
        <v>21894.2305</v>
      </c>
    </row>
    <row r="13" ht="14.25" customHeight="1">
      <c r="C13" s="13"/>
      <c r="G13" s="13"/>
    </row>
    <row r="14" ht="14.25" customHeight="1">
      <c r="C14" s="13"/>
      <c r="G14" s="13"/>
    </row>
    <row r="15" ht="14.25" customHeight="1">
      <c r="A15" s="51" t="s">
        <v>115</v>
      </c>
      <c r="B15" s="51" t="s">
        <v>112</v>
      </c>
      <c r="C15" s="51" t="s">
        <v>113</v>
      </c>
      <c r="E15" s="51" t="s">
        <v>118</v>
      </c>
      <c r="F15" s="51" t="s">
        <v>112</v>
      </c>
      <c r="G15" s="51" t="s">
        <v>113</v>
      </c>
      <c r="I15" s="51" t="s">
        <v>119</v>
      </c>
      <c r="J15" s="51" t="s">
        <v>112</v>
      </c>
      <c r="K15" s="51" t="s">
        <v>113</v>
      </c>
      <c r="M15" s="51" t="s">
        <v>120</v>
      </c>
      <c r="N15" s="51" t="s">
        <v>112</v>
      </c>
      <c r="O15" s="51" t="s">
        <v>113</v>
      </c>
    </row>
    <row r="16" ht="14.25" customHeight="1">
      <c r="A16" s="54" t="s">
        <v>117</v>
      </c>
      <c r="B16" s="54"/>
      <c r="C16" s="55">
        <v>15000.0</v>
      </c>
      <c r="E16" s="54" t="s">
        <v>117</v>
      </c>
      <c r="F16" s="54"/>
      <c r="G16" s="55">
        <v>16500.0</v>
      </c>
      <c r="I16" s="54" t="s">
        <v>117</v>
      </c>
      <c r="J16" s="54"/>
      <c r="K16" s="55">
        <v>16500.0</v>
      </c>
      <c r="M16" s="54" t="s">
        <v>117</v>
      </c>
      <c r="N16" s="54"/>
      <c r="O16" s="55">
        <v>16500.0</v>
      </c>
    </row>
    <row r="17" ht="14.25" customHeight="1">
      <c r="A17" s="54" t="s">
        <v>94</v>
      </c>
      <c r="B17" s="56">
        <v>0.03</v>
      </c>
      <c r="C17" s="57">
        <f>C16*B17</f>
        <v>450</v>
      </c>
      <c r="E17" s="54" t="s">
        <v>94</v>
      </c>
      <c r="F17" s="56">
        <v>0.03</v>
      </c>
      <c r="G17" s="57">
        <f>G16*F17</f>
        <v>495</v>
      </c>
      <c r="I17" s="54" t="s">
        <v>94</v>
      </c>
      <c r="J17" s="56">
        <v>0.03</v>
      </c>
      <c r="K17" s="57">
        <f>K16*J17</f>
        <v>495</v>
      </c>
      <c r="M17" s="54" t="s">
        <v>94</v>
      </c>
      <c r="N17" s="56">
        <v>0.03</v>
      </c>
      <c r="O17" s="57">
        <f>O16*N17</f>
        <v>495</v>
      </c>
    </row>
    <row r="18" ht="14.25" customHeight="1">
      <c r="A18" s="54" t="s">
        <v>96</v>
      </c>
      <c r="B18" s="56">
        <v>0.2</v>
      </c>
      <c r="C18" s="57">
        <f>C16*B18</f>
        <v>3000</v>
      </c>
      <c r="E18" s="54" t="s">
        <v>96</v>
      </c>
      <c r="F18" s="56">
        <v>0.2</v>
      </c>
      <c r="G18" s="57">
        <f>G16*F18</f>
        <v>3300</v>
      </c>
      <c r="I18" s="54" t="s">
        <v>96</v>
      </c>
      <c r="J18" s="56">
        <v>0.2</v>
      </c>
      <c r="K18" s="57">
        <f>K16*J18</f>
        <v>3300</v>
      </c>
      <c r="M18" s="54" t="s">
        <v>96</v>
      </c>
      <c r="N18" s="56">
        <v>0.2</v>
      </c>
      <c r="O18" s="57">
        <f>O16*N18</f>
        <v>3300</v>
      </c>
    </row>
    <row r="19" ht="14.25" customHeight="1">
      <c r="A19" s="54" t="s">
        <v>127</v>
      </c>
      <c r="B19" s="56">
        <v>0.13</v>
      </c>
      <c r="C19" s="57">
        <f>C16*B19</f>
        <v>1950</v>
      </c>
      <c r="E19" s="54" t="s">
        <v>127</v>
      </c>
      <c r="F19" s="56">
        <v>0.13</v>
      </c>
      <c r="G19" s="57">
        <f>G16*F19</f>
        <v>2145</v>
      </c>
      <c r="I19" s="54" t="s">
        <v>127</v>
      </c>
      <c r="J19" s="56">
        <v>0.13</v>
      </c>
      <c r="K19" s="57">
        <f>K16*J19</f>
        <v>2145</v>
      </c>
      <c r="M19" s="54" t="s">
        <v>127</v>
      </c>
      <c r="N19" s="56">
        <v>0.13</v>
      </c>
      <c r="O19" s="57">
        <f>O16*N19</f>
        <v>2145</v>
      </c>
    </row>
    <row r="20" ht="14.25" customHeight="1">
      <c r="A20" s="54" t="s">
        <v>98</v>
      </c>
      <c r="B20" s="54"/>
      <c r="C20" s="57"/>
      <c r="E20" s="54" t="s">
        <v>98</v>
      </c>
      <c r="F20" s="54"/>
      <c r="G20" s="57"/>
      <c r="I20" s="54" t="s">
        <v>98</v>
      </c>
      <c r="J20" s="54"/>
      <c r="K20" s="57"/>
      <c r="M20" s="54" t="s">
        <v>98</v>
      </c>
      <c r="N20" s="54"/>
      <c r="O20" s="57"/>
    </row>
    <row r="21" ht="14.25" customHeight="1">
      <c r="A21" s="54" t="s">
        <v>99</v>
      </c>
      <c r="B21" s="54">
        <v>0.288461</v>
      </c>
      <c r="C21" s="57">
        <f>(C16/30)*B21</f>
        <v>144.2305</v>
      </c>
      <c r="E21" s="54" t="s">
        <v>99</v>
      </c>
      <c r="F21" s="54">
        <v>0.288461</v>
      </c>
      <c r="G21" s="57">
        <f>(G16/30)*F21</f>
        <v>158.65355</v>
      </c>
      <c r="I21" s="54" t="s">
        <v>99</v>
      </c>
      <c r="J21" s="54">
        <v>0.288461</v>
      </c>
      <c r="K21" s="57">
        <f>(K16/30)*J21</f>
        <v>158.65355</v>
      </c>
      <c r="M21" s="54" t="s">
        <v>99</v>
      </c>
      <c r="N21" s="54">
        <v>0.288461</v>
      </c>
      <c r="O21" s="57">
        <f>(O16/30)*N21</f>
        <v>158.65355</v>
      </c>
    </row>
    <row r="22" ht="14.25" customHeight="1">
      <c r="A22" s="54" t="s">
        <v>100</v>
      </c>
      <c r="B22" s="56">
        <v>0.07</v>
      </c>
      <c r="C22" s="57">
        <f>C16*B22</f>
        <v>1050</v>
      </c>
      <c r="E22" s="54" t="s">
        <v>100</v>
      </c>
      <c r="F22" s="56">
        <v>0.07</v>
      </c>
      <c r="G22" s="57">
        <f>G16*F22</f>
        <v>1155</v>
      </c>
      <c r="I22" s="54" t="s">
        <v>100</v>
      </c>
      <c r="J22" s="56">
        <v>0.07</v>
      </c>
      <c r="K22" s="57">
        <f>K16*J22</f>
        <v>1155</v>
      </c>
      <c r="M22" s="54" t="s">
        <v>100</v>
      </c>
      <c r="N22" s="56">
        <v>0.07</v>
      </c>
      <c r="O22" s="57">
        <f>O16*N22</f>
        <v>1155</v>
      </c>
    </row>
    <row r="23" ht="14.25" customHeight="1">
      <c r="A23" s="54" t="s">
        <v>101</v>
      </c>
      <c r="B23" s="56">
        <v>0.02</v>
      </c>
      <c r="C23" s="57">
        <f>C16*B23</f>
        <v>300</v>
      </c>
      <c r="E23" s="54" t="s">
        <v>101</v>
      </c>
      <c r="F23" s="56">
        <v>0.02</v>
      </c>
      <c r="G23" s="57">
        <f>G16*F23</f>
        <v>330</v>
      </c>
      <c r="I23" s="54" t="s">
        <v>101</v>
      </c>
      <c r="J23" s="56">
        <v>0.02</v>
      </c>
      <c r="K23" s="57">
        <f>K16*J23</f>
        <v>330</v>
      </c>
      <c r="M23" s="54" t="s">
        <v>101</v>
      </c>
      <c r="N23" s="56">
        <v>0.02</v>
      </c>
      <c r="O23" s="57">
        <f>O16*N23</f>
        <v>330</v>
      </c>
    </row>
    <row r="24" ht="14.25" customHeight="1">
      <c r="A24" s="54" t="s">
        <v>102</v>
      </c>
      <c r="B24" s="56">
        <v>0.1792</v>
      </c>
      <c r="C24" s="57"/>
      <c r="E24" s="54" t="s">
        <v>102</v>
      </c>
      <c r="F24" s="56">
        <v>0.2136</v>
      </c>
      <c r="G24" s="57">
        <f>F24*G16</f>
        <v>3524.4</v>
      </c>
      <c r="I24" s="54" t="s">
        <v>102</v>
      </c>
      <c r="J24" s="56">
        <v>0.2136</v>
      </c>
      <c r="K24" s="57">
        <f>J24*K16</f>
        <v>3524.4</v>
      </c>
      <c r="M24" s="54" t="s">
        <v>102</v>
      </c>
      <c r="N24" s="56">
        <v>0.2136</v>
      </c>
      <c r="O24" s="57">
        <f>N24*O16</f>
        <v>3524.4</v>
      </c>
    </row>
    <row r="25" ht="14.25" customHeight="1">
      <c r="A25" s="35"/>
      <c r="B25" s="35"/>
      <c r="C25" s="57">
        <f>SUM(C17:C23)</f>
        <v>6894.2305</v>
      </c>
      <c r="E25" s="35"/>
      <c r="F25" s="35"/>
      <c r="G25" s="57">
        <f>SUM(G17:G23)</f>
        <v>7583.65355</v>
      </c>
      <c r="I25" s="35"/>
      <c r="J25" s="35"/>
      <c r="K25" s="57">
        <f>SUM(K17:K23)</f>
        <v>7583.65355</v>
      </c>
      <c r="M25" s="35"/>
      <c r="N25" s="35"/>
      <c r="O25" s="57">
        <f>SUM(O17:O23)</f>
        <v>7583.65355</v>
      </c>
    </row>
    <row r="26" ht="14.25" customHeight="1">
      <c r="A26" s="35" t="s">
        <v>103</v>
      </c>
      <c r="B26" s="35"/>
      <c r="C26" s="57">
        <f>C16+C25</f>
        <v>21894.2305</v>
      </c>
      <c r="E26" s="35" t="s">
        <v>103</v>
      </c>
      <c r="F26" s="35"/>
      <c r="G26" s="57">
        <f>G16+G25</f>
        <v>24083.65355</v>
      </c>
      <c r="I26" s="35" t="s">
        <v>103</v>
      </c>
      <c r="J26" s="35"/>
      <c r="K26" s="57">
        <f>K16+K25</f>
        <v>24083.65355</v>
      </c>
      <c r="M26" s="35" t="s">
        <v>103</v>
      </c>
      <c r="N26" s="35"/>
      <c r="O26" s="57">
        <f>O16+O25</f>
        <v>24083.65355</v>
      </c>
    </row>
    <row r="27" ht="14.25" customHeight="1">
      <c r="C27" s="13"/>
    </row>
    <row r="28" ht="14.25" customHeight="1">
      <c r="C28" s="13"/>
    </row>
    <row r="29" ht="14.25" customHeight="1">
      <c r="A29" s="51" t="s">
        <v>121</v>
      </c>
      <c r="B29" s="51" t="s">
        <v>112</v>
      </c>
      <c r="C29" s="51" t="s">
        <v>113</v>
      </c>
      <c r="E29" s="51" t="s">
        <v>122</v>
      </c>
      <c r="F29" s="51" t="s">
        <v>112</v>
      </c>
      <c r="G29" s="51" t="s">
        <v>113</v>
      </c>
      <c r="I29" s="51" t="s">
        <v>123</v>
      </c>
      <c r="J29" s="51" t="s">
        <v>112</v>
      </c>
      <c r="K29" s="51" t="s">
        <v>113</v>
      </c>
      <c r="M29" s="51" t="s">
        <v>124</v>
      </c>
      <c r="N29" s="51" t="s">
        <v>112</v>
      </c>
      <c r="O29" s="51" t="s">
        <v>113</v>
      </c>
    </row>
    <row r="30" ht="14.25" customHeight="1">
      <c r="A30" s="54" t="s">
        <v>117</v>
      </c>
      <c r="B30" s="54"/>
      <c r="C30" s="55">
        <v>21000.0</v>
      </c>
      <c r="E30" s="54" t="s">
        <v>117</v>
      </c>
      <c r="F30" s="54"/>
      <c r="G30" s="55">
        <v>21000.0</v>
      </c>
      <c r="I30" s="54" t="s">
        <v>117</v>
      </c>
      <c r="J30" s="54"/>
      <c r="K30" s="55">
        <v>16500.0</v>
      </c>
      <c r="M30" s="54" t="s">
        <v>117</v>
      </c>
      <c r="N30" s="54"/>
      <c r="O30" s="55">
        <v>21000.0</v>
      </c>
    </row>
    <row r="31" ht="14.25" customHeight="1">
      <c r="A31" s="54" t="s">
        <v>94</v>
      </c>
      <c r="B31" s="56">
        <v>0.03</v>
      </c>
      <c r="C31" s="57">
        <f>C30*B31</f>
        <v>630</v>
      </c>
      <c r="E31" s="54" t="s">
        <v>94</v>
      </c>
      <c r="F31" s="56">
        <v>0.03</v>
      </c>
      <c r="G31" s="57">
        <f>G30*F31</f>
        <v>630</v>
      </c>
      <c r="I31" s="54" t="s">
        <v>94</v>
      </c>
      <c r="J31" s="56">
        <v>0.03</v>
      </c>
      <c r="K31" s="57">
        <f>K30*J31</f>
        <v>495</v>
      </c>
      <c r="M31" s="54" t="s">
        <v>94</v>
      </c>
      <c r="N31" s="56">
        <v>0.03</v>
      </c>
      <c r="O31" s="57">
        <f>O30*N31</f>
        <v>630</v>
      </c>
    </row>
    <row r="32" ht="14.25" customHeight="1">
      <c r="A32" s="54" t="s">
        <v>96</v>
      </c>
      <c r="B32" s="56">
        <v>0.2</v>
      </c>
      <c r="C32" s="57">
        <f>C30*B32</f>
        <v>4200</v>
      </c>
      <c r="E32" s="54" t="s">
        <v>96</v>
      </c>
      <c r="F32" s="56">
        <v>0.2</v>
      </c>
      <c r="G32" s="57">
        <f>G30*F32</f>
        <v>4200</v>
      </c>
      <c r="I32" s="54" t="s">
        <v>96</v>
      </c>
      <c r="J32" s="56">
        <v>0.2</v>
      </c>
      <c r="K32" s="57">
        <f>K30*J32</f>
        <v>3300</v>
      </c>
      <c r="M32" s="54" t="s">
        <v>96</v>
      </c>
      <c r="N32" s="56">
        <v>0.2</v>
      </c>
      <c r="O32" s="57">
        <f>O30*N32</f>
        <v>4200</v>
      </c>
    </row>
    <row r="33" ht="14.25" customHeight="1">
      <c r="A33" s="54" t="s">
        <v>127</v>
      </c>
      <c r="B33" s="56">
        <v>0.13</v>
      </c>
      <c r="C33" s="57">
        <f>C30*B33</f>
        <v>2730</v>
      </c>
      <c r="E33" s="54" t="s">
        <v>127</v>
      </c>
      <c r="F33" s="56">
        <v>0.13</v>
      </c>
      <c r="G33" s="57">
        <f>G30*F33</f>
        <v>2730</v>
      </c>
      <c r="I33" s="54" t="s">
        <v>127</v>
      </c>
      <c r="J33" s="56">
        <v>0.13</v>
      </c>
      <c r="K33" s="57">
        <f>K30*J33</f>
        <v>2145</v>
      </c>
      <c r="M33" s="54" t="s">
        <v>127</v>
      </c>
      <c r="N33" s="56">
        <v>0.13</v>
      </c>
      <c r="O33" s="57">
        <f>O30*N33</f>
        <v>2730</v>
      </c>
    </row>
    <row r="34" ht="14.25" customHeight="1">
      <c r="A34" s="54" t="s">
        <v>98</v>
      </c>
      <c r="B34" s="54"/>
      <c r="C34" s="57"/>
      <c r="E34" s="54" t="s">
        <v>98</v>
      </c>
      <c r="F34" s="54"/>
      <c r="G34" s="57"/>
      <c r="I34" s="54" t="s">
        <v>98</v>
      </c>
      <c r="J34" s="54"/>
      <c r="K34" s="57"/>
      <c r="M34" s="54" t="s">
        <v>98</v>
      </c>
      <c r="N34" s="54"/>
      <c r="O34" s="57"/>
    </row>
    <row r="35" ht="14.25" customHeight="1">
      <c r="A35" s="54" t="s">
        <v>99</v>
      </c>
      <c r="B35" s="54">
        <v>0.288461</v>
      </c>
      <c r="C35" s="57">
        <f>(C30/30)*B35</f>
        <v>201.9227</v>
      </c>
      <c r="E35" s="54" t="s">
        <v>99</v>
      </c>
      <c r="F35" s="54">
        <v>0.288461</v>
      </c>
      <c r="G35" s="57">
        <f>(G30/30)*F35</f>
        <v>201.9227</v>
      </c>
      <c r="I35" s="54" t="s">
        <v>99</v>
      </c>
      <c r="J35" s="54">
        <v>0.288461</v>
      </c>
      <c r="K35" s="57">
        <f>(K30/30)*J35</f>
        <v>158.65355</v>
      </c>
      <c r="M35" s="54" t="s">
        <v>99</v>
      </c>
      <c r="N35" s="54">
        <v>0.288461</v>
      </c>
      <c r="O35" s="57">
        <f>(O30/30)*N35</f>
        <v>201.9227</v>
      </c>
    </row>
    <row r="36" ht="14.25" customHeight="1">
      <c r="A36" s="54" t="s">
        <v>100</v>
      </c>
      <c r="B36" s="56">
        <v>0.07</v>
      </c>
      <c r="C36" s="57">
        <f>C30*B36</f>
        <v>1470</v>
      </c>
      <c r="E36" s="54" t="s">
        <v>100</v>
      </c>
      <c r="F36" s="56">
        <v>0.07</v>
      </c>
      <c r="G36" s="57">
        <f>G30*F36</f>
        <v>1470</v>
      </c>
      <c r="I36" s="54" t="s">
        <v>100</v>
      </c>
      <c r="J36" s="56">
        <v>0.07</v>
      </c>
      <c r="K36" s="57">
        <f>K30*J36</f>
        <v>1155</v>
      </c>
      <c r="M36" s="54" t="s">
        <v>100</v>
      </c>
      <c r="N36" s="56">
        <v>0.07</v>
      </c>
      <c r="O36" s="57">
        <f>O30*N36</f>
        <v>1470</v>
      </c>
    </row>
    <row r="37" ht="14.25" customHeight="1">
      <c r="A37" s="54" t="s">
        <v>101</v>
      </c>
      <c r="B37" s="56">
        <v>0.02</v>
      </c>
      <c r="C37" s="57">
        <f>C30*B37</f>
        <v>420</v>
      </c>
      <c r="E37" s="54" t="s">
        <v>101</v>
      </c>
      <c r="F37" s="56">
        <v>0.02</v>
      </c>
      <c r="G37" s="57">
        <f>G30*F37</f>
        <v>420</v>
      </c>
      <c r="I37" s="54" t="s">
        <v>101</v>
      </c>
      <c r="J37" s="56">
        <v>0.02</v>
      </c>
      <c r="K37" s="57">
        <f>K30*J37</f>
        <v>330</v>
      </c>
      <c r="M37" s="54" t="s">
        <v>101</v>
      </c>
      <c r="N37" s="56">
        <v>0.02</v>
      </c>
      <c r="O37" s="57">
        <f>O30*N37</f>
        <v>420</v>
      </c>
    </row>
    <row r="38" ht="14.25" customHeight="1">
      <c r="A38" s="54" t="s">
        <v>102</v>
      </c>
      <c r="B38" s="56">
        <v>0.2136</v>
      </c>
      <c r="C38" s="57">
        <f>B38*C30</f>
        <v>4485.6</v>
      </c>
      <c r="E38" s="54" t="s">
        <v>102</v>
      </c>
      <c r="F38" s="56">
        <v>0.2136</v>
      </c>
      <c r="G38" s="57">
        <f>F38*G30</f>
        <v>4485.6</v>
      </c>
      <c r="I38" s="54" t="s">
        <v>102</v>
      </c>
      <c r="J38" s="56">
        <v>0.2136</v>
      </c>
      <c r="K38" s="57">
        <f>J38*K30</f>
        <v>3524.4</v>
      </c>
      <c r="M38" s="54" t="s">
        <v>102</v>
      </c>
      <c r="N38" s="56">
        <v>0.2136</v>
      </c>
      <c r="O38" s="57">
        <f>N38*O30</f>
        <v>4485.6</v>
      </c>
    </row>
    <row r="39" ht="14.25" customHeight="1">
      <c r="A39" s="35"/>
      <c r="B39" s="35"/>
      <c r="C39" s="57">
        <f>SUM(C31:C37)</f>
        <v>9651.9227</v>
      </c>
      <c r="E39" s="35"/>
      <c r="F39" s="35"/>
      <c r="G39" s="57">
        <f>SUM(G31:G37)</f>
        <v>9651.9227</v>
      </c>
      <c r="I39" s="35"/>
      <c r="J39" s="35"/>
      <c r="K39" s="57">
        <f>SUM(K31:K37)</f>
        <v>7583.65355</v>
      </c>
      <c r="M39" s="35"/>
      <c r="N39" s="35"/>
      <c r="O39" s="57">
        <f>SUM(O31:O37)</f>
        <v>9651.9227</v>
      </c>
    </row>
    <row r="40" ht="14.25" customHeight="1">
      <c r="A40" s="35" t="s">
        <v>103</v>
      </c>
      <c r="B40" s="35"/>
      <c r="C40" s="57">
        <f>C30+C39</f>
        <v>30651.9227</v>
      </c>
      <c r="E40" s="35" t="s">
        <v>103</v>
      </c>
      <c r="F40" s="35"/>
      <c r="G40" s="57">
        <f>G30+G39</f>
        <v>30651.9227</v>
      </c>
      <c r="I40" s="35" t="s">
        <v>103</v>
      </c>
      <c r="J40" s="35"/>
      <c r="K40" s="57">
        <f>K30+K39</f>
        <v>24083.65355</v>
      </c>
      <c r="M40" s="35" t="s">
        <v>103</v>
      </c>
      <c r="N40" s="35"/>
      <c r="O40" s="57">
        <f>O30+O39</f>
        <v>30651.9227</v>
      </c>
    </row>
    <row r="41" ht="14.25" customHeight="1"/>
    <row r="42" ht="14.25" customHeight="1"/>
    <row r="43" ht="14.25" customHeight="1">
      <c r="A43" s="51" t="s">
        <v>126</v>
      </c>
      <c r="B43" s="51" t="s">
        <v>112</v>
      </c>
      <c r="C43" s="51" t="s">
        <v>113</v>
      </c>
    </row>
    <row r="44" ht="14.25" customHeight="1">
      <c r="A44" s="54" t="s">
        <v>117</v>
      </c>
      <c r="B44" s="54"/>
      <c r="C44" s="55">
        <v>35000.0</v>
      </c>
    </row>
    <row r="45" ht="14.25" customHeight="1">
      <c r="A45" s="54" t="s">
        <v>94</v>
      </c>
      <c r="B45" s="56">
        <v>0.03</v>
      </c>
      <c r="C45" s="57">
        <f>C44*B45</f>
        <v>1050</v>
      </c>
    </row>
    <row r="46" ht="14.25" customHeight="1">
      <c r="A46" s="54" t="s">
        <v>96</v>
      </c>
      <c r="B46" s="56">
        <v>0.2</v>
      </c>
      <c r="C46" s="57">
        <f>C44*B46</f>
        <v>7000</v>
      </c>
    </row>
    <row r="47" ht="14.25" customHeight="1">
      <c r="A47" s="54" t="s">
        <v>127</v>
      </c>
      <c r="B47" s="56">
        <v>0.13</v>
      </c>
      <c r="C47" s="57">
        <f>C44*B47</f>
        <v>4550</v>
      </c>
    </row>
    <row r="48" ht="14.25" customHeight="1">
      <c r="A48" s="54" t="s">
        <v>98</v>
      </c>
      <c r="B48" s="54"/>
      <c r="C48" s="57"/>
    </row>
    <row r="49" ht="14.25" customHeight="1">
      <c r="A49" s="54" t="s">
        <v>99</v>
      </c>
      <c r="B49" s="54">
        <v>0.288461</v>
      </c>
      <c r="C49" s="57">
        <f>(C44/30)*B49</f>
        <v>336.5378333</v>
      </c>
    </row>
    <row r="50" ht="14.25" customHeight="1">
      <c r="A50" s="54" t="s">
        <v>100</v>
      </c>
      <c r="B50" s="56">
        <v>0.07</v>
      </c>
      <c r="C50" s="57">
        <f>C44*B50</f>
        <v>2450</v>
      </c>
    </row>
    <row r="51" ht="14.25" customHeight="1">
      <c r="A51" s="54" t="s">
        <v>101</v>
      </c>
      <c r="B51" s="56">
        <v>0.02</v>
      </c>
      <c r="C51" s="57">
        <f>C44*B51</f>
        <v>700</v>
      </c>
    </row>
    <row r="52" ht="14.25" customHeight="1">
      <c r="A52" s="54" t="s">
        <v>102</v>
      </c>
      <c r="B52" s="56">
        <v>0.2352</v>
      </c>
      <c r="C52" s="57">
        <f>C44*B52</f>
        <v>8232</v>
      </c>
    </row>
    <row r="53" ht="14.25" customHeight="1">
      <c r="A53" s="35"/>
      <c r="B53" s="35"/>
      <c r="C53" s="57">
        <f>SUM(C45:C51)</f>
        <v>16086.53783</v>
      </c>
    </row>
    <row r="54" ht="14.25" customHeight="1">
      <c r="A54" s="35" t="s">
        <v>103</v>
      </c>
      <c r="B54" s="35"/>
      <c r="C54" s="57">
        <f>C44+C53</f>
        <v>51086.53783</v>
      </c>
    </row>
    <row r="55" ht="14.25" customHeight="1"/>
    <row r="56" ht="14.25" customHeight="1"/>
    <row r="57" ht="14.25" customHeight="1">
      <c r="A57" s="2" t="s">
        <v>200</v>
      </c>
    </row>
    <row r="58" ht="14.25" customHeight="1"/>
    <row r="59" ht="14.25" customHeight="1">
      <c r="A59" s="51" t="s">
        <v>129</v>
      </c>
      <c r="B59" s="51" t="s">
        <v>112</v>
      </c>
      <c r="C59" s="51" t="s">
        <v>113</v>
      </c>
      <c r="E59" s="51" t="s">
        <v>133</v>
      </c>
      <c r="F59" s="51" t="s">
        <v>112</v>
      </c>
      <c r="G59" s="51" t="s">
        <v>113</v>
      </c>
      <c r="I59" s="51" t="s">
        <v>137</v>
      </c>
      <c r="J59" s="51" t="s">
        <v>112</v>
      </c>
      <c r="K59" s="51" t="s">
        <v>113</v>
      </c>
      <c r="M59" s="51" t="s">
        <v>138</v>
      </c>
      <c r="N59" s="51" t="s">
        <v>112</v>
      </c>
      <c r="O59" s="51" t="s">
        <v>113</v>
      </c>
    </row>
    <row r="60" ht="14.25" customHeight="1">
      <c r="A60" s="54" t="s">
        <v>117</v>
      </c>
      <c r="B60" s="54"/>
      <c r="C60" s="55">
        <v>21000.0</v>
      </c>
      <c r="E60" s="54" t="s">
        <v>117</v>
      </c>
      <c r="F60" s="54"/>
      <c r="G60" s="55">
        <v>25000.0</v>
      </c>
      <c r="I60" s="54" t="s">
        <v>117</v>
      </c>
      <c r="J60" s="54"/>
      <c r="K60" s="55">
        <v>21000.0</v>
      </c>
      <c r="M60" s="54" t="s">
        <v>117</v>
      </c>
      <c r="N60" s="54"/>
      <c r="O60" s="55">
        <v>21000.0</v>
      </c>
    </row>
    <row r="61" ht="14.25" customHeight="1">
      <c r="A61" s="54" t="s">
        <v>94</v>
      </c>
      <c r="B61" s="56">
        <v>0.03</v>
      </c>
      <c r="C61" s="57">
        <f>C60*B61</f>
        <v>630</v>
      </c>
      <c r="E61" s="54" t="s">
        <v>94</v>
      </c>
      <c r="F61" s="56">
        <v>0.03</v>
      </c>
      <c r="G61" s="57">
        <f>G60*F61</f>
        <v>750</v>
      </c>
      <c r="I61" s="54" t="s">
        <v>94</v>
      </c>
      <c r="J61" s="56">
        <v>0.03</v>
      </c>
      <c r="K61" s="57">
        <f>K60*J61</f>
        <v>630</v>
      </c>
      <c r="M61" s="54" t="s">
        <v>94</v>
      </c>
      <c r="N61" s="56">
        <v>0.03</v>
      </c>
      <c r="O61" s="57">
        <f>O60*N61</f>
        <v>630</v>
      </c>
    </row>
    <row r="62" ht="14.25" customHeight="1">
      <c r="A62" s="54" t="s">
        <v>96</v>
      </c>
      <c r="B62" s="56">
        <v>0.2</v>
      </c>
      <c r="C62" s="57">
        <f>C60*B62</f>
        <v>4200</v>
      </c>
      <c r="E62" s="54" t="s">
        <v>96</v>
      </c>
      <c r="F62" s="56">
        <v>0.2</v>
      </c>
      <c r="G62" s="57">
        <f>G60*F62</f>
        <v>5000</v>
      </c>
      <c r="I62" s="54" t="s">
        <v>96</v>
      </c>
      <c r="J62" s="56">
        <v>0.2</v>
      </c>
      <c r="K62" s="57">
        <f>K60*J62</f>
        <v>4200</v>
      </c>
      <c r="M62" s="54" t="s">
        <v>96</v>
      </c>
      <c r="N62" s="56">
        <v>0.2</v>
      </c>
      <c r="O62" s="57">
        <f>O60*N62</f>
        <v>4200</v>
      </c>
    </row>
    <row r="63" ht="14.25" customHeight="1">
      <c r="A63" s="54" t="s">
        <v>127</v>
      </c>
      <c r="B63" s="56">
        <v>0.13</v>
      </c>
      <c r="C63" s="57">
        <f>C60*B63</f>
        <v>2730</v>
      </c>
      <c r="E63" s="54" t="s">
        <v>127</v>
      </c>
      <c r="F63" s="56">
        <v>0.13</v>
      </c>
      <c r="G63" s="57">
        <f>G60*F63</f>
        <v>3250</v>
      </c>
      <c r="I63" s="54" t="s">
        <v>127</v>
      </c>
      <c r="J63" s="56">
        <v>0.13</v>
      </c>
      <c r="K63" s="57">
        <f>K60*J63</f>
        <v>2730</v>
      </c>
      <c r="M63" s="54" t="s">
        <v>127</v>
      </c>
      <c r="N63" s="56">
        <v>0.13</v>
      </c>
      <c r="O63" s="57">
        <f>O60*N63</f>
        <v>2730</v>
      </c>
    </row>
    <row r="64" ht="14.25" customHeight="1">
      <c r="A64" s="54" t="s">
        <v>98</v>
      </c>
      <c r="B64" s="54"/>
      <c r="C64" s="57"/>
      <c r="E64" s="54" t="s">
        <v>98</v>
      </c>
      <c r="F64" s="54"/>
      <c r="G64" s="57"/>
      <c r="I64" s="54" t="s">
        <v>98</v>
      </c>
      <c r="J64" s="54"/>
      <c r="K64" s="57"/>
      <c r="M64" s="54" t="s">
        <v>98</v>
      </c>
      <c r="N64" s="54"/>
      <c r="O64" s="57"/>
    </row>
    <row r="65" ht="14.25" customHeight="1">
      <c r="A65" s="54" t="s">
        <v>99</v>
      </c>
      <c r="B65" s="54">
        <v>0.288461</v>
      </c>
      <c r="C65" s="57">
        <f>(C60/30)*B65</f>
        <v>201.9227</v>
      </c>
      <c r="E65" s="54" t="s">
        <v>99</v>
      </c>
      <c r="F65" s="54">
        <v>0.288461</v>
      </c>
      <c r="G65" s="57">
        <f>(G60/30)*F65</f>
        <v>240.3841667</v>
      </c>
      <c r="I65" s="54" t="s">
        <v>99</v>
      </c>
      <c r="J65" s="54">
        <v>0.288461</v>
      </c>
      <c r="K65" s="57">
        <f>(K60/30)*J65</f>
        <v>201.9227</v>
      </c>
      <c r="M65" s="54" t="s">
        <v>99</v>
      </c>
      <c r="N65" s="54">
        <v>0.288461</v>
      </c>
      <c r="O65" s="57">
        <f>(O60/30)*N65</f>
        <v>201.9227</v>
      </c>
    </row>
    <row r="66" ht="14.25" customHeight="1">
      <c r="A66" s="54" t="s">
        <v>100</v>
      </c>
      <c r="B66" s="56">
        <v>0.07</v>
      </c>
      <c r="C66" s="57">
        <f>C60*B66</f>
        <v>1470</v>
      </c>
      <c r="E66" s="54" t="s">
        <v>100</v>
      </c>
      <c r="F66" s="56">
        <v>0.07</v>
      </c>
      <c r="G66" s="57">
        <f>G60*F66</f>
        <v>1750</v>
      </c>
      <c r="I66" s="54" t="s">
        <v>100</v>
      </c>
      <c r="J66" s="56">
        <v>0.07</v>
      </c>
      <c r="K66" s="57">
        <f>K60*J66</f>
        <v>1470</v>
      </c>
      <c r="M66" s="54" t="s">
        <v>100</v>
      </c>
      <c r="N66" s="56">
        <v>0.07</v>
      </c>
      <c r="O66" s="57">
        <f>O60*N66</f>
        <v>1470</v>
      </c>
    </row>
    <row r="67" ht="14.25" customHeight="1">
      <c r="A67" s="54" t="s">
        <v>101</v>
      </c>
      <c r="B67" s="56">
        <v>0.02</v>
      </c>
      <c r="C67" s="57">
        <f>C60*B67</f>
        <v>420</v>
      </c>
      <c r="E67" s="54" t="s">
        <v>101</v>
      </c>
      <c r="F67" s="56">
        <v>0.02</v>
      </c>
      <c r="G67" s="57">
        <f>G60*F67</f>
        <v>500</v>
      </c>
      <c r="I67" s="54" t="s">
        <v>101</v>
      </c>
      <c r="J67" s="56">
        <v>0.02</v>
      </c>
      <c r="K67" s="57">
        <f>K60*J67</f>
        <v>420</v>
      </c>
      <c r="M67" s="54" t="s">
        <v>101</v>
      </c>
      <c r="N67" s="56">
        <v>0.02</v>
      </c>
      <c r="O67" s="57">
        <f>O60*N67</f>
        <v>420</v>
      </c>
    </row>
    <row r="68" ht="14.25" customHeight="1">
      <c r="A68" s="54" t="s">
        <v>102</v>
      </c>
      <c r="B68" s="56">
        <v>0.2136</v>
      </c>
      <c r="C68" s="57">
        <f>B68*C60</f>
        <v>4485.6</v>
      </c>
      <c r="E68" s="54" t="s">
        <v>102</v>
      </c>
      <c r="F68" s="56">
        <v>0.2136</v>
      </c>
      <c r="G68" s="57">
        <f>F68*G60</f>
        <v>5340</v>
      </c>
      <c r="I68" s="54" t="s">
        <v>102</v>
      </c>
      <c r="J68" s="56">
        <v>0.2136</v>
      </c>
      <c r="K68" s="57">
        <f>J68*K60</f>
        <v>4485.6</v>
      </c>
      <c r="M68" s="54" t="s">
        <v>102</v>
      </c>
      <c r="N68" s="56">
        <v>0.2136</v>
      </c>
      <c r="O68" s="57">
        <f>N68*O60</f>
        <v>4485.6</v>
      </c>
    </row>
    <row r="69" ht="14.25" customHeight="1">
      <c r="A69" s="35"/>
      <c r="B69" s="35"/>
      <c r="C69" s="57">
        <f>SUM(C61:C67)</f>
        <v>9651.9227</v>
      </c>
      <c r="E69" s="35"/>
      <c r="F69" s="35"/>
      <c r="G69" s="57">
        <f>SUM(G61:G67)</f>
        <v>11490.38417</v>
      </c>
      <c r="I69" s="35"/>
      <c r="J69" s="35"/>
      <c r="K69" s="57">
        <f>SUM(K61:K67)</f>
        <v>9651.9227</v>
      </c>
      <c r="M69" s="35"/>
      <c r="N69" s="35"/>
      <c r="O69" s="57">
        <f>SUM(O61:O67)</f>
        <v>9651.9227</v>
      </c>
    </row>
    <row r="70" ht="14.25" customHeight="1">
      <c r="A70" s="35" t="s">
        <v>103</v>
      </c>
      <c r="B70" s="35"/>
      <c r="C70" s="57">
        <f>C60+C69</f>
        <v>30651.9227</v>
      </c>
      <c r="E70" s="35" t="s">
        <v>103</v>
      </c>
      <c r="F70" s="35"/>
      <c r="G70" s="57">
        <f>G60+G69</f>
        <v>36490.38417</v>
      </c>
      <c r="I70" s="35" t="s">
        <v>103</v>
      </c>
      <c r="J70" s="35"/>
      <c r="K70" s="57">
        <f>K60+K69</f>
        <v>30651.9227</v>
      </c>
      <c r="M70" s="35" t="s">
        <v>103</v>
      </c>
      <c r="N70" s="35"/>
      <c r="O70" s="57">
        <f>O60+O69</f>
        <v>30651.9227</v>
      </c>
    </row>
    <row r="71" ht="14.25" customHeight="1"/>
    <row r="72" ht="14.25" customHeight="1"/>
    <row r="73" ht="14.25" customHeight="1">
      <c r="A73" s="51" t="s">
        <v>141</v>
      </c>
      <c r="B73" s="51" t="s">
        <v>112</v>
      </c>
      <c r="C73" s="51" t="s">
        <v>113</v>
      </c>
      <c r="E73" s="51" t="s">
        <v>201</v>
      </c>
      <c r="F73" s="51" t="s">
        <v>112</v>
      </c>
      <c r="G73" s="51" t="s">
        <v>113</v>
      </c>
      <c r="I73" s="51" t="s">
        <v>202</v>
      </c>
      <c r="J73" s="51" t="s">
        <v>112</v>
      </c>
      <c r="K73" s="51" t="s">
        <v>113</v>
      </c>
      <c r="M73" s="51" t="s">
        <v>148</v>
      </c>
      <c r="N73" s="51" t="s">
        <v>112</v>
      </c>
      <c r="O73" s="51" t="s">
        <v>113</v>
      </c>
    </row>
    <row r="74" ht="14.25" customHeight="1">
      <c r="A74" s="54" t="s">
        <v>117</v>
      </c>
      <c r="B74" s="54"/>
      <c r="C74" s="55">
        <v>18000.0</v>
      </c>
      <c r="E74" s="54" t="s">
        <v>117</v>
      </c>
      <c r="F74" s="54"/>
      <c r="G74" s="55">
        <v>25000.0</v>
      </c>
      <c r="I74" s="54" t="s">
        <v>117</v>
      </c>
      <c r="J74" s="54"/>
      <c r="K74" s="55">
        <v>25000.0</v>
      </c>
      <c r="M74" s="54" t="s">
        <v>117</v>
      </c>
      <c r="N74" s="54"/>
      <c r="O74" s="55">
        <v>35000.0</v>
      </c>
    </row>
    <row r="75" ht="14.25" customHeight="1">
      <c r="A75" s="54" t="s">
        <v>94</v>
      </c>
      <c r="B75" s="56">
        <v>0.03</v>
      </c>
      <c r="C75" s="57">
        <f>C74*B75</f>
        <v>540</v>
      </c>
      <c r="E75" s="54" t="s">
        <v>94</v>
      </c>
      <c r="F75" s="56">
        <v>0.03</v>
      </c>
      <c r="G75" s="57">
        <f>G74*F75</f>
        <v>750</v>
      </c>
      <c r="I75" s="54" t="s">
        <v>94</v>
      </c>
      <c r="J75" s="56">
        <v>0.03</v>
      </c>
      <c r="K75" s="57">
        <f>K74*J75</f>
        <v>750</v>
      </c>
      <c r="M75" s="54" t="s">
        <v>94</v>
      </c>
      <c r="N75" s="56">
        <v>0.03</v>
      </c>
      <c r="O75" s="57">
        <f>O74*N75</f>
        <v>1050</v>
      </c>
    </row>
    <row r="76" ht="14.25" customHeight="1">
      <c r="A76" s="54" t="s">
        <v>96</v>
      </c>
      <c r="B76" s="56">
        <v>0.2</v>
      </c>
      <c r="C76" s="57">
        <f>C74*B76</f>
        <v>3600</v>
      </c>
      <c r="E76" s="54" t="s">
        <v>96</v>
      </c>
      <c r="F76" s="56">
        <v>0.2</v>
      </c>
      <c r="G76" s="57">
        <f>G74*F76</f>
        <v>5000</v>
      </c>
      <c r="I76" s="54" t="s">
        <v>96</v>
      </c>
      <c r="J76" s="56">
        <v>0.2</v>
      </c>
      <c r="K76" s="57">
        <f>K74*J76</f>
        <v>5000</v>
      </c>
      <c r="M76" s="54" t="s">
        <v>96</v>
      </c>
      <c r="N76" s="56">
        <v>0.2</v>
      </c>
      <c r="O76" s="57">
        <f>O74*N76</f>
        <v>7000</v>
      </c>
    </row>
    <row r="77" ht="14.25" customHeight="1">
      <c r="A77" s="54" t="s">
        <v>127</v>
      </c>
      <c r="B77" s="56">
        <v>0.13</v>
      </c>
      <c r="C77" s="57">
        <f>C74*B77</f>
        <v>2340</v>
      </c>
      <c r="E77" s="54" t="s">
        <v>127</v>
      </c>
      <c r="F77" s="56">
        <v>0.13</v>
      </c>
      <c r="G77" s="57">
        <f>G74*F77</f>
        <v>3250</v>
      </c>
      <c r="I77" s="54" t="s">
        <v>127</v>
      </c>
      <c r="J77" s="56">
        <v>0.13</v>
      </c>
      <c r="K77" s="57">
        <f>K74*J77</f>
        <v>3250</v>
      </c>
      <c r="M77" s="54" t="s">
        <v>127</v>
      </c>
      <c r="N77" s="56">
        <v>0.13</v>
      </c>
      <c r="O77" s="57">
        <f>O74*N77</f>
        <v>4550</v>
      </c>
    </row>
    <row r="78" ht="14.25" customHeight="1">
      <c r="A78" s="54" t="s">
        <v>98</v>
      </c>
      <c r="B78" s="54"/>
      <c r="C78" s="57"/>
      <c r="E78" s="54" t="s">
        <v>98</v>
      </c>
      <c r="F78" s="54"/>
      <c r="G78" s="57"/>
      <c r="I78" s="54" t="s">
        <v>98</v>
      </c>
      <c r="J78" s="54"/>
      <c r="K78" s="57"/>
      <c r="M78" s="54" t="s">
        <v>98</v>
      </c>
      <c r="N78" s="54"/>
      <c r="O78" s="57"/>
    </row>
    <row r="79" ht="14.25" customHeight="1">
      <c r="A79" s="54" t="s">
        <v>99</v>
      </c>
      <c r="B79" s="54">
        <v>0.288461</v>
      </c>
      <c r="C79" s="57">
        <f>(C74/30)*B79</f>
        <v>173.0766</v>
      </c>
      <c r="E79" s="54" t="s">
        <v>99</v>
      </c>
      <c r="F79" s="54">
        <v>0.288461</v>
      </c>
      <c r="G79" s="57">
        <f>(G74/30)*F79</f>
        <v>240.3841667</v>
      </c>
      <c r="I79" s="54" t="s">
        <v>99</v>
      </c>
      <c r="J79" s="54">
        <v>0.288461</v>
      </c>
      <c r="K79" s="57">
        <f>(K74/30)*J79</f>
        <v>240.3841667</v>
      </c>
      <c r="M79" s="54" t="s">
        <v>99</v>
      </c>
      <c r="N79" s="54">
        <v>0.288461</v>
      </c>
      <c r="O79" s="57">
        <f>(O74/30)*N79</f>
        <v>336.5378333</v>
      </c>
    </row>
    <row r="80" ht="14.25" customHeight="1">
      <c r="A80" s="54" t="s">
        <v>100</v>
      </c>
      <c r="B80" s="56">
        <v>0.07</v>
      </c>
      <c r="C80" s="57">
        <f>C74*B80</f>
        <v>1260</v>
      </c>
      <c r="E80" s="54" t="s">
        <v>100</v>
      </c>
      <c r="F80" s="56">
        <v>0.07</v>
      </c>
      <c r="G80" s="57">
        <f>G74*F80</f>
        <v>1750</v>
      </c>
      <c r="I80" s="54" t="s">
        <v>100</v>
      </c>
      <c r="J80" s="56">
        <v>0.07</v>
      </c>
      <c r="K80" s="57">
        <f>K74*J80</f>
        <v>1750</v>
      </c>
      <c r="M80" s="54" t="s">
        <v>100</v>
      </c>
      <c r="N80" s="56">
        <v>0.07</v>
      </c>
      <c r="O80" s="57">
        <f>O74*N80</f>
        <v>2450</v>
      </c>
    </row>
    <row r="81" ht="14.25" customHeight="1">
      <c r="A81" s="54" t="s">
        <v>101</v>
      </c>
      <c r="B81" s="56">
        <v>0.02</v>
      </c>
      <c r="C81" s="57">
        <f>C74*B81</f>
        <v>360</v>
      </c>
      <c r="E81" s="54" t="s">
        <v>101</v>
      </c>
      <c r="F81" s="56">
        <v>0.02</v>
      </c>
      <c r="G81" s="57">
        <f>G74*F81</f>
        <v>500</v>
      </c>
      <c r="I81" s="54" t="s">
        <v>101</v>
      </c>
      <c r="J81" s="56">
        <v>0.02</v>
      </c>
      <c r="K81" s="57">
        <f>K74*J81</f>
        <v>500</v>
      </c>
      <c r="M81" s="54" t="s">
        <v>101</v>
      </c>
      <c r="N81" s="56">
        <v>0.02</v>
      </c>
      <c r="O81" s="57">
        <f>O74*N81</f>
        <v>700</v>
      </c>
    </row>
    <row r="82" ht="14.25" customHeight="1">
      <c r="A82" s="54" t="s">
        <v>102</v>
      </c>
      <c r="B82" s="56">
        <v>0.2136</v>
      </c>
      <c r="C82" s="57">
        <f>B82*C74</f>
        <v>3844.8</v>
      </c>
      <c r="E82" s="54" t="s">
        <v>102</v>
      </c>
      <c r="F82" s="56">
        <v>0.2136</v>
      </c>
      <c r="G82" s="57">
        <f>F82*G74</f>
        <v>5340</v>
      </c>
      <c r="I82" s="54" t="s">
        <v>102</v>
      </c>
      <c r="J82" s="56">
        <v>0.2136</v>
      </c>
      <c r="K82" s="57">
        <f>J82*K74</f>
        <v>5340</v>
      </c>
      <c r="M82" s="54" t="s">
        <v>102</v>
      </c>
      <c r="N82" s="56">
        <v>0.2352</v>
      </c>
      <c r="O82" s="57">
        <f>N82*O74</f>
        <v>8232</v>
      </c>
    </row>
    <row r="83" ht="14.25" customHeight="1">
      <c r="A83" s="35"/>
      <c r="B83" s="35"/>
      <c r="C83" s="57">
        <f>SUM(C75:C81)</f>
        <v>8273.0766</v>
      </c>
      <c r="E83" s="35"/>
      <c r="F83" s="35"/>
      <c r="G83" s="57">
        <f>SUM(G75:G81)</f>
        <v>11490.38417</v>
      </c>
      <c r="I83" s="35"/>
      <c r="J83" s="35"/>
      <c r="K83" s="57">
        <f>SUM(K75:K81)</f>
        <v>11490.38417</v>
      </c>
      <c r="M83" s="35"/>
      <c r="N83" s="35"/>
      <c r="O83" s="57">
        <f>SUM(O75:O81)</f>
        <v>16086.53783</v>
      </c>
    </row>
    <row r="84" ht="14.25" customHeight="1">
      <c r="A84" s="35" t="s">
        <v>103</v>
      </c>
      <c r="B84" s="35"/>
      <c r="C84" s="57">
        <f>C74+C83</f>
        <v>26273.0766</v>
      </c>
      <c r="E84" s="35" t="s">
        <v>103</v>
      </c>
      <c r="F84" s="35"/>
      <c r="G84" s="57">
        <f>G74+G83</f>
        <v>36490.38417</v>
      </c>
      <c r="I84" s="35" t="s">
        <v>103</v>
      </c>
      <c r="J84" s="35"/>
      <c r="K84" s="57">
        <f>K74+K83</f>
        <v>36490.38417</v>
      </c>
      <c r="M84" s="35" t="s">
        <v>103</v>
      </c>
      <c r="N84" s="35"/>
      <c r="O84" s="57">
        <f>O74+O83</f>
        <v>51086.53783</v>
      </c>
    </row>
    <row r="85" ht="14.25" customHeight="1"/>
    <row r="86" ht="14.25" customHeight="1"/>
    <row r="87" ht="14.25" customHeight="1">
      <c r="A87" s="51" t="s">
        <v>150</v>
      </c>
      <c r="B87" s="51" t="s">
        <v>112</v>
      </c>
      <c r="C87" s="51" t="s">
        <v>113</v>
      </c>
    </row>
    <row r="88" ht="14.25" customHeight="1">
      <c r="A88" s="54" t="s">
        <v>117</v>
      </c>
      <c r="B88" s="54"/>
      <c r="C88" s="55">
        <v>50000.0</v>
      </c>
    </row>
    <row r="89" ht="14.25" customHeight="1">
      <c r="A89" s="54" t="s">
        <v>94</v>
      </c>
      <c r="B89" s="56">
        <v>0.03</v>
      </c>
      <c r="C89" s="57">
        <f>C88*B89</f>
        <v>1500</v>
      </c>
    </row>
    <row r="90" ht="14.25" customHeight="1">
      <c r="A90" s="54" t="s">
        <v>96</v>
      </c>
      <c r="B90" s="56">
        <v>0.2</v>
      </c>
      <c r="C90" s="57">
        <f>C88*B90</f>
        <v>10000</v>
      </c>
    </row>
    <row r="91" ht="14.25" customHeight="1">
      <c r="A91" s="54" t="s">
        <v>127</v>
      </c>
      <c r="B91" s="56">
        <v>0.13</v>
      </c>
      <c r="C91" s="57">
        <f>C88*B91</f>
        <v>6500</v>
      </c>
    </row>
    <row r="92" ht="14.25" customHeight="1">
      <c r="A92" s="54" t="s">
        <v>98</v>
      </c>
      <c r="B92" s="54"/>
      <c r="C92" s="57"/>
    </row>
    <row r="93" ht="14.25" customHeight="1">
      <c r="A93" s="54" t="s">
        <v>99</v>
      </c>
      <c r="B93" s="54">
        <v>0.288461</v>
      </c>
      <c r="C93" s="57">
        <f>(C88/30)*B93</f>
        <v>480.7683333</v>
      </c>
    </row>
    <row r="94" ht="14.25" customHeight="1">
      <c r="A94" s="54" t="s">
        <v>100</v>
      </c>
      <c r="B94" s="56">
        <v>0.07</v>
      </c>
      <c r="C94" s="57">
        <f>C88*B94</f>
        <v>3500</v>
      </c>
    </row>
    <row r="95" ht="14.25" customHeight="1">
      <c r="A95" s="54" t="s">
        <v>101</v>
      </c>
      <c r="B95" s="56">
        <v>0.02</v>
      </c>
      <c r="C95" s="57">
        <f>C88*B95</f>
        <v>1000</v>
      </c>
    </row>
    <row r="96" ht="14.25" customHeight="1">
      <c r="A96" s="54" t="s">
        <v>102</v>
      </c>
      <c r="B96" s="56">
        <v>0.3</v>
      </c>
      <c r="C96" s="57">
        <f>B96*C88</f>
        <v>15000</v>
      </c>
    </row>
    <row r="97" ht="14.25" customHeight="1">
      <c r="A97" s="35"/>
      <c r="B97" s="35"/>
      <c r="C97" s="57">
        <f>SUM(C89:C95)</f>
        <v>22980.76833</v>
      </c>
    </row>
    <row r="98" ht="14.25" customHeight="1">
      <c r="A98" s="35" t="s">
        <v>103</v>
      </c>
      <c r="B98" s="35"/>
      <c r="C98" s="57">
        <f>C88+C97</f>
        <v>72980.76833</v>
      </c>
    </row>
    <row r="99" ht="14.25" customHeight="1"/>
    <row r="100" ht="14.25" customHeight="1"/>
    <row r="101" ht="14.25" customHeight="1">
      <c r="A101" s="51" t="s">
        <v>153</v>
      </c>
      <c r="B101" s="51" t="s">
        <v>112</v>
      </c>
      <c r="C101" s="51" t="s">
        <v>113</v>
      </c>
      <c r="E101" s="51" t="s">
        <v>156</v>
      </c>
      <c r="F101" s="51" t="s">
        <v>112</v>
      </c>
      <c r="G101" s="51" t="s">
        <v>113</v>
      </c>
      <c r="I101" s="51" t="s">
        <v>159</v>
      </c>
      <c r="J101" s="51" t="s">
        <v>112</v>
      </c>
      <c r="K101" s="51" t="s">
        <v>113</v>
      </c>
    </row>
    <row r="102" ht="14.25" customHeight="1">
      <c r="A102" s="54" t="s">
        <v>117</v>
      </c>
      <c r="B102" s="54"/>
      <c r="C102" s="55">
        <v>10000.0</v>
      </c>
      <c r="E102" s="54" t="s">
        <v>117</v>
      </c>
      <c r="F102" s="54"/>
      <c r="G102" s="55">
        <v>10000.0</v>
      </c>
      <c r="I102" s="54" t="s">
        <v>117</v>
      </c>
      <c r="J102" s="54"/>
      <c r="K102" s="55">
        <v>15000.0</v>
      </c>
    </row>
    <row r="103" ht="14.25" customHeight="1">
      <c r="A103" s="54" t="s">
        <v>94</v>
      </c>
      <c r="B103" s="56">
        <v>0.03</v>
      </c>
      <c r="C103" s="57">
        <f>C102*B103</f>
        <v>300</v>
      </c>
      <c r="E103" s="54" t="s">
        <v>94</v>
      </c>
      <c r="F103" s="56">
        <v>0.03</v>
      </c>
      <c r="G103" s="57">
        <f>G102*F103</f>
        <v>300</v>
      </c>
      <c r="I103" s="54" t="s">
        <v>94</v>
      </c>
      <c r="J103" s="56">
        <v>0.03</v>
      </c>
      <c r="K103" s="57">
        <f>K102*J103</f>
        <v>450</v>
      </c>
    </row>
    <row r="104" ht="14.25" customHeight="1">
      <c r="A104" s="54" t="s">
        <v>96</v>
      </c>
      <c r="B104" s="56">
        <v>0.2</v>
      </c>
      <c r="C104" s="57">
        <f>C102*B104</f>
        <v>2000</v>
      </c>
      <c r="E104" s="54" t="s">
        <v>96</v>
      </c>
      <c r="F104" s="56">
        <v>0.2</v>
      </c>
      <c r="G104" s="57">
        <f>G102*F104</f>
        <v>2000</v>
      </c>
      <c r="I104" s="54" t="s">
        <v>96</v>
      </c>
      <c r="J104" s="56">
        <v>0.2</v>
      </c>
      <c r="K104" s="57">
        <f>K102*J104</f>
        <v>3000</v>
      </c>
    </row>
    <row r="105" ht="14.25" customHeight="1">
      <c r="A105" s="54" t="s">
        <v>127</v>
      </c>
      <c r="B105" s="56">
        <v>0.13</v>
      </c>
      <c r="C105" s="57">
        <f>C102*B105</f>
        <v>1300</v>
      </c>
      <c r="E105" s="54" t="s">
        <v>127</v>
      </c>
      <c r="F105" s="56">
        <v>0.13</v>
      </c>
      <c r="G105" s="57">
        <f>G102*F105</f>
        <v>1300</v>
      </c>
      <c r="I105" s="54" t="s">
        <v>127</v>
      </c>
      <c r="J105" s="56">
        <v>0.13</v>
      </c>
      <c r="K105" s="57">
        <f>K102*J105</f>
        <v>1950</v>
      </c>
    </row>
    <row r="106" ht="14.25" customHeight="1">
      <c r="A106" s="54" t="s">
        <v>98</v>
      </c>
      <c r="B106" s="54"/>
      <c r="C106" s="57"/>
      <c r="E106" s="54" t="s">
        <v>98</v>
      </c>
      <c r="F106" s="54"/>
      <c r="G106" s="57"/>
      <c r="I106" s="54" t="s">
        <v>98</v>
      </c>
      <c r="J106" s="54"/>
      <c r="K106" s="57"/>
    </row>
    <row r="107" ht="14.25" customHeight="1">
      <c r="A107" s="54" t="s">
        <v>99</v>
      </c>
      <c r="B107" s="54">
        <v>0.288461</v>
      </c>
      <c r="C107" s="57">
        <f>(C102/30)*B107</f>
        <v>96.15366667</v>
      </c>
      <c r="E107" s="54" t="s">
        <v>99</v>
      </c>
      <c r="F107" s="54">
        <v>0.288461</v>
      </c>
      <c r="G107" s="57">
        <f>(G102/30)*F107</f>
        <v>96.15366667</v>
      </c>
      <c r="I107" s="54" t="s">
        <v>99</v>
      </c>
      <c r="J107" s="54">
        <v>0.288461</v>
      </c>
      <c r="K107" s="57">
        <f>(K102/30)*J107</f>
        <v>144.2305</v>
      </c>
    </row>
    <row r="108" ht="14.25" customHeight="1">
      <c r="A108" s="54" t="s">
        <v>100</v>
      </c>
      <c r="B108" s="56">
        <v>0.07</v>
      </c>
      <c r="C108" s="57">
        <f>C102*B108</f>
        <v>700</v>
      </c>
      <c r="E108" s="54" t="s">
        <v>100</v>
      </c>
      <c r="F108" s="56">
        <v>0.07</v>
      </c>
      <c r="G108" s="57">
        <f>G102*F108</f>
        <v>700</v>
      </c>
      <c r="I108" s="54" t="s">
        <v>100</v>
      </c>
      <c r="J108" s="56">
        <v>0.07</v>
      </c>
      <c r="K108" s="57">
        <f>K102*J108</f>
        <v>1050</v>
      </c>
    </row>
    <row r="109" ht="14.25" customHeight="1">
      <c r="A109" s="54" t="s">
        <v>101</v>
      </c>
      <c r="B109" s="56">
        <v>0.02</v>
      </c>
      <c r="C109" s="57">
        <f>C102*B109</f>
        <v>200</v>
      </c>
      <c r="E109" s="54" t="s">
        <v>101</v>
      </c>
      <c r="F109" s="56">
        <v>0.02</v>
      </c>
      <c r="G109" s="57">
        <f>G102*F109</f>
        <v>200</v>
      </c>
      <c r="I109" s="54" t="s">
        <v>101</v>
      </c>
      <c r="J109" s="56">
        <v>0.02</v>
      </c>
      <c r="K109" s="57">
        <f>K102*J109</f>
        <v>300</v>
      </c>
    </row>
    <row r="110" ht="14.25" customHeight="1">
      <c r="A110" s="54" t="s">
        <v>102</v>
      </c>
      <c r="B110" s="56">
        <v>0.1088</v>
      </c>
      <c r="C110" s="57">
        <f>C102*B110</f>
        <v>1088</v>
      </c>
      <c r="E110" s="54" t="s">
        <v>102</v>
      </c>
      <c r="F110" s="56">
        <v>0.1088</v>
      </c>
      <c r="G110" s="57">
        <f>G102*F110</f>
        <v>1088</v>
      </c>
      <c r="I110" s="54" t="s">
        <v>102</v>
      </c>
      <c r="J110" s="56">
        <v>0.13</v>
      </c>
      <c r="K110" s="57">
        <f>K102*J110</f>
        <v>1950</v>
      </c>
    </row>
    <row r="111" ht="14.25" customHeight="1">
      <c r="A111" s="35"/>
      <c r="B111" s="35"/>
      <c r="C111" s="57">
        <f>SUM(C103:C109)</f>
        <v>4596.153667</v>
      </c>
      <c r="E111" s="35"/>
      <c r="F111" s="35"/>
      <c r="G111" s="57">
        <f>SUM(G103:G109)</f>
        <v>4596.153667</v>
      </c>
      <c r="I111" s="35"/>
      <c r="J111" s="35"/>
      <c r="K111" s="57">
        <f>SUM(K103:K109)</f>
        <v>6894.2305</v>
      </c>
    </row>
    <row r="112" ht="14.25" customHeight="1">
      <c r="A112" s="35" t="s">
        <v>103</v>
      </c>
      <c r="B112" s="35"/>
      <c r="C112" s="57">
        <f>C102+C111</f>
        <v>14596.15367</v>
      </c>
      <c r="E112" s="35" t="s">
        <v>103</v>
      </c>
      <c r="F112" s="35"/>
      <c r="G112" s="57">
        <f>G102+G111</f>
        <v>14596.15367</v>
      </c>
      <c r="I112" s="35" t="s">
        <v>103</v>
      </c>
      <c r="J112" s="35"/>
      <c r="K112" s="57">
        <f>K102+K111</f>
        <v>21894.2305</v>
      </c>
    </row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2" width="36.0"/>
    <col customWidth="1" min="3" max="3" width="24.38"/>
    <col customWidth="1" min="4" max="4" width="26.5"/>
    <col customWidth="1" min="5" max="5" width="32.38"/>
    <col customWidth="1" min="6" max="26" width="10.63"/>
  </cols>
  <sheetData>
    <row r="1" ht="14.25" customHeight="1">
      <c r="A1" s="58" t="s">
        <v>125</v>
      </c>
      <c r="B1" s="58" t="s">
        <v>128</v>
      </c>
      <c r="C1" s="58" t="s">
        <v>11</v>
      </c>
      <c r="D1" s="58" t="s">
        <v>131</v>
      </c>
      <c r="E1" s="58" t="s">
        <v>132</v>
      </c>
    </row>
    <row r="2" ht="14.25" customHeight="1">
      <c r="A2" s="54" t="s">
        <v>134</v>
      </c>
      <c r="B2" s="54" t="s">
        <v>135</v>
      </c>
      <c r="C2" s="59" t="s">
        <v>136</v>
      </c>
      <c r="D2" s="60">
        <v>60000.0</v>
      </c>
      <c r="E2" s="59" t="s">
        <v>139</v>
      </c>
    </row>
    <row r="3" ht="14.25" customHeight="1">
      <c r="A3" s="54"/>
      <c r="B3" s="54" t="s">
        <v>140</v>
      </c>
      <c r="C3" s="59" t="s">
        <v>142</v>
      </c>
      <c r="D3" s="60">
        <v>8000.0</v>
      </c>
      <c r="E3" s="59" t="s">
        <v>144</v>
      </c>
    </row>
    <row r="4" ht="14.25" customHeight="1">
      <c r="A4" s="54"/>
      <c r="B4" s="54" t="s">
        <v>146</v>
      </c>
      <c r="C4" s="59" t="s">
        <v>147</v>
      </c>
      <c r="D4" s="60">
        <v>5000.0</v>
      </c>
      <c r="E4" s="59" t="s">
        <v>149</v>
      </c>
    </row>
    <row r="5" ht="14.25" customHeight="1">
      <c r="A5" s="54"/>
      <c r="B5" s="54" t="s">
        <v>151</v>
      </c>
      <c r="C5" s="59" t="s">
        <v>152</v>
      </c>
      <c r="D5" s="60">
        <v>8000.0</v>
      </c>
      <c r="E5" s="59" t="s">
        <v>154</v>
      </c>
    </row>
    <row r="6" ht="14.25" customHeight="1">
      <c r="A6" s="54" t="s">
        <v>155</v>
      </c>
      <c r="B6" s="54" t="s">
        <v>157</v>
      </c>
      <c r="C6" s="59" t="s">
        <v>158</v>
      </c>
      <c r="D6" s="60">
        <v>30000.0</v>
      </c>
      <c r="E6" s="59" t="s">
        <v>160</v>
      </c>
    </row>
    <row r="7" ht="14.25" customHeight="1">
      <c r="A7" s="54"/>
      <c r="B7" s="54" t="s">
        <v>156</v>
      </c>
      <c r="C7" s="59" t="s">
        <v>161</v>
      </c>
      <c r="D7" s="60">
        <v>25000.0</v>
      </c>
      <c r="E7" s="59" t="s">
        <v>162</v>
      </c>
    </row>
    <row r="8" ht="14.25" customHeight="1">
      <c r="A8" s="54"/>
      <c r="B8" s="54" t="s">
        <v>163</v>
      </c>
      <c r="C8" s="59" t="s">
        <v>164</v>
      </c>
      <c r="D8" s="60">
        <v>15000.0</v>
      </c>
      <c r="E8" s="59" t="s">
        <v>165</v>
      </c>
    </row>
    <row r="9" ht="14.25" customHeight="1">
      <c r="A9" s="54" t="s">
        <v>166</v>
      </c>
      <c r="B9" s="54" t="s">
        <v>167</v>
      </c>
      <c r="C9" s="59" t="s">
        <v>168</v>
      </c>
      <c r="D9" s="60">
        <v>0.0</v>
      </c>
      <c r="E9" s="59" t="s">
        <v>169</v>
      </c>
    </row>
    <row r="10" ht="14.25" customHeight="1">
      <c r="A10" s="54"/>
      <c r="B10" s="54" t="s">
        <v>170</v>
      </c>
      <c r="C10" s="59" t="s">
        <v>171</v>
      </c>
      <c r="D10" s="60">
        <v>200000.0</v>
      </c>
      <c r="E10" s="59" t="s">
        <v>172</v>
      </c>
    </row>
    <row r="11" ht="14.25" customHeight="1">
      <c r="A11" s="54"/>
      <c r="B11" s="54" t="s">
        <v>173</v>
      </c>
      <c r="C11" s="59" t="s">
        <v>174</v>
      </c>
      <c r="D11" s="60">
        <v>8000.0</v>
      </c>
      <c r="E11" s="59" t="s">
        <v>175</v>
      </c>
    </row>
    <row r="12" ht="14.25" customHeight="1">
      <c r="A12" s="54"/>
      <c r="B12" s="54" t="s">
        <v>176</v>
      </c>
      <c r="C12" s="59" t="s">
        <v>177</v>
      </c>
      <c r="D12" s="60">
        <v>15000.0</v>
      </c>
      <c r="E12" s="59" t="s">
        <v>178</v>
      </c>
    </row>
    <row r="13" ht="14.25" customHeight="1">
      <c r="A13" s="54"/>
      <c r="B13" s="54" t="s">
        <v>179</v>
      </c>
      <c r="C13" s="59" t="s">
        <v>180</v>
      </c>
      <c r="D13" s="60">
        <v>20000.0</v>
      </c>
      <c r="E13" s="59" t="s">
        <v>181</v>
      </c>
    </row>
    <row r="14" ht="14.25" customHeight="1">
      <c r="A14" s="54"/>
      <c r="B14" s="54" t="s">
        <v>182</v>
      </c>
      <c r="C14" s="59" t="s">
        <v>183</v>
      </c>
      <c r="D14" s="60">
        <v>15000.0</v>
      </c>
      <c r="E14" s="59" t="s">
        <v>184</v>
      </c>
    </row>
    <row r="15" ht="14.25" customHeight="1">
      <c r="A15" s="54"/>
      <c r="B15" s="54" t="s">
        <v>185</v>
      </c>
      <c r="C15" s="59" t="s">
        <v>186</v>
      </c>
      <c r="D15" s="60">
        <v>5000.0</v>
      </c>
      <c r="E15" s="59" t="s">
        <v>187</v>
      </c>
    </row>
    <row r="16" ht="14.25" customHeight="1">
      <c r="A16" s="54"/>
      <c r="B16" s="54" t="s">
        <v>188</v>
      </c>
      <c r="C16" s="59" t="s">
        <v>189</v>
      </c>
      <c r="D16" s="60">
        <v>10000.0</v>
      </c>
      <c r="E16" s="59" t="s">
        <v>190</v>
      </c>
    </row>
    <row r="17" ht="14.25" customHeight="1">
      <c r="A17" s="54"/>
      <c r="B17" s="54" t="s">
        <v>191</v>
      </c>
      <c r="C17" s="59" t="s">
        <v>192</v>
      </c>
      <c r="D17" s="60">
        <v>10000.0</v>
      </c>
      <c r="E17" s="59" t="s">
        <v>193</v>
      </c>
    </row>
    <row r="18" ht="14.25" customHeight="1">
      <c r="A18" s="54"/>
      <c r="B18" s="54" t="s">
        <v>194</v>
      </c>
      <c r="C18" s="59" t="s">
        <v>195</v>
      </c>
      <c r="D18" s="60">
        <v>5000.0</v>
      </c>
      <c r="E18" s="59" t="s">
        <v>196</v>
      </c>
    </row>
    <row r="19" ht="14.25" customHeight="1">
      <c r="A19" s="63"/>
      <c r="B19" s="63" t="s">
        <v>197</v>
      </c>
      <c r="C19" s="64" t="s">
        <v>198</v>
      </c>
      <c r="D19" s="65">
        <v>4000.0</v>
      </c>
      <c r="E19" s="64" t="s">
        <v>199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2026-08-20T02:00:13Z</dcterms:created>
  <dc:creator>Santi Alducin</dc:creator>
</cp:coreProperties>
</file>